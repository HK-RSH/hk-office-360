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showInkAnnotation="0" codeName="ThisWorkbook" hidePivotFieldList="1" defaultThemeVersion="124226"/>
  <mc:AlternateContent xmlns:mc="http://schemas.openxmlformats.org/markup-compatibility/2006">
    <mc:Choice Requires="x15">
      <x15ac:absPath xmlns:x15ac="http://schemas.microsoft.com/office/spreadsheetml/2010/11/ac" url="N:\HK-HKG-CBREResearch\Hong Kong\02. Databases\Office Database\"/>
    </mc:Choice>
  </mc:AlternateContent>
  <xr:revisionPtr revIDLastSave="0" documentId="13_ncr:1_{B198EBF1-3F44-4384-9BB9-6C795D891A4A}" xr6:coauthVersionLast="47" xr6:coauthVersionMax="47" xr10:uidLastSave="{00000000-0000-0000-0000-000000000000}"/>
  <bookViews>
    <workbookView xWindow="16335" yWindow="-18270" windowWidth="29040" windowHeight="17520" tabRatio="546" activeTab="1" xr2:uid="{00000000-000D-0000-FFFF-FFFF00000000}"/>
  </bookViews>
  <sheets>
    <sheet name="Activities before completion" sheetId="40" r:id="rId1"/>
    <sheet name="NEW table" sheetId="41" r:id="rId2"/>
    <sheet name="Grade A Office Supply_pre-2020" sheetId="1" r:id="rId3"/>
    <sheet name="Valid supply_project detail" sheetId="37" r:id="rId4"/>
    <sheet name="For Charts" sheetId="42" r:id="rId5"/>
    <sheet name="Tableau" sheetId="43" r:id="rId6"/>
    <sheet name="Non-Grade A supply" sheetId="19" r:id="rId7"/>
    <sheet name="Reference" sheetId="2" r:id="rId8"/>
  </sheets>
  <definedNames>
    <definedName name="_xlnm._FilterDatabase" localSheetId="2" hidden="1">'Grade A Office Supply_pre-2020'!$A$1:$AR$294</definedName>
    <definedName name="_xlnm._FilterDatabase" localSheetId="6" hidden="1">'Non-Grade A supply'!$A$1:$AR$96</definedName>
    <definedName name="_xlnm._FilterDatabase" localSheetId="3" hidden="1">'Valid supply_project detail'!$A$1:$H$186</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autoNoTable"/>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72" i="1" l="1"/>
  <c r="K175" i="1"/>
  <c r="Z175" i="1"/>
  <c r="Y172" i="1"/>
  <c r="Y174" i="1"/>
  <c r="X174" i="1"/>
  <c r="X172" i="1"/>
  <c r="S172" i="1" l="1"/>
  <c r="Z184" i="1" l="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6" i="1"/>
  <c r="G183" i="1"/>
  <c r="G177" i="1"/>
  <c r="G178" i="1"/>
  <c r="G179" i="1"/>
  <c r="G180" i="1"/>
  <c r="G181" i="1"/>
  <c r="G182" i="1"/>
  <c r="G175" i="1"/>
  <c r="G184" i="1"/>
  <c r="G185" i="1"/>
  <c r="G186" i="1"/>
  <c r="G187" i="1"/>
  <c r="G188" i="1"/>
  <c r="G199" i="1"/>
  <c r="G190" i="1"/>
  <c r="G191" i="1"/>
  <c r="G192" i="1"/>
  <c r="G193" i="1"/>
  <c r="G194" i="1"/>
  <c r="G195" i="1"/>
  <c r="G196" i="1"/>
  <c r="G189" i="1"/>
  <c r="G197" i="1"/>
  <c r="G198"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6" i="1"/>
  <c r="H183" i="1"/>
  <c r="H177" i="1"/>
  <c r="H178" i="1"/>
  <c r="H179" i="1"/>
  <c r="H180" i="1"/>
  <c r="H181" i="1"/>
  <c r="H182" i="1"/>
  <c r="H175" i="1"/>
  <c r="H184" i="1"/>
  <c r="H185" i="1"/>
  <c r="H186" i="1"/>
  <c r="H187" i="1"/>
  <c r="H188" i="1"/>
  <c r="H199" i="1"/>
  <c r="H190" i="1"/>
  <c r="H191" i="1"/>
  <c r="H192" i="1"/>
  <c r="H193" i="1"/>
  <c r="H194" i="1"/>
  <c r="H195" i="1"/>
  <c r="H196" i="1"/>
  <c r="H189" i="1"/>
  <c r="H197" i="1"/>
  <c r="H198"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Y163" i="1"/>
  <c r="Z165" i="1"/>
  <c r="Y177" i="1"/>
  <c r="T177" i="1"/>
  <c r="W177" i="1"/>
  <c r="Z167" i="1"/>
  <c r="W147" i="1" l="1"/>
  <c r="W136" i="1"/>
  <c r="Y201" i="1"/>
  <c r="Y175" i="1"/>
  <c r="AC175" i="1" s="1"/>
  <c r="AB164" i="1"/>
  <c r="Y164" i="1"/>
  <c r="V164" i="1"/>
  <c r="X164" i="1" s="1"/>
  <c r="W164" i="1"/>
  <c r="T164" i="1"/>
  <c r="V147" i="1"/>
  <c r="Y166" i="1"/>
  <c r="Q166" i="1"/>
  <c r="Q163" i="1" l="1"/>
  <c r="K197" i="1"/>
  <c r="K199" i="1"/>
  <c r="X294" i="1"/>
  <c r="U294" i="1"/>
  <c r="W294" i="1"/>
  <c r="Y294" i="1" s="1"/>
  <c r="R294" i="1" s="1"/>
  <c r="S294" i="1" s="1"/>
  <c r="F294" i="1"/>
  <c r="K294" i="1"/>
  <c r="AC294" i="1"/>
  <c r="AD294" i="1"/>
  <c r="V166" i="1"/>
  <c r="U166" i="1"/>
  <c r="T166" i="1"/>
  <c r="AC166" i="1" l="1"/>
  <c r="R166" i="1"/>
  <c r="S166" i="1" s="1"/>
  <c r="AE294" i="1"/>
  <c r="AF294" i="1" s="1"/>
  <c r="Q294" i="1"/>
  <c r="R186" i="1"/>
  <c r="Y237" i="1"/>
  <c r="V237" i="1"/>
  <c r="T237" i="1"/>
  <c r="R237" i="1"/>
  <c r="Y159" i="1"/>
  <c r="X159" i="1"/>
  <c r="W191" i="1"/>
  <c r="Y191" i="1" s="1"/>
  <c r="AC191" i="1" s="1"/>
  <c r="T191" i="1"/>
  <c r="V191" i="1" s="1"/>
  <c r="F191" i="1"/>
  <c r="K191" i="1"/>
  <c r="AD191" i="1"/>
  <c r="AE191" i="1"/>
  <c r="Z158" i="1"/>
  <c r="AF191" i="1" l="1"/>
  <c r="X191" i="1"/>
  <c r="Q191" i="1"/>
  <c r="R191" i="1"/>
  <c r="S191" i="1" s="1"/>
  <c r="F18" i="1"/>
  <c r="K18" i="1"/>
  <c r="Q18" i="1"/>
  <c r="R18" i="1" s="1"/>
  <c r="S18" i="1" s="1"/>
  <c r="V18" i="1"/>
  <c r="X18" i="1"/>
  <c r="AC18" i="1"/>
  <c r="AD18" i="1"/>
  <c r="AE18" i="1"/>
  <c r="AF18" i="1" l="1"/>
  <c r="W198" i="1"/>
  <c r="V198" i="1" s="1"/>
  <c r="U198" i="1"/>
  <c r="X196" i="1"/>
  <c r="W196" i="1"/>
  <c r="Y196" i="1" s="1"/>
  <c r="AE196" i="1" s="1"/>
  <c r="F196" i="1"/>
  <c r="K196" i="1"/>
  <c r="S196" i="1"/>
  <c r="AC196" i="1"/>
  <c r="AD196" i="1"/>
  <c r="AF196" i="1" l="1"/>
  <c r="Y150" i="1" l="1"/>
  <c r="T137" i="1"/>
  <c r="X137" i="1" l="1"/>
  <c r="Y137" i="1"/>
  <c r="V173" i="1"/>
  <c r="T150" i="1"/>
  <c r="V150" i="1"/>
  <c r="V154" i="1" l="1"/>
  <c r="X154" i="1" s="1"/>
  <c r="X150" i="1"/>
  <c r="Z96" i="19"/>
  <c r="T96" i="19"/>
  <c r="N96" i="19"/>
  <c r="I96" i="19"/>
  <c r="E96" i="19"/>
  <c r="X95" i="19"/>
  <c r="W95" i="19"/>
  <c r="U95" i="19"/>
  <c r="T95" i="19"/>
  <c r="N95" i="19"/>
  <c r="E95" i="19"/>
  <c r="X94" i="19"/>
  <c r="W94" i="19"/>
  <c r="T94" i="19"/>
  <c r="N94" i="19"/>
  <c r="E94" i="19"/>
  <c r="X93" i="19"/>
  <c r="W93" i="19"/>
  <c r="S93" i="19"/>
  <c r="X92" i="19"/>
  <c r="Z92" i="19" s="1"/>
  <c r="V92" i="19"/>
  <c r="S92" i="19" s="1"/>
  <c r="T92" i="19" s="1"/>
  <c r="N92" i="19"/>
  <c r="I92" i="19"/>
  <c r="E92" i="19"/>
  <c r="Z91" i="19"/>
  <c r="X91" i="19"/>
  <c r="V91" i="19"/>
  <c r="T91" i="19"/>
  <c r="N91" i="19"/>
  <c r="I91" i="19"/>
  <c r="E91" i="19"/>
  <c r="X90" i="19"/>
  <c r="Z90" i="19" s="1"/>
  <c r="U90" i="19"/>
  <c r="T90" i="19"/>
  <c r="N90" i="19"/>
  <c r="I90" i="19"/>
  <c r="E90" i="19"/>
  <c r="X89" i="19"/>
  <c r="Z89" i="19" s="1"/>
  <c r="V89" i="19"/>
  <c r="U89" i="19" s="1"/>
  <c r="T89" i="19"/>
  <c r="N89" i="19"/>
  <c r="I89" i="19"/>
  <c r="E89" i="19"/>
  <c r="Z88" i="19"/>
  <c r="X88" i="19"/>
  <c r="W88" i="19"/>
  <c r="U88" i="19"/>
  <c r="S88" i="19"/>
  <c r="T88" i="19" s="1"/>
  <c r="N88" i="19"/>
  <c r="I88" i="19"/>
  <c r="E88" i="19"/>
  <c r="X87" i="19"/>
  <c r="W87" i="19" s="1"/>
  <c r="U87" i="19"/>
  <c r="T87" i="19"/>
  <c r="N87" i="19"/>
  <c r="I87" i="19"/>
  <c r="E87" i="19"/>
  <c r="X86" i="19"/>
  <c r="W86" i="19" s="1"/>
  <c r="U86" i="19"/>
  <c r="T86" i="19"/>
  <c r="N86" i="19"/>
  <c r="I86" i="19"/>
  <c r="E86" i="19"/>
  <c r="X85" i="19"/>
  <c r="W85" i="19" s="1"/>
  <c r="V85" i="19"/>
  <c r="S85" i="19"/>
  <c r="T85" i="19" s="1"/>
  <c r="N85" i="19"/>
  <c r="I85" i="19"/>
  <c r="E85" i="19"/>
  <c r="Z84" i="19"/>
  <c r="T84" i="19"/>
  <c r="N84" i="19"/>
  <c r="I84" i="19"/>
  <c r="E84" i="19"/>
  <c r="X83" i="19"/>
  <c r="Z83" i="19" s="1"/>
  <c r="V83" i="19"/>
  <c r="U83" i="19" s="1"/>
  <c r="T83" i="19"/>
  <c r="N83" i="19"/>
  <c r="I83" i="19"/>
  <c r="E83" i="19"/>
  <c r="Z82" i="19"/>
  <c r="X82" i="19"/>
  <c r="V82" i="19"/>
  <c r="S82" i="19" s="1"/>
  <c r="T82" i="19" s="1"/>
  <c r="N82" i="19"/>
  <c r="I82" i="19"/>
  <c r="E82" i="19"/>
  <c r="Z81" i="19"/>
  <c r="X81" i="19"/>
  <c r="W81" i="19"/>
  <c r="V81" i="19"/>
  <c r="S81" i="19"/>
  <c r="T81" i="19" s="1"/>
  <c r="N81" i="19"/>
  <c r="I81" i="19"/>
  <c r="E81" i="19"/>
  <c r="Z80" i="19"/>
  <c r="T80" i="19"/>
  <c r="N80" i="19"/>
  <c r="I80" i="19"/>
  <c r="E80" i="19"/>
  <c r="Z79" i="19"/>
  <c r="X79" i="19"/>
  <c r="W79" i="19"/>
  <c r="V79" i="19"/>
  <c r="S79" i="19" s="1"/>
  <c r="T79" i="19" s="1"/>
  <c r="N79" i="19"/>
  <c r="I79" i="19"/>
  <c r="E79" i="19"/>
  <c r="X78" i="19"/>
  <c r="V78" i="19" s="1"/>
  <c r="U78" i="19" s="1"/>
  <c r="T78" i="19"/>
  <c r="N78" i="19"/>
  <c r="I78" i="19"/>
  <c r="E78" i="19"/>
  <c r="Z77" i="19"/>
  <c r="X77" i="19"/>
  <c r="V77" i="19" s="1"/>
  <c r="U77" i="19" s="1"/>
  <c r="W77" i="19"/>
  <c r="T77" i="19"/>
  <c r="N77" i="19"/>
  <c r="I77" i="19"/>
  <c r="E77" i="19"/>
  <c r="X76" i="19"/>
  <c r="W76" i="19" s="1"/>
  <c r="V76" i="19"/>
  <c r="S76" i="19"/>
  <c r="T76" i="19" s="1"/>
  <c r="N76" i="19"/>
  <c r="I76" i="19"/>
  <c r="E76" i="19"/>
  <c r="V75" i="19"/>
  <c r="X75" i="19" s="1"/>
  <c r="N75" i="19"/>
  <c r="I75" i="19"/>
  <c r="E75" i="19"/>
  <c r="X74" i="19"/>
  <c r="Z74" i="19" s="1"/>
  <c r="W74" i="19"/>
  <c r="T74" i="19"/>
  <c r="S74" i="19"/>
  <c r="N74" i="19"/>
  <c r="I74" i="19"/>
  <c r="E74" i="19"/>
  <c r="V73" i="19"/>
  <c r="X73" i="19" s="1"/>
  <c r="T73" i="19"/>
  <c r="N73" i="19"/>
  <c r="I73" i="19"/>
  <c r="E73" i="19"/>
  <c r="V72" i="19"/>
  <c r="X72" i="19" s="1"/>
  <c r="T72" i="19"/>
  <c r="N72" i="19"/>
  <c r="I72" i="19"/>
  <c r="E72" i="19"/>
  <c r="X71" i="19"/>
  <c r="Z71" i="19" s="1"/>
  <c r="W71" i="19"/>
  <c r="V71" i="19"/>
  <c r="U71" i="19"/>
  <c r="S71" i="19"/>
  <c r="T71" i="19" s="1"/>
  <c r="N71" i="19"/>
  <c r="I71" i="19"/>
  <c r="E71" i="19"/>
  <c r="V70" i="19"/>
  <c r="S70" i="19" s="1"/>
  <c r="T70" i="19" s="1"/>
  <c r="U70" i="19"/>
  <c r="N70" i="19"/>
  <c r="I70" i="19"/>
  <c r="E70" i="19"/>
  <c r="Z69" i="19"/>
  <c r="X69" i="19"/>
  <c r="W69" i="19"/>
  <c r="U69" i="19"/>
  <c r="S69" i="19"/>
  <c r="T69" i="19" s="1"/>
  <c r="N69" i="19"/>
  <c r="I69" i="19"/>
  <c r="E69" i="19"/>
  <c r="X68" i="19"/>
  <c r="W68" i="19" s="1"/>
  <c r="V68" i="19"/>
  <c r="U68" i="19"/>
  <c r="T68" i="19"/>
  <c r="N68" i="19"/>
  <c r="I68" i="19"/>
  <c r="E68" i="19"/>
  <c r="Z67" i="19"/>
  <c r="T67" i="19"/>
  <c r="N67" i="19"/>
  <c r="I67" i="19"/>
  <c r="E67" i="19"/>
  <c r="Z66" i="19"/>
  <c r="T66" i="19"/>
  <c r="N66" i="19"/>
  <c r="I66" i="19"/>
  <c r="E66" i="19"/>
  <c r="V65" i="19"/>
  <c r="X65" i="19" s="1"/>
  <c r="U65" i="19"/>
  <c r="S65" i="19"/>
  <c r="T65" i="19" s="1"/>
  <c r="N65" i="19"/>
  <c r="I65" i="19"/>
  <c r="E65" i="19"/>
  <c r="Z64" i="19"/>
  <c r="X64" i="19"/>
  <c r="W64" i="19"/>
  <c r="V64" i="19"/>
  <c r="S64" i="19" s="1"/>
  <c r="T64" i="19" s="1"/>
  <c r="N64" i="19"/>
  <c r="I64" i="19"/>
  <c r="E64" i="19"/>
  <c r="X63" i="19"/>
  <c r="Z63" i="19" s="1"/>
  <c r="V63" i="19"/>
  <c r="T63" i="19"/>
  <c r="N63" i="19"/>
  <c r="I63" i="19"/>
  <c r="E63" i="19"/>
  <c r="AP62" i="19"/>
  <c r="X62" i="19"/>
  <c r="Z62" i="19" s="1"/>
  <c r="U62" i="19"/>
  <c r="S62" i="19"/>
  <c r="T62" i="19" s="1"/>
  <c r="N62" i="19"/>
  <c r="I62" i="19"/>
  <c r="E62" i="19"/>
  <c r="Z61" i="19"/>
  <c r="X61" i="19"/>
  <c r="W61" i="19"/>
  <c r="V61" i="19"/>
  <c r="S61" i="19"/>
  <c r="T61" i="19" s="1"/>
  <c r="N61" i="19"/>
  <c r="I61" i="19"/>
  <c r="E61" i="19"/>
  <c r="X60" i="19"/>
  <c r="Z60" i="19" s="1"/>
  <c r="V60" i="19"/>
  <c r="S60" i="19"/>
  <c r="T60" i="19" s="1"/>
  <c r="N60" i="19"/>
  <c r="I60" i="19"/>
  <c r="E60" i="19"/>
  <c r="Z59" i="19"/>
  <c r="T59" i="19"/>
  <c r="S59" i="19"/>
  <c r="N59" i="19"/>
  <c r="I59" i="19"/>
  <c r="E59" i="19"/>
  <c r="X58" i="19"/>
  <c r="Z58" i="19" s="1"/>
  <c r="V58" i="19"/>
  <c r="S58" i="19" s="1"/>
  <c r="T58" i="19" s="1"/>
  <c r="N58" i="19"/>
  <c r="I58" i="19"/>
  <c r="E58" i="19"/>
  <c r="X57" i="19"/>
  <c r="Z57" i="19" s="1"/>
  <c r="T57" i="19"/>
  <c r="S57" i="19"/>
  <c r="N57" i="19"/>
  <c r="I57" i="19"/>
  <c r="E57" i="19"/>
  <c r="Z56" i="19"/>
  <c r="T56" i="19"/>
  <c r="N56" i="19"/>
  <c r="I56" i="19"/>
  <c r="E56" i="19"/>
  <c r="X55" i="19"/>
  <c r="Z55" i="19" s="1"/>
  <c r="W55" i="19"/>
  <c r="U55" i="19"/>
  <c r="T55" i="19"/>
  <c r="N55" i="19"/>
  <c r="I55" i="19"/>
  <c r="E55" i="19"/>
  <c r="X54" i="19"/>
  <c r="Z54" i="19" s="1"/>
  <c r="W54" i="19"/>
  <c r="V54" i="19"/>
  <c r="S54" i="19" s="1"/>
  <c r="T54" i="19" s="1"/>
  <c r="N54" i="19"/>
  <c r="I54" i="19"/>
  <c r="E54" i="19"/>
  <c r="X53" i="19"/>
  <c r="Z53" i="19" s="1"/>
  <c r="V53" i="19"/>
  <c r="S53" i="19" s="1"/>
  <c r="T53" i="19" s="1"/>
  <c r="N53" i="19"/>
  <c r="I53" i="19"/>
  <c r="E53" i="19"/>
  <c r="X52" i="19"/>
  <c r="Z52" i="19" s="1"/>
  <c r="V52" i="19"/>
  <c r="S52" i="19" s="1"/>
  <c r="T52" i="19" s="1"/>
  <c r="N52" i="19"/>
  <c r="I52" i="19"/>
  <c r="E52" i="19"/>
  <c r="Z51" i="19"/>
  <c r="T51" i="19"/>
  <c r="N51" i="19"/>
  <c r="I51" i="19"/>
  <c r="E51" i="19"/>
  <c r="Z50" i="19"/>
  <c r="X50" i="19"/>
  <c r="W50" i="19" s="1"/>
  <c r="V50" i="19"/>
  <c r="U50" i="19"/>
  <c r="T50" i="19"/>
  <c r="N50" i="19"/>
  <c r="I50" i="19"/>
  <c r="E50" i="19"/>
  <c r="V49" i="19"/>
  <c r="X49" i="19" s="1"/>
  <c r="N49" i="19"/>
  <c r="I49" i="19"/>
  <c r="E49" i="19"/>
  <c r="AP48" i="19"/>
  <c r="X48" i="19"/>
  <c r="Z48" i="19" s="1"/>
  <c r="U48" i="19"/>
  <c r="S48" i="19"/>
  <c r="T48" i="19" s="1"/>
  <c r="N48" i="19"/>
  <c r="I48" i="19"/>
  <c r="E48" i="19"/>
  <c r="Z47" i="19"/>
  <c r="X47" i="19"/>
  <c r="W47" i="19"/>
  <c r="V47" i="19"/>
  <c r="T47" i="19"/>
  <c r="S47" i="19"/>
  <c r="N47" i="19"/>
  <c r="I47" i="19"/>
  <c r="E47" i="19"/>
  <c r="X46" i="19"/>
  <c r="Z46" i="19" s="1"/>
  <c r="V46" i="19"/>
  <c r="S46" i="19" s="1"/>
  <c r="T46" i="19" s="1"/>
  <c r="N46" i="19"/>
  <c r="I46" i="19"/>
  <c r="E46" i="19"/>
  <c r="V45" i="19"/>
  <c r="X45" i="19" s="1"/>
  <c r="T45" i="19"/>
  <c r="N45" i="19"/>
  <c r="I45" i="19"/>
  <c r="E45" i="19"/>
  <c r="V44" i="19"/>
  <c r="X44" i="19" s="1"/>
  <c r="S44" i="19"/>
  <c r="T44" i="19" s="1"/>
  <c r="N44" i="19"/>
  <c r="I44" i="19"/>
  <c r="E44" i="19"/>
  <c r="U43" i="19"/>
  <c r="W43" i="19" s="1"/>
  <c r="X43" i="19" s="1"/>
  <c r="Z43" i="19" s="1"/>
  <c r="S43" i="19"/>
  <c r="T43" i="19" s="1"/>
  <c r="N43" i="19"/>
  <c r="I43" i="19"/>
  <c r="E43" i="19"/>
  <c r="Z42" i="19"/>
  <c r="T42" i="19"/>
  <c r="N42" i="19"/>
  <c r="I42" i="19"/>
  <c r="E42" i="19"/>
  <c r="Z41" i="19"/>
  <c r="T41" i="19"/>
  <c r="N41" i="19"/>
  <c r="I41" i="19"/>
  <c r="E41" i="19"/>
  <c r="X40" i="19"/>
  <c r="Z40" i="19" s="1"/>
  <c r="W40" i="19"/>
  <c r="V40" i="19"/>
  <c r="S40" i="19" s="1"/>
  <c r="T40" i="19" s="1"/>
  <c r="N40" i="19"/>
  <c r="I40" i="19"/>
  <c r="E40" i="19"/>
  <c r="V39" i="19"/>
  <c r="S39" i="19" s="1"/>
  <c r="T39" i="19" s="1"/>
  <c r="N39" i="19"/>
  <c r="I39" i="19"/>
  <c r="E39" i="19"/>
  <c r="Z38" i="19"/>
  <c r="X38" i="19"/>
  <c r="V38" i="19"/>
  <c r="S38" i="19" s="1"/>
  <c r="T38" i="19" s="1"/>
  <c r="N38" i="19"/>
  <c r="I38" i="19"/>
  <c r="E38" i="19"/>
  <c r="Z37" i="19"/>
  <c r="X37" i="19"/>
  <c r="W37" i="19"/>
  <c r="U37" i="19"/>
  <c r="T37" i="19"/>
  <c r="N37" i="19"/>
  <c r="I37" i="19"/>
  <c r="E37" i="19"/>
  <c r="Z36" i="19"/>
  <c r="X36" i="19"/>
  <c r="W36" i="19"/>
  <c r="V36" i="19"/>
  <c r="T36" i="19"/>
  <c r="S36" i="19"/>
  <c r="N36" i="19"/>
  <c r="I36" i="19"/>
  <c r="E36" i="19"/>
  <c r="Z35" i="19"/>
  <c r="T35" i="19"/>
  <c r="S35" i="19"/>
  <c r="N35" i="19"/>
  <c r="I35" i="19"/>
  <c r="E35" i="19"/>
  <c r="U34" i="19"/>
  <c r="W34" i="19" s="1"/>
  <c r="X34" i="19" s="1"/>
  <c r="Z34" i="19" s="1"/>
  <c r="S34" i="19"/>
  <c r="T34" i="19" s="1"/>
  <c r="N34" i="19"/>
  <c r="I34" i="19"/>
  <c r="E34" i="19"/>
  <c r="Z33" i="19"/>
  <c r="X33" i="19"/>
  <c r="W33" i="19"/>
  <c r="V33" i="19"/>
  <c r="T33" i="19"/>
  <c r="S33" i="19"/>
  <c r="N33" i="19"/>
  <c r="I33" i="19"/>
  <c r="E33" i="19"/>
  <c r="X32" i="19"/>
  <c r="Z32" i="19" s="1"/>
  <c r="V32" i="19"/>
  <c r="S32" i="19" s="1"/>
  <c r="T32" i="19" s="1"/>
  <c r="N32" i="19"/>
  <c r="I32" i="19"/>
  <c r="E32" i="19"/>
  <c r="V31" i="19"/>
  <c r="X31" i="19" s="1"/>
  <c r="S31" i="19"/>
  <c r="T31" i="19" s="1"/>
  <c r="N31" i="19"/>
  <c r="I31" i="19"/>
  <c r="E31" i="19"/>
  <c r="X30" i="19"/>
  <c r="W30" i="19" s="1"/>
  <c r="V30" i="19"/>
  <c r="S30" i="19"/>
  <c r="T30" i="19" s="1"/>
  <c r="N30" i="19"/>
  <c r="I30" i="19"/>
  <c r="E30" i="19"/>
  <c r="U29" i="19"/>
  <c r="W29" i="19" s="1"/>
  <c r="X29" i="19" s="1"/>
  <c r="Z29" i="19" s="1"/>
  <c r="T29" i="19"/>
  <c r="S29" i="19"/>
  <c r="N29" i="19"/>
  <c r="I29" i="19"/>
  <c r="E29" i="19"/>
  <c r="V28" i="19"/>
  <c r="X28" i="19" s="1"/>
  <c r="S28" i="19"/>
  <c r="T28" i="19" s="1"/>
  <c r="N28" i="19"/>
  <c r="I28" i="19"/>
  <c r="E28" i="19"/>
  <c r="X27" i="19"/>
  <c r="Z27" i="19" s="1"/>
  <c r="W27" i="19"/>
  <c r="V27" i="19"/>
  <c r="S27" i="19" s="1"/>
  <c r="T27" i="19" s="1"/>
  <c r="N27" i="19"/>
  <c r="I27" i="19"/>
  <c r="E27" i="19"/>
  <c r="V26" i="19"/>
  <c r="S26" i="19" s="1"/>
  <c r="T26" i="19" s="1"/>
  <c r="N26" i="19"/>
  <c r="I26" i="19"/>
  <c r="E26" i="19"/>
  <c r="Z25" i="19"/>
  <c r="X25" i="19"/>
  <c r="W25" i="19"/>
  <c r="V25" i="19"/>
  <c r="T25" i="19"/>
  <c r="S25" i="19"/>
  <c r="N25" i="19"/>
  <c r="I25" i="19"/>
  <c r="E25" i="19"/>
  <c r="X24" i="19"/>
  <c r="Z24" i="19" s="1"/>
  <c r="V24" i="19"/>
  <c r="T24" i="19"/>
  <c r="S24" i="19"/>
  <c r="N24" i="19"/>
  <c r="I24" i="19"/>
  <c r="E24" i="19"/>
  <c r="X23" i="19"/>
  <c r="Z23" i="19" s="1"/>
  <c r="V23" i="19"/>
  <c r="S23" i="19" s="1"/>
  <c r="T23" i="19" s="1"/>
  <c r="N23" i="19"/>
  <c r="I23" i="19"/>
  <c r="E23" i="19"/>
  <c r="V22" i="19"/>
  <c r="X22" i="19" s="1"/>
  <c r="S22" i="19"/>
  <c r="T22" i="19" s="1"/>
  <c r="N22" i="19"/>
  <c r="I22" i="19"/>
  <c r="E22" i="19"/>
  <c r="X21" i="19"/>
  <c r="W21" i="19" s="1"/>
  <c r="V21" i="19"/>
  <c r="S21" i="19"/>
  <c r="T21" i="19" s="1"/>
  <c r="N21" i="19"/>
  <c r="I21" i="19"/>
  <c r="E21" i="19"/>
  <c r="V20" i="19"/>
  <c r="X20" i="19" s="1"/>
  <c r="N20" i="19"/>
  <c r="I20" i="19"/>
  <c r="E20" i="19"/>
  <c r="X19" i="19"/>
  <c r="Z19" i="19" s="1"/>
  <c r="V19" i="19"/>
  <c r="S19" i="19" s="1"/>
  <c r="T19" i="19" s="1"/>
  <c r="N19" i="19"/>
  <c r="I19" i="19"/>
  <c r="E19" i="19"/>
  <c r="X18" i="19"/>
  <c r="Z18" i="19" s="1"/>
  <c r="V18" i="19"/>
  <c r="S18" i="19" s="1"/>
  <c r="T18" i="19" s="1"/>
  <c r="N18" i="19"/>
  <c r="I18" i="19"/>
  <c r="E18" i="19"/>
  <c r="X17" i="19"/>
  <c r="Z17" i="19" s="1"/>
  <c r="V17" i="19"/>
  <c r="S17" i="19" s="1"/>
  <c r="T17" i="19" s="1"/>
  <c r="N17" i="19"/>
  <c r="I17" i="19"/>
  <c r="E17" i="19"/>
  <c r="X16" i="19"/>
  <c r="Z16" i="19" s="1"/>
  <c r="V16" i="19"/>
  <c r="S16" i="19" s="1"/>
  <c r="T16" i="19" s="1"/>
  <c r="N16" i="19"/>
  <c r="I16" i="19"/>
  <c r="E16" i="19"/>
  <c r="Z15" i="19"/>
  <c r="U15" i="19"/>
  <c r="T15" i="19"/>
  <c r="N15" i="19"/>
  <c r="I15" i="19"/>
  <c r="E15" i="19"/>
  <c r="X14" i="19"/>
  <c r="Z14" i="19" s="1"/>
  <c r="V14" i="19"/>
  <c r="S14" i="19"/>
  <c r="T14" i="19" s="1"/>
  <c r="N14" i="19"/>
  <c r="I14" i="19"/>
  <c r="E14" i="19"/>
  <c r="X13" i="19"/>
  <c r="W13" i="19" s="1"/>
  <c r="V13" i="19"/>
  <c r="S13" i="19"/>
  <c r="T13" i="19" s="1"/>
  <c r="N13" i="19"/>
  <c r="I13" i="19"/>
  <c r="E13" i="19"/>
  <c r="W12" i="19"/>
  <c r="X12" i="19" s="1"/>
  <c r="Z12" i="19" s="1"/>
  <c r="V12" i="19"/>
  <c r="S12" i="19" s="1"/>
  <c r="T12" i="19" s="1"/>
  <c r="N12" i="19"/>
  <c r="I12" i="19"/>
  <c r="E12" i="19"/>
  <c r="V11" i="19"/>
  <c r="X11" i="19" s="1"/>
  <c r="S11" i="19"/>
  <c r="T11" i="19" s="1"/>
  <c r="N11" i="19"/>
  <c r="I11" i="19"/>
  <c r="E11" i="19"/>
  <c r="X10" i="19"/>
  <c r="Z10" i="19" s="1"/>
  <c r="W10" i="19"/>
  <c r="V10" i="19"/>
  <c r="T10" i="19"/>
  <c r="S10" i="19"/>
  <c r="N10" i="19"/>
  <c r="I10" i="19"/>
  <c r="E10" i="19"/>
  <c r="X9" i="19"/>
  <c r="Z9" i="19" s="1"/>
  <c r="V9" i="19"/>
  <c r="T9" i="19"/>
  <c r="S9" i="19"/>
  <c r="N9" i="19"/>
  <c r="I9" i="19"/>
  <c r="E9" i="19"/>
  <c r="X8" i="19"/>
  <c r="Z8" i="19" s="1"/>
  <c r="V8" i="19"/>
  <c r="T8" i="19"/>
  <c r="S8" i="19"/>
  <c r="N8" i="19"/>
  <c r="I8" i="19"/>
  <c r="E8" i="19"/>
  <c r="X7" i="19"/>
  <c r="Z7" i="19" s="1"/>
  <c r="W7" i="19"/>
  <c r="V7" i="19"/>
  <c r="S7" i="19" s="1"/>
  <c r="T7" i="19" s="1"/>
  <c r="N7" i="19"/>
  <c r="I7" i="19"/>
  <c r="E7" i="19"/>
  <c r="Z6" i="19"/>
  <c r="X6" i="19"/>
  <c r="V6" i="19"/>
  <c r="T6" i="19"/>
  <c r="N6" i="19"/>
  <c r="I6" i="19"/>
  <c r="E6" i="19"/>
  <c r="X5" i="19"/>
  <c r="Z5" i="19" s="1"/>
  <c r="V5" i="19"/>
  <c r="T5" i="19"/>
  <c r="S5" i="19"/>
  <c r="N5" i="19"/>
  <c r="I5" i="19"/>
  <c r="E5" i="19"/>
  <c r="X4" i="19"/>
  <c r="Z4" i="19" s="1"/>
  <c r="V4" i="19"/>
  <c r="T4" i="19"/>
  <c r="S4" i="19"/>
  <c r="N4" i="19"/>
  <c r="I4" i="19"/>
  <c r="E4" i="19"/>
  <c r="V3" i="19"/>
  <c r="S3" i="19" s="1"/>
  <c r="T3" i="19" s="1"/>
  <c r="N3" i="19"/>
  <c r="I3" i="19"/>
  <c r="E3" i="19"/>
  <c r="V2" i="19"/>
  <c r="X2" i="19" s="1"/>
  <c r="T2" i="19"/>
  <c r="S2" i="19"/>
  <c r="N2" i="19"/>
  <c r="I2" i="19"/>
  <c r="E2" i="19"/>
  <c r="A4" i="43"/>
  <c r="A5" i="43" s="1"/>
  <c r="A6" i="43" s="1"/>
  <c r="A7" i="43" s="1"/>
  <c r="A8" i="43" s="1"/>
  <c r="A9" i="43" s="1"/>
  <c r="A10" i="43" s="1"/>
  <c r="A11" i="43" s="1"/>
  <c r="A12" i="43" s="1"/>
  <c r="A13" i="43" s="1"/>
  <c r="A14" i="43" s="1"/>
  <c r="A15" i="43" s="1"/>
  <c r="A16" i="43" s="1"/>
  <c r="A17" i="43" s="1"/>
  <c r="A18" i="43" s="1"/>
  <c r="A19" i="43" s="1"/>
  <c r="A20" i="43" s="1"/>
  <c r="A21" i="43" s="1"/>
  <c r="A22" i="43" s="1"/>
  <c r="A23" i="43" s="1"/>
  <c r="A24" i="43" s="1"/>
  <c r="A25" i="43" s="1"/>
  <c r="A26" i="43" s="1"/>
  <c r="A27" i="43" s="1"/>
  <c r="A28" i="43" s="1"/>
  <c r="A29" i="43" s="1"/>
  <c r="AE192" i="1"/>
  <c r="AD192" i="1"/>
  <c r="AC192" i="1"/>
  <c r="U192" i="1"/>
  <c r="W192" i="1" s="1"/>
  <c r="K192" i="1"/>
  <c r="F192" i="1"/>
  <c r="AD177" i="1"/>
  <c r="AC177" i="1"/>
  <c r="K177" i="1"/>
  <c r="F177" i="1"/>
  <c r="AE223" i="1"/>
  <c r="AD223" i="1"/>
  <c r="U223" i="1"/>
  <c r="W223" i="1" s="1"/>
  <c r="K223" i="1"/>
  <c r="F223" i="1"/>
  <c r="AE180" i="1"/>
  <c r="AD180" i="1"/>
  <c r="Y180" i="1"/>
  <c r="R180" i="1" s="1"/>
  <c r="S180" i="1" s="1"/>
  <c r="V180" i="1"/>
  <c r="X180" i="1" s="1"/>
  <c r="U180" i="1"/>
  <c r="Q180" i="1"/>
  <c r="K180" i="1"/>
  <c r="F180" i="1"/>
  <c r="AD280" i="1"/>
  <c r="AC280" i="1"/>
  <c r="V280" i="1"/>
  <c r="X280" i="1" s="1"/>
  <c r="Q280" i="1"/>
  <c r="R280" i="1" s="1"/>
  <c r="S280" i="1" s="1"/>
  <c r="K280" i="1"/>
  <c r="F280" i="1"/>
  <c r="AE135" i="1"/>
  <c r="AD135" i="1"/>
  <c r="Y135" i="1"/>
  <c r="V135" i="1"/>
  <c r="T135" i="1"/>
  <c r="R135" i="1"/>
  <c r="S135" i="1" s="1"/>
  <c r="K135" i="1"/>
  <c r="F135" i="1"/>
  <c r="AD287" i="1"/>
  <c r="AC287" i="1"/>
  <c r="V287" i="1"/>
  <c r="X287" i="1" s="1"/>
  <c r="U287" i="1"/>
  <c r="W287" i="1" s="1"/>
  <c r="Q287" i="1" s="1"/>
  <c r="K287" i="1"/>
  <c r="F287" i="1"/>
  <c r="AE227" i="1"/>
  <c r="AD227" i="1"/>
  <c r="W227" i="1"/>
  <c r="Y227" i="1" s="1"/>
  <c r="AC227" i="1" s="1"/>
  <c r="U227" i="1"/>
  <c r="V227" i="1" s="1"/>
  <c r="X227" i="1" s="1"/>
  <c r="Q227" i="1"/>
  <c r="R227" i="1" s="1"/>
  <c r="S227" i="1" s="1"/>
  <c r="K227" i="1"/>
  <c r="F227" i="1"/>
  <c r="AD277" i="1"/>
  <c r="AC277" i="1"/>
  <c r="V277" i="1"/>
  <c r="W277" i="1" s="1"/>
  <c r="Y277" i="1" s="1"/>
  <c r="K277" i="1"/>
  <c r="F277" i="1"/>
  <c r="AD178" i="1"/>
  <c r="AC178" i="1"/>
  <c r="V178" i="1"/>
  <c r="X178" i="1" s="1"/>
  <c r="U178" i="1"/>
  <c r="S178" i="1"/>
  <c r="K178" i="1"/>
  <c r="F178" i="1"/>
  <c r="AD226" i="1"/>
  <c r="AC226" i="1"/>
  <c r="V226" i="1"/>
  <c r="X226" i="1" s="1"/>
  <c r="U226" i="1"/>
  <c r="S226" i="1"/>
  <c r="K226" i="1"/>
  <c r="F226" i="1"/>
  <c r="AD267" i="1"/>
  <c r="AC267" i="1"/>
  <c r="V267" i="1"/>
  <c r="X267" i="1" s="1"/>
  <c r="K267" i="1"/>
  <c r="F267" i="1"/>
  <c r="AD242" i="1"/>
  <c r="AC242" i="1"/>
  <c r="X242" i="1"/>
  <c r="W242" i="1"/>
  <c r="Y242" i="1" s="1"/>
  <c r="AE242" i="1" s="1"/>
  <c r="T242" i="1"/>
  <c r="S242" i="1"/>
  <c r="K242" i="1"/>
  <c r="F242" i="1"/>
  <c r="AD289" i="1"/>
  <c r="AC289" i="1"/>
  <c r="V289" i="1"/>
  <c r="X289" i="1" s="1"/>
  <c r="U289" i="1"/>
  <c r="Q289" i="1"/>
  <c r="R289" i="1" s="1"/>
  <c r="S289" i="1" s="1"/>
  <c r="K289" i="1"/>
  <c r="F289" i="1"/>
  <c r="AE284" i="1"/>
  <c r="AD284" i="1"/>
  <c r="U284" i="1"/>
  <c r="W284" i="1" s="1"/>
  <c r="K284" i="1"/>
  <c r="F284" i="1"/>
  <c r="AE190" i="1"/>
  <c r="AD190" i="1"/>
  <c r="Y190" i="1"/>
  <c r="V190" i="1"/>
  <c r="X190" i="1" s="1"/>
  <c r="T190" i="1"/>
  <c r="U190" i="1" s="1"/>
  <c r="Q190" i="1"/>
  <c r="K190" i="1"/>
  <c r="F190" i="1"/>
  <c r="AD182" i="1"/>
  <c r="AC182" i="1"/>
  <c r="X182" i="1"/>
  <c r="W182" i="1"/>
  <c r="Y182" i="1" s="1"/>
  <c r="AE182" i="1" s="1"/>
  <c r="S182" i="1"/>
  <c r="K182" i="1"/>
  <c r="F182" i="1"/>
  <c r="AE188" i="1"/>
  <c r="AD188" i="1"/>
  <c r="V188" i="1"/>
  <c r="X188" i="1" s="1"/>
  <c r="U188" i="1"/>
  <c r="S188" i="1"/>
  <c r="K188" i="1"/>
  <c r="F188" i="1"/>
  <c r="AE140" i="1"/>
  <c r="AD140" i="1"/>
  <c r="T140" i="1"/>
  <c r="V140" i="1" s="1"/>
  <c r="X140" i="1" s="1"/>
  <c r="S140" i="1"/>
  <c r="K140" i="1"/>
  <c r="F140" i="1"/>
  <c r="AE264" i="1"/>
  <c r="AD264" i="1"/>
  <c r="W264" i="1"/>
  <c r="Y264" i="1" s="1"/>
  <c r="AC264" i="1" s="1"/>
  <c r="R264" i="1"/>
  <c r="S264" i="1" s="1"/>
  <c r="K264" i="1"/>
  <c r="F264" i="1"/>
  <c r="AD275" i="1"/>
  <c r="AC275" i="1"/>
  <c r="V275" i="1"/>
  <c r="X275" i="1" s="1"/>
  <c r="K275" i="1"/>
  <c r="F275" i="1"/>
  <c r="AE131" i="1"/>
  <c r="AC131" i="1"/>
  <c r="Y131" i="1"/>
  <c r="R131" i="1" s="1"/>
  <c r="S131" i="1" s="1"/>
  <c r="U131" i="1"/>
  <c r="W131" i="1" s="1"/>
  <c r="Q131" i="1" s="1"/>
  <c r="K131" i="1"/>
  <c r="F131" i="1"/>
  <c r="AE127" i="1"/>
  <c r="AD127" i="1"/>
  <c r="AC127" i="1"/>
  <c r="X127" i="1"/>
  <c r="V127" i="1"/>
  <c r="U127" i="1"/>
  <c r="R127" i="1"/>
  <c r="S127" i="1" s="1"/>
  <c r="Q127" i="1"/>
  <c r="K127" i="1"/>
  <c r="F127" i="1"/>
  <c r="AD282" i="1"/>
  <c r="AC282" i="1"/>
  <c r="V282" i="1"/>
  <c r="X282" i="1" s="1"/>
  <c r="S282" i="1"/>
  <c r="K282" i="1"/>
  <c r="F282" i="1"/>
  <c r="AE134" i="1"/>
  <c r="AD134" i="1"/>
  <c r="AC134" i="1"/>
  <c r="X134" i="1"/>
  <c r="V134" i="1"/>
  <c r="T134" i="1"/>
  <c r="S134" i="1"/>
  <c r="K134" i="1"/>
  <c r="F134" i="1"/>
  <c r="AD292" i="1"/>
  <c r="AC292" i="1"/>
  <c r="Y292" i="1"/>
  <c r="AE292" i="1" s="1"/>
  <c r="V292" i="1"/>
  <c r="X292" i="1" s="1"/>
  <c r="S292" i="1"/>
  <c r="K292" i="1"/>
  <c r="F292" i="1"/>
  <c r="AD291" i="1"/>
  <c r="AC291" i="1"/>
  <c r="Y291" i="1"/>
  <c r="AE291" i="1" s="1"/>
  <c r="V291" i="1"/>
  <c r="X291" i="1" s="1"/>
  <c r="S291" i="1"/>
  <c r="K291" i="1"/>
  <c r="F291" i="1"/>
  <c r="AD293" i="1"/>
  <c r="AC293" i="1"/>
  <c r="Y293" i="1"/>
  <c r="AE293" i="1" s="1"/>
  <c r="V293" i="1"/>
  <c r="X293" i="1" s="1"/>
  <c r="S293" i="1"/>
  <c r="K293" i="1"/>
  <c r="F293" i="1"/>
  <c r="AD288" i="1"/>
  <c r="AC288" i="1"/>
  <c r="W288" i="1"/>
  <c r="Y288" i="1" s="1"/>
  <c r="AE288" i="1" s="1"/>
  <c r="S288" i="1"/>
  <c r="K288" i="1"/>
  <c r="F288" i="1"/>
  <c r="AE290" i="1"/>
  <c r="AD290" i="1"/>
  <c r="V290" i="1"/>
  <c r="X290" i="1" s="1"/>
  <c r="U290" i="1"/>
  <c r="W290" i="1" s="1"/>
  <c r="Q290" i="1" s="1"/>
  <c r="K290" i="1"/>
  <c r="F290" i="1"/>
  <c r="AD285" i="1"/>
  <c r="AC285" i="1"/>
  <c r="Y285" i="1"/>
  <c r="AE285" i="1" s="1"/>
  <c r="V285" i="1"/>
  <c r="X285" i="1" s="1"/>
  <c r="Q285" i="1"/>
  <c r="R285" i="1" s="1"/>
  <c r="S285" i="1" s="1"/>
  <c r="K285" i="1"/>
  <c r="F285" i="1"/>
  <c r="AE286" i="1"/>
  <c r="AD286" i="1"/>
  <c r="X286" i="1"/>
  <c r="W286" i="1"/>
  <c r="Y286" i="1" s="1"/>
  <c r="AC286" i="1" s="1"/>
  <c r="U286" i="1"/>
  <c r="Q286" i="1"/>
  <c r="R286" i="1" s="1"/>
  <c r="S286" i="1" s="1"/>
  <c r="K286" i="1"/>
  <c r="F286" i="1"/>
  <c r="AD273" i="1"/>
  <c r="AC273" i="1"/>
  <c r="V273" i="1"/>
  <c r="X273" i="1" s="1"/>
  <c r="K273" i="1"/>
  <c r="F273" i="1"/>
  <c r="AE269" i="1"/>
  <c r="AD269" i="1"/>
  <c r="V269" i="1"/>
  <c r="X269" i="1" s="1"/>
  <c r="K269" i="1"/>
  <c r="F269" i="1"/>
  <c r="AD274" i="1"/>
  <c r="AC274" i="1"/>
  <c r="V274" i="1"/>
  <c r="X274" i="1" s="1"/>
  <c r="K274" i="1"/>
  <c r="F274" i="1"/>
  <c r="AD272" i="1"/>
  <c r="AC272" i="1"/>
  <c r="V272" i="1"/>
  <c r="X272" i="1" s="1"/>
  <c r="K272" i="1"/>
  <c r="F272" i="1"/>
  <c r="AE266" i="1"/>
  <c r="AD266" i="1"/>
  <c r="V266" i="1"/>
  <c r="X266" i="1" s="1"/>
  <c r="K266" i="1"/>
  <c r="F266" i="1"/>
  <c r="AD265" i="1"/>
  <c r="AC265" i="1"/>
  <c r="V265" i="1"/>
  <c r="X265" i="1" s="1"/>
  <c r="K265" i="1"/>
  <c r="F265" i="1"/>
  <c r="AD254" i="1"/>
  <c r="AC254" i="1"/>
  <c r="V254" i="1"/>
  <c r="W254" i="1" s="1"/>
  <c r="Q254" i="1" s="1"/>
  <c r="R254" i="1" s="1"/>
  <c r="S254" i="1" s="1"/>
  <c r="K254" i="1"/>
  <c r="F254" i="1"/>
  <c r="AE263" i="1"/>
  <c r="AD263" i="1"/>
  <c r="W263" i="1"/>
  <c r="Y263" i="1" s="1"/>
  <c r="AC263" i="1" s="1"/>
  <c r="K263" i="1"/>
  <c r="F263" i="1"/>
  <c r="AD276" i="1"/>
  <c r="AC276" i="1"/>
  <c r="V276" i="1"/>
  <c r="X276" i="1" s="1"/>
  <c r="U276" i="1"/>
  <c r="K276" i="1"/>
  <c r="F276" i="1"/>
  <c r="AD268" i="1"/>
  <c r="AC268" i="1"/>
  <c r="X268" i="1"/>
  <c r="W268" i="1"/>
  <c r="Y268" i="1" s="1"/>
  <c r="U268" i="1"/>
  <c r="K268" i="1"/>
  <c r="F268" i="1"/>
  <c r="AD271" i="1"/>
  <c r="AC271" i="1"/>
  <c r="V271" i="1"/>
  <c r="X271" i="1" s="1"/>
  <c r="K271" i="1"/>
  <c r="F271" i="1"/>
  <c r="AD278" i="1"/>
  <c r="AC278" i="1"/>
  <c r="V278" i="1"/>
  <c r="X278" i="1" s="1"/>
  <c r="K278" i="1"/>
  <c r="F278" i="1"/>
  <c r="AD270" i="1"/>
  <c r="AC270" i="1"/>
  <c r="V270" i="1"/>
  <c r="X270" i="1" s="1"/>
  <c r="U270" i="1"/>
  <c r="K270" i="1"/>
  <c r="F270" i="1"/>
  <c r="AE279" i="1"/>
  <c r="AD279" i="1"/>
  <c r="X279" i="1"/>
  <c r="W279" i="1"/>
  <c r="Q279" i="1" s="1"/>
  <c r="U279" i="1"/>
  <c r="K279" i="1"/>
  <c r="F279" i="1"/>
  <c r="AE283" i="1"/>
  <c r="AD283" i="1"/>
  <c r="V283" i="1"/>
  <c r="X283" i="1" s="1"/>
  <c r="S283" i="1"/>
  <c r="K283" i="1"/>
  <c r="F283" i="1"/>
  <c r="AE256" i="1"/>
  <c r="AD256" i="1"/>
  <c r="X256" i="1"/>
  <c r="W256" i="1"/>
  <c r="Y256" i="1" s="1"/>
  <c r="AC256" i="1" s="1"/>
  <c r="T256" i="1"/>
  <c r="U256" i="1" s="1"/>
  <c r="K256" i="1"/>
  <c r="F256" i="1"/>
  <c r="AD189" i="1"/>
  <c r="Y189" i="1"/>
  <c r="X189" i="1" s="1"/>
  <c r="K189" i="1"/>
  <c r="F189" i="1"/>
  <c r="AE257" i="1"/>
  <c r="AD257" i="1"/>
  <c r="X257" i="1"/>
  <c r="W257" i="1"/>
  <c r="Y257" i="1" s="1"/>
  <c r="AC257" i="1" s="1"/>
  <c r="T257" i="1"/>
  <c r="U257" i="1" s="1"/>
  <c r="Q257" i="1" s="1"/>
  <c r="R257" i="1" s="1"/>
  <c r="S257" i="1" s="1"/>
  <c r="K257" i="1"/>
  <c r="F257" i="1"/>
  <c r="AE259" i="1"/>
  <c r="AD259" i="1"/>
  <c r="T259" i="1"/>
  <c r="V259" i="1" s="1"/>
  <c r="X259" i="1" s="1"/>
  <c r="S259" i="1"/>
  <c r="K259" i="1"/>
  <c r="F259" i="1"/>
  <c r="AD281" i="1"/>
  <c r="AC281" i="1"/>
  <c r="Y281" i="1"/>
  <c r="AE281" i="1" s="1"/>
  <c r="S281" i="1"/>
  <c r="K281" i="1"/>
  <c r="F281" i="1"/>
  <c r="AE258" i="1"/>
  <c r="AD258" i="1"/>
  <c r="U258" i="1"/>
  <c r="T258" i="1" s="1"/>
  <c r="V258" i="1" s="1"/>
  <c r="X258" i="1" s="1"/>
  <c r="S258" i="1"/>
  <c r="K258" i="1"/>
  <c r="F258" i="1"/>
  <c r="AE261" i="1"/>
  <c r="AD261" i="1"/>
  <c r="X261" i="1"/>
  <c r="W261" i="1"/>
  <c r="Y261" i="1" s="1"/>
  <c r="AC261" i="1" s="1"/>
  <c r="K261" i="1"/>
  <c r="F261" i="1"/>
  <c r="AE232" i="1"/>
  <c r="AC232" i="1"/>
  <c r="W232" i="1"/>
  <c r="Y232" i="1" s="1"/>
  <c r="Q232" i="1"/>
  <c r="R232" i="1" s="1"/>
  <c r="S232" i="1" s="1"/>
  <c r="K232" i="1"/>
  <c r="F232" i="1"/>
  <c r="AE260" i="1"/>
  <c r="AD260" i="1"/>
  <c r="X260" i="1"/>
  <c r="W260" i="1"/>
  <c r="Q260" i="1" s="1"/>
  <c r="K260" i="1"/>
  <c r="F260" i="1"/>
  <c r="AE236" i="1"/>
  <c r="AD236" i="1"/>
  <c r="V236" i="1"/>
  <c r="X236" i="1" s="1"/>
  <c r="U236" i="1"/>
  <c r="K236" i="1"/>
  <c r="F236" i="1"/>
  <c r="AD253" i="1"/>
  <c r="AC253" i="1"/>
  <c r="V253" i="1"/>
  <c r="X253" i="1" s="1"/>
  <c r="S253" i="1"/>
  <c r="K253" i="1"/>
  <c r="F253" i="1"/>
  <c r="AE234" i="1"/>
  <c r="AD234" i="1"/>
  <c r="V234" i="1"/>
  <c r="W234" i="1" s="1"/>
  <c r="Q234" i="1" s="1"/>
  <c r="R234" i="1" s="1"/>
  <c r="S234" i="1" s="1"/>
  <c r="U234" i="1"/>
  <c r="K234" i="1"/>
  <c r="F234" i="1"/>
  <c r="AE173" i="1"/>
  <c r="AD173" i="1"/>
  <c r="W173" i="1"/>
  <c r="Y173" i="1" s="1"/>
  <c r="U173" i="1"/>
  <c r="Q173" i="1"/>
  <c r="R173" i="1" s="1"/>
  <c r="S173" i="1" s="1"/>
  <c r="K173" i="1"/>
  <c r="F173" i="1"/>
  <c r="AE240" i="1"/>
  <c r="AD240" i="1"/>
  <c r="W240" i="1"/>
  <c r="Y240" i="1" s="1"/>
  <c r="AC240" i="1" s="1"/>
  <c r="U240" i="1"/>
  <c r="R240" i="1"/>
  <c r="S240" i="1" s="1"/>
  <c r="K240" i="1"/>
  <c r="F240" i="1"/>
  <c r="AD262" i="1"/>
  <c r="AC262" i="1"/>
  <c r="X262" i="1"/>
  <c r="W262" i="1"/>
  <c r="Q262" i="1" s="1"/>
  <c r="K262" i="1"/>
  <c r="F262" i="1"/>
  <c r="AD218" i="1"/>
  <c r="AC218" i="1"/>
  <c r="V218" i="1"/>
  <c r="X218" i="1" s="1"/>
  <c r="K218" i="1"/>
  <c r="F218" i="1"/>
  <c r="AD219" i="1"/>
  <c r="AC219" i="1"/>
  <c r="V219" i="1"/>
  <c r="X219" i="1" s="1"/>
  <c r="K219" i="1"/>
  <c r="F219" i="1"/>
  <c r="AD220" i="1"/>
  <c r="AC220" i="1"/>
  <c r="V220" i="1"/>
  <c r="X220" i="1" s="1"/>
  <c r="K220" i="1"/>
  <c r="F220" i="1"/>
  <c r="AE217" i="1"/>
  <c r="AD217" i="1"/>
  <c r="X217" i="1"/>
  <c r="W217" i="1"/>
  <c r="Y217" i="1" s="1"/>
  <c r="AC217" i="1" s="1"/>
  <c r="K217" i="1"/>
  <c r="F217" i="1"/>
  <c r="AD195" i="1"/>
  <c r="AC195" i="1"/>
  <c r="X195" i="1"/>
  <c r="U195" i="1"/>
  <c r="W195" i="1" s="1"/>
  <c r="Y195" i="1" s="1"/>
  <c r="K195" i="1"/>
  <c r="F195" i="1"/>
  <c r="AE166" i="1"/>
  <c r="AD166" i="1"/>
  <c r="K166" i="1"/>
  <c r="F166" i="1"/>
  <c r="AD194" i="1"/>
  <c r="AC194" i="1"/>
  <c r="X194" i="1"/>
  <c r="W194" i="1"/>
  <c r="Q194" i="1" s="1"/>
  <c r="K194" i="1"/>
  <c r="F194" i="1"/>
  <c r="AE252" i="1"/>
  <c r="AD252" i="1"/>
  <c r="X252" i="1"/>
  <c r="W252" i="1"/>
  <c r="Y252" i="1" s="1"/>
  <c r="AC252" i="1" s="1"/>
  <c r="T252" i="1"/>
  <c r="U252" i="1" s="1"/>
  <c r="S252" i="1"/>
  <c r="K252" i="1"/>
  <c r="F252" i="1"/>
  <c r="AD229" i="1"/>
  <c r="AC229" i="1"/>
  <c r="V229" i="1"/>
  <c r="X229" i="1" s="1"/>
  <c r="U229" i="1"/>
  <c r="S229" i="1"/>
  <c r="K229" i="1"/>
  <c r="F229" i="1"/>
  <c r="AD228" i="1"/>
  <c r="AC228" i="1"/>
  <c r="T228" i="1"/>
  <c r="V228" i="1" s="1"/>
  <c r="S228" i="1"/>
  <c r="K228" i="1"/>
  <c r="F228" i="1"/>
  <c r="AD245" i="1"/>
  <c r="AC245" i="1"/>
  <c r="X245" i="1"/>
  <c r="W245" i="1"/>
  <c r="Y245" i="1" s="1"/>
  <c r="AE245" i="1" s="1"/>
  <c r="U245" i="1"/>
  <c r="S245" i="1"/>
  <c r="K245" i="1"/>
  <c r="F245" i="1"/>
  <c r="AE231" i="1"/>
  <c r="AD231" i="1"/>
  <c r="X231" i="1"/>
  <c r="W231" i="1"/>
  <c r="Q231" i="1" s="1"/>
  <c r="K231" i="1"/>
  <c r="F231" i="1"/>
  <c r="AE230" i="1"/>
  <c r="AD230" i="1"/>
  <c r="X230" i="1"/>
  <c r="W230" i="1"/>
  <c r="Q230" i="1" s="1"/>
  <c r="U230" i="1"/>
  <c r="K230" i="1"/>
  <c r="F230" i="1"/>
  <c r="AD233" i="1"/>
  <c r="AC233" i="1"/>
  <c r="V233" i="1"/>
  <c r="W233" i="1" s="1"/>
  <c r="Q233" i="1" s="1"/>
  <c r="R233" i="1" s="1"/>
  <c r="S233" i="1" s="1"/>
  <c r="K233" i="1"/>
  <c r="F233" i="1"/>
  <c r="AD213" i="1"/>
  <c r="AC213" i="1"/>
  <c r="V213" i="1"/>
  <c r="X213" i="1" s="1"/>
  <c r="K213" i="1"/>
  <c r="F213" i="1"/>
  <c r="AE224" i="1"/>
  <c r="AD224" i="1"/>
  <c r="X224" i="1"/>
  <c r="W224" i="1"/>
  <c r="Q224" i="1" s="1"/>
  <c r="T224" i="1"/>
  <c r="U224" i="1" s="1"/>
  <c r="K224" i="1"/>
  <c r="F224" i="1"/>
  <c r="AD216" i="1"/>
  <c r="AC216" i="1"/>
  <c r="V216" i="1"/>
  <c r="X216" i="1" s="1"/>
  <c r="U216" i="1"/>
  <c r="K216" i="1"/>
  <c r="F216" i="1"/>
  <c r="AD211" i="1"/>
  <c r="AC211" i="1"/>
  <c r="V211" i="1"/>
  <c r="X211" i="1" s="1"/>
  <c r="K211" i="1"/>
  <c r="F211" i="1"/>
  <c r="AD212" i="1"/>
  <c r="AC212" i="1"/>
  <c r="V212" i="1"/>
  <c r="X212" i="1" s="1"/>
  <c r="K212" i="1"/>
  <c r="F212" i="1"/>
  <c r="AD237" i="1"/>
  <c r="AC237" i="1"/>
  <c r="X237" i="1"/>
  <c r="S237" i="1"/>
  <c r="K237" i="1"/>
  <c r="F237" i="1"/>
  <c r="AD239" i="1"/>
  <c r="AC239" i="1"/>
  <c r="X239" i="1"/>
  <c r="W239" i="1"/>
  <c r="Y239" i="1" s="1"/>
  <c r="AE239" i="1" s="1"/>
  <c r="O239" i="1"/>
  <c r="P239" i="1" s="1"/>
  <c r="K239" i="1"/>
  <c r="F239" i="1"/>
  <c r="AD214" i="1"/>
  <c r="AC214" i="1"/>
  <c r="V214" i="1"/>
  <c r="X214" i="1" s="1"/>
  <c r="U214" i="1"/>
  <c r="K214" i="1"/>
  <c r="F214" i="1"/>
  <c r="AD241" i="1"/>
  <c r="AC241" i="1"/>
  <c r="X241" i="1"/>
  <c r="W241" i="1"/>
  <c r="Y241" i="1" s="1"/>
  <c r="AE241" i="1" s="1"/>
  <c r="T241" i="1"/>
  <c r="S241" i="1"/>
  <c r="K241" i="1"/>
  <c r="F241" i="1"/>
  <c r="AD215" i="1"/>
  <c r="AC215" i="1"/>
  <c r="V215" i="1"/>
  <c r="X215" i="1" s="1"/>
  <c r="U215" i="1"/>
  <c r="K215" i="1"/>
  <c r="F215" i="1"/>
  <c r="AD238" i="1"/>
  <c r="AC238" i="1"/>
  <c r="X238" i="1"/>
  <c r="W238" i="1"/>
  <c r="Y238" i="1" s="1"/>
  <c r="AE238" i="1" s="1"/>
  <c r="O238" i="1"/>
  <c r="P238" i="1" s="1"/>
  <c r="K238" i="1"/>
  <c r="F238" i="1"/>
  <c r="AD221" i="1"/>
  <c r="AC221" i="1"/>
  <c r="W221" i="1"/>
  <c r="Y221" i="1" s="1"/>
  <c r="AE221" i="1" s="1"/>
  <c r="Q221" i="1"/>
  <c r="R221" i="1" s="1"/>
  <c r="S221" i="1" s="1"/>
  <c r="K221" i="1"/>
  <c r="F221" i="1"/>
  <c r="AE201" i="1"/>
  <c r="AD201" i="1"/>
  <c r="AC201" i="1"/>
  <c r="V201" i="1"/>
  <c r="X201" i="1" s="1"/>
  <c r="U201" i="1"/>
  <c r="T201" i="1" s="1"/>
  <c r="Q201" i="1"/>
  <c r="R201" i="1" s="1"/>
  <c r="S201" i="1" s="1"/>
  <c r="K201" i="1"/>
  <c r="F201" i="1"/>
  <c r="AD198" i="1"/>
  <c r="AC198" i="1"/>
  <c r="X198" i="1"/>
  <c r="Q198" i="1"/>
  <c r="R198" i="1" s="1"/>
  <c r="S198" i="1" s="1"/>
  <c r="K198" i="1"/>
  <c r="F198" i="1"/>
  <c r="AE200" i="1"/>
  <c r="AD200" i="1"/>
  <c r="W200" i="1"/>
  <c r="V200" i="1" s="1"/>
  <c r="X200" i="1" s="1"/>
  <c r="S200" i="1"/>
  <c r="K200" i="1"/>
  <c r="F200" i="1"/>
  <c r="AD251" i="1"/>
  <c r="AC251" i="1"/>
  <c r="W251" i="1"/>
  <c r="Y251" i="1" s="1"/>
  <c r="AE251" i="1" s="1"/>
  <c r="S251" i="1"/>
  <c r="K251" i="1"/>
  <c r="F251" i="1"/>
  <c r="AD249" i="1"/>
  <c r="AC249" i="1"/>
  <c r="W249" i="1"/>
  <c r="V249" i="1" s="1"/>
  <c r="X249" i="1" s="1"/>
  <c r="S249" i="1"/>
  <c r="K249" i="1"/>
  <c r="F249" i="1"/>
  <c r="AD250" i="1"/>
  <c r="AC250" i="1"/>
  <c r="W250" i="1"/>
  <c r="Y250" i="1" s="1"/>
  <c r="AE250" i="1" s="1"/>
  <c r="S250" i="1"/>
  <c r="K250" i="1"/>
  <c r="F250" i="1"/>
  <c r="AD247" i="1"/>
  <c r="AC247" i="1"/>
  <c r="W247" i="1"/>
  <c r="V247" i="1" s="1"/>
  <c r="X247" i="1" s="1"/>
  <c r="S247" i="1"/>
  <c r="K247" i="1"/>
  <c r="F247" i="1"/>
  <c r="AD248" i="1"/>
  <c r="AC248" i="1"/>
  <c r="W248" i="1"/>
  <c r="Y248" i="1" s="1"/>
  <c r="AE248" i="1" s="1"/>
  <c r="S248" i="1"/>
  <c r="K248" i="1"/>
  <c r="F248" i="1"/>
  <c r="AE187" i="1"/>
  <c r="AC187" i="1"/>
  <c r="U187" i="1"/>
  <c r="W187" i="1" s="1"/>
  <c r="S187" i="1"/>
  <c r="K187" i="1"/>
  <c r="F187" i="1"/>
  <c r="AE185" i="1"/>
  <c r="AD185" i="1"/>
  <c r="Y185" i="1"/>
  <c r="V185" i="1"/>
  <c r="X185" i="1" s="1"/>
  <c r="R185" i="1"/>
  <c r="S185" i="1" s="1"/>
  <c r="K185" i="1"/>
  <c r="F185" i="1"/>
  <c r="AD246" i="1"/>
  <c r="AC246" i="1"/>
  <c r="V246" i="1"/>
  <c r="W246" i="1" s="1"/>
  <c r="Y246" i="1" s="1"/>
  <c r="AE246" i="1" s="1"/>
  <c r="S246" i="1"/>
  <c r="K246" i="1"/>
  <c r="F246" i="1"/>
  <c r="AE199" i="1"/>
  <c r="AD199" i="1"/>
  <c r="V199" i="1"/>
  <c r="X199" i="1" s="1"/>
  <c r="U199" i="1"/>
  <c r="F199" i="1"/>
  <c r="AC225" i="1"/>
  <c r="X225" i="1"/>
  <c r="Y225" i="1" s="1"/>
  <c r="AE225" i="1" s="1"/>
  <c r="W225" i="1"/>
  <c r="T225" i="1"/>
  <c r="U225" i="1" s="1"/>
  <c r="Q225" i="1"/>
  <c r="R225" i="1" s="1"/>
  <c r="S225" i="1" s="1"/>
  <c r="K225" i="1"/>
  <c r="F225" i="1"/>
  <c r="AD222" i="1"/>
  <c r="AC222" i="1"/>
  <c r="V222" i="1"/>
  <c r="W222" i="1" s="1"/>
  <c r="Y222" i="1" s="1"/>
  <c r="AE222" i="1" s="1"/>
  <c r="S222" i="1"/>
  <c r="K222" i="1"/>
  <c r="F222" i="1"/>
  <c r="AE197" i="1"/>
  <c r="AD197" i="1"/>
  <c r="V197" i="1"/>
  <c r="W197" i="1" s="1"/>
  <c r="Y197" i="1" s="1"/>
  <c r="AC197" i="1" s="1"/>
  <c r="U197" i="1"/>
  <c r="Q197" i="1"/>
  <c r="R197" i="1" s="1"/>
  <c r="S197" i="1" s="1"/>
  <c r="F197" i="1"/>
  <c r="AD255" i="1"/>
  <c r="AC255" i="1"/>
  <c r="V255" i="1"/>
  <c r="X255" i="1" s="1"/>
  <c r="Q255" i="1"/>
  <c r="R255" i="1" s="1"/>
  <c r="S255" i="1" s="1"/>
  <c r="K255" i="1"/>
  <c r="F255" i="1"/>
  <c r="AE129" i="1"/>
  <c r="AC129" i="1"/>
  <c r="W129" i="1"/>
  <c r="T129" i="1"/>
  <c r="V129" i="1" s="1"/>
  <c r="X129" i="1" s="1"/>
  <c r="K129" i="1"/>
  <c r="F129" i="1"/>
  <c r="AE210" i="1"/>
  <c r="AD210" i="1"/>
  <c r="W210" i="1"/>
  <c r="Q210" i="1" s="1"/>
  <c r="U210" i="1"/>
  <c r="K210" i="1"/>
  <c r="F210" i="1"/>
  <c r="AD209" i="1"/>
  <c r="AC209" i="1"/>
  <c r="W209" i="1"/>
  <c r="V209" i="1" s="1"/>
  <c r="X209" i="1" s="1"/>
  <c r="S209" i="1"/>
  <c r="Q209" i="1"/>
  <c r="K209" i="1"/>
  <c r="F209" i="1"/>
  <c r="AD208" i="1"/>
  <c r="AC208" i="1"/>
  <c r="Q208" i="1"/>
  <c r="W208" i="1" s="1"/>
  <c r="V208" i="1" s="1"/>
  <c r="X208" i="1" s="1"/>
  <c r="Y208" i="1" s="1"/>
  <c r="AE208" i="1" s="1"/>
  <c r="K208" i="1"/>
  <c r="F208" i="1"/>
  <c r="AE207" i="1"/>
  <c r="AD207" i="1"/>
  <c r="X207" i="1"/>
  <c r="W207" i="1"/>
  <c r="K207" i="1"/>
  <c r="F207" i="1"/>
  <c r="AE206" i="1"/>
  <c r="AD206" i="1"/>
  <c r="X206" i="1"/>
  <c r="W206" i="1"/>
  <c r="Q206" i="1" s="1"/>
  <c r="K206" i="1"/>
  <c r="F206" i="1"/>
  <c r="AD204" i="1"/>
  <c r="AC204" i="1"/>
  <c r="V204" i="1"/>
  <c r="X204" i="1" s="1"/>
  <c r="K204" i="1"/>
  <c r="F204" i="1"/>
  <c r="AD203" i="1"/>
  <c r="AC203" i="1"/>
  <c r="V203" i="1"/>
  <c r="X203" i="1" s="1"/>
  <c r="S203" i="1"/>
  <c r="K203" i="1"/>
  <c r="F203" i="1"/>
  <c r="AD205" i="1"/>
  <c r="AC205" i="1"/>
  <c r="V205" i="1"/>
  <c r="X205" i="1" s="1"/>
  <c r="S205" i="1"/>
  <c r="K205" i="1"/>
  <c r="F205" i="1"/>
  <c r="AE202" i="1"/>
  <c r="AD202" i="1"/>
  <c r="Y202" i="1"/>
  <c r="AC202" i="1" s="1"/>
  <c r="V202" i="1"/>
  <c r="X202" i="1" s="1"/>
  <c r="S202" i="1"/>
  <c r="K202" i="1"/>
  <c r="F202" i="1"/>
  <c r="AE175" i="1"/>
  <c r="AD175" i="1"/>
  <c r="V175" i="1"/>
  <c r="X175" i="1" s="1"/>
  <c r="U175" i="1"/>
  <c r="T175" i="1" s="1"/>
  <c r="S175" i="1"/>
  <c r="F175" i="1"/>
  <c r="AE186" i="1"/>
  <c r="AD186" i="1"/>
  <c r="Y186" i="1"/>
  <c r="AC186" i="1" s="1"/>
  <c r="V186" i="1"/>
  <c r="X186" i="1" s="1"/>
  <c r="T186" i="1"/>
  <c r="S186" i="1"/>
  <c r="K186" i="1"/>
  <c r="F186" i="1"/>
  <c r="AE181" i="1"/>
  <c r="AC181" i="1"/>
  <c r="T181" i="1"/>
  <c r="K181" i="1"/>
  <c r="F181" i="1"/>
  <c r="AE184" i="1"/>
  <c r="AD184" i="1"/>
  <c r="X184" i="1"/>
  <c r="W184" i="1"/>
  <c r="U184" i="1"/>
  <c r="P184" i="1"/>
  <c r="O184" i="1"/>
  <c r="K184" i="1"/>
  <c r="F184" i="1"/>
  <c r="AE172" i="1"/>
  <c r="AD172" i="1"/>
  <c r="V172" i="1"/>
  <c r="U172" i="1"/>
  <c r="K172" i="1"/>
  <c r="F172" i="1"/>
  <c r="AE164" i="1"/>
  <c r="AD164" i="1"/>
  <c r="AC164" i="1"/>
  <c r="K164" i="1"/>
  <c r="F164" i="1"/>
  <c r="AE176" i="1"/>
  <c r="AD176" i="1"/>
  <c r="X176" i="1"/>
  <c r="W176" i="1"/>
  <c r="U176" i="1"/>
  <c r="K176" i="1"/>
  <c r="F176" i="1"/>
  <c r="AE235" i="1"/>
  <c r="AD235" i="1"/>
  <c r="V235" i="1"/>
  <c r="U235" i="1"/>
  <c r="K235" i="1"/>
  <c r="F235" i="1"/>
  <c r="AD169" i="1"/>
  <c r="AC169" i="1"/>
  <c r="V169" i="1"/>
  <c r="X169" i="1" s="1"/>
  <c r="U169" i="1"/>
  <c r="K169" i="1"/>
  <c r="F169" i="1"/>
  <c r="AE174" i="1"/>
  <c r="AD174" i="1"/>
  <c r="K174" i="1"/>
  <c r="F174" i="1"/>
  <c r="AE168" i="1"/>
  <c r="AD168" i="1"/>
  <c r="X168" i="1"/>
  <c r="W168" i="1"/>
  <c r="K168" i="1"/>
  <c r="F168" i="1"/>
  <c r="AE183" i="1"/>
  <c r="AD183" i="1"/>
  <c r="X183" i="1"/>
  <c r="W183" i="1"/>
  <c r="U183" i="1"/>
  <c r="S183" i="1"/>
  <c r="K183" i="1"/>
  <c r="F183" i="1"/>
  <c r="AE244" i="1"/>
  <c r="AD244" i="1"/>
  <c r="X244" i="1"/>
  <c r="W244" i="1"/>
  <c r="Q244" i="1" s="1"/>
  <c r="R244" i="1" s="1"/>
  <c r="S244" i="1" s="1"/>
  <c r="K244" i="1"/>
  <c r="F244" i="1"/>
  <c r="AD243" i="1"/>
  <c r="AC243" i="1"/>
  <c r="X243" i="1"/>
  <c r="W243" i="1"/>
  <c r="U243" i="1"/>
  <c r="K243" i="1"/>
  <c r="F243" i="1"/>
  <c r="AE167" i="1"/>
  <c r="AD167" i="1"/>
  <c r="Y167" i="1"/>
  <c r="V167" i="1"/>
  <c r="X167" i="1" s="1"/>
  <c r="T167" i="1"/>
  <c r="U167" i="1" s="1"/>
  <c r="R167" i="1"/>
  <c r="S167" i="1" s="1"/>
  <c r="K167" i="1"/>
  <c r="F167" i="1"/>
  <c r="AE165" i="1"/>
  <c r="AD165" i="1"/>
  <c r="X165" i="1"/>
  <c r="W165" i="1"/>
  <c r="U165" i="1"/>
  <c r="K165" i="1"/>
  <c r="F165" i="1"/>
  <c r="AE161" i="1"/>
  <c r="AC161" i="1"/>
  <c r="Y161" i="1"/>
  <c r="Q161" i="1"/>
  <c r="R161" i="1" s="1"/>
  <c r="S161" i="1" s="1"/>
  <c r="K161" i="1"/>
  <c r="F161" i="1"/>
  <c r="AD193" i="1"/>
  <c r="AC193" i="1"/>
  <c r="Y193" i="1"/>
  <c r="AE193" i="1" s="1"/>
  <c r="V193" i="1"/>
  <c r="X193" i="1" s="1"/>
  <c r="Q193" i="1"/>
  <c r="R193" i="1" s="1"/>
  <c r="S193" i="1" s="1"/>
  <c r="K193" i="1"/>
  <c r="F193" i="1"/>
  <c r="AE160" i="1"/>
  <c r="AD160" i="1"/>
  <c r="AC160" i="1"/>
  <c r="X160" i="1"/>
  <c r="W160" i="1"/>
  <c r="T160" i="1"/>
  <c r="V160" i="1" s="1"/>
  <c r="R160" i="1"/>
  <c r="S160" i="1" s="1"/>
  <c r="K160" i="1"/>
  <c r="F160" i="1"/>
  <c r="AE171" i="1"/>
  <c r="AC171" i="1"/>
  <c r="U171" i="1"/>
  <c r="Q171" i="1"/>
  <c r="R171" i="1" s="1"/>
  <c r="S171" i="1" s="1"/>
  <c r="K171" i="1"/>
  <c r="F171" i="1"/>
  <c r="AE144" i="1"/>
  <c r="AD144" i="1"/>
  <c r="Y144" i="1"/>
  <c r="X144" i="1"/>
  <c r="Q144" i="1"/>
  <c r="K144" i="1"/>
  <c r="F144" i="1"/>
  <c r="AE137" i="1"/>
  <c r="AC137" i="1"/>
  <c r="Q137" i="1"/>
  <c r="R137" i="1" s="1"/>
  <c r="S137" i="1" s="1"/>
  <c r="K137" i="1"/>
  <c r="F137" i="1"/>
  <c r="AE163" i="1"/>
  <c r="AD163" i="1"/>
  <c r="X163" i="1"/>
  <c r="K163" i="1"/>
  <c r="F163" i="1"/>
  <c r="AE149" i="1"/>
  <c r="AD149" i="1"/>
  <c r="AC149" i="1"/>
  <c r="V149" i="1"/>
  <c r="X149" i="1" s="1"/>
  <c r="U149" i="1"/>
  <c r="K149" i="1"/>
  <c r="F149" i="1"/>
  <c r="AE162" i="1"/>
  <c r="AC162" i="1"/>
  <c r="Y162" i="1"/>
  <c r="AD162" i="1" s="1"/>
  <c r="Q162" i="1"/>
  <c r="R162" i="1" s="1"/>
  <c r="S162" i="1" s="1"/>
  <c r="K162" i="1"/>
  <c r="F162" i="1"/>
  <c r="AE170" i="1"/>
  <c r="AC170" i="1"/>
  <c r="X170" i="1"/>
  <c r="W170" i="1"/>
  <c r="Y170" i="1" s="1"/>
  <c r="AD170" i="1" s="1"/>
  <c r="U170" i="1"/>
  <c r="Q170" i="1"/>
  <c r="R170" i="1" s="1"/>
  <c r="S170" i="1" s="1"/>
  <c r="K170" i="1"/>
  <c r="F170" i="1"/>
  <c r="AE150" i="1"/>
  <c r="AC150" i="1"/>
  <c r="Q150" i="1"/>
  <c r="R150" i="1" s="1"/>
  <c r="S150" i="1" s="1"/>
  <c r="K150" i="1"/>
  <c r="F150" i="1"/>
  <c r="AE159" i="1"/>
  <c r="AD159" i="1"/>
  <c r="U159" i="1"/>
  <c r="Q159" i="1"/>
  <c r="R159" i="1" s="1"/>
  <c r="S159" i="1" s="1"/>
  <c r="K159" i="1"/>
  <c r="F159" i="1"/>
  <c r="AE145" i="1"/>
  <c r="AC145" i="1"/>
  <c r="Y145" i="1"/>
  <c r="V145" i="1"/>
  <c r="X145" i="1" s="1"/>
  <c r="U145" i="1"/>
  <c r="R145" i="1"/>
  <c r="S145" i="1" s="1"/>
  <c r="K145" i="1"/>
  <c r="F145" i="1"/>
  <c r="AE136" i="1"/>
  <c r="AD136" i="1"/>
  <c r="Z136" i="1"/>
  <c r="Y136" i="1"/>
  <c r="T136" i="1"/>
  <c r="S136" i="1"/>
  <c r="K136" i="1"/>
  <c r="F136" i="1"/>
  <c r="AE179" i="1"/>
  <c r="AD179" i="1"/>
  <c r="U179" i="1"/>
  <c r="W179" i="1" s="1"/>
  <c r="Y179" i="1" s="1"/>
  <c r="AC179" i="1" s="1"/>
  <c r="Q179" i="1"/>
  <c r="R179" i="1" s="1"/>
  <c r="S179" i="1" s="1"/>
  <c r="K179" i="1"/>
  <c r="F179" i="1"/>
  <c r="AE155" i="1"/>
  <c r="AD155" i="1"/>
  <c r="AC155" i="1"/>
  <c r="V155" i="1"/>
  <c r="W155" i="1" s="1"/>
  <c r="U155" i="1"/>
  <c r="K155" i="1"/>
  <c r="F155" i="1"/>
  <c r="AE156" i="1"/>
  <c r="AD156" i="1"/>
  <c r="Z156" i="1"/>
  <c r="Y156" i="1"/>
  <c r="V156" i="1"/>
  <c r="X156" i="1" s="1"/>
  <c r="U156" i="1"/>
  <c r="S156" i="1"/>
  <c r="K156" i="1"/>
  <c r="F156" i="1"/>
  <c r="AE157" i="1"/>
  <c r="AD157" i="1"/>
  <c r="Y157" i="1"/>
  <c r="V157" i="1"/>
  <c r="X157" i="1" s="1"/>
  <c r="U157" i="1"/>
  <c r="S157" i="1"/>
  <c r="K157" i="1"/>
  <c r="F157" i="1"/>
  <c r="AE152" i="1"/>
  <c r="AC152" i="1"/>
  <c r="V152" i="1"/>
  <c r="W152" i="1" s="1"/>
  <c r="R152" i="1"/>
  <c r="S152" i="1" s="1"/>
  <c r="K152" i="1"/>
  <c r="F152" i="1"/>
  <c r="AE148" i="1"/>
  <c r="AC148" i="1"/>
  <c r="AB148" i="1"/>
  <c r="Y148" i="1"/>
  <c r="U148" i="1"/>
  <c r="T148" i="1" s="1"/>
  <c r="S148" i="1"/>
  <c r="K148" i="1"/>
  <c r="F148" i="1"/>
  <c r="AE147" i="1"/>
  <c r="AD147" i="1"/>
  <c r="X147" i="1"/>
  <c r="T147" i="1"/>
  <c r="Q147" i="1"/>
  <c r="R147" i="1" s="1"/>
  <c r="S147" i="1" s="1"/>
  <c r="K147" i="1"/>
  <c r="F147" i="1"/>
  <c r="AE153" i="1"/>
  <c r="AC153" i="1"/>
  <c r="Y153" i="1"/>
  <c r="AD153" i="1" s="1"/>
  <c r="V153" i="1"/>
  <c r="X153" i="1" s="1"/>
  <c r="T153" i="1"/>
  <c r="Q153" i="1"/>
  <c r="R153" i="1" s="1"/>
  <c r="S153" i="1" s="1"/>
  <c r="K153" i="1"/>
  <c r="F153" i="1"/>
  <c r="AE133" i="1"/>
  <c r="AD133" i="1"/>
  <c r="Y133" i="1"/>
  <c r="V133" i="1"/>
  <c r="X133" i="1" s="1"/>
  <c r="U133" i="1"/>
  <c r="S133" i="1"/>
  <c r="P133" i="1"/>
  <c r="K133" i="1"/>
  <c r="F133" i="1"/>
  <c r="AE141" i="1"/>
  <c r="AC141" i="1"/>
  <c r="Y141" i="1"/>
  <c r="AD141" i="1" s="1"/>
  <c r="V141" i="1"/>
  <c r="X141" i="1" s="1"/>
  <c r="U141" i="1"/>
  <c r="Q141" i="1"/>
  <c r="R141" i="1" s="1"/>
  <c r="S141" i="1" s="1"/>
  <c r="K141" i="1"/>
  <c r="F141" i="1"/>
  <c r="AE142" i="1"/>
  <c r="AC142" i="1"/>
  <c r="W142" i="1"/>
  <c r="V142" i="1" s="1"/>
  <c r="X142" i="1" s="1"/>
  <c r="Q142" i="1"/>
  <c r="R142" i="1" s="1"/>
  <c r="S142" i="1" s="1"/>
  <c r="K142" i="1"/>
  <c r="F142" i="1"/>
  <c r="AE143" i="1"/>
  <c r="AD143" i="1"/>
  <c r="U143" i="1"/>
  <c r="W143" i="1" s="1"/>
  <c r="Y143" i="1" s="1"/>
  <c r="X143" i="1" s="1"/>
  <c r="Q143" i="1"/>
  <c r="R143" i="1" s="1"/>
  <c r="S143" i="1" s="1"/>
  <c r="K143" i="1"/>
  <c r="F143" i="1"/>
  <c r="AE151" i="1"/>
  <c r="AC151" i="1"/>
  <c r="X151" i="1"/>
  <c r="Y151" i="1" s="1"/>
  <c r="W151" i="1"/>
  <c r="Q151" i="1" s="1"/>
  <c r="U151" i="1"/>
  <c r="K151" i="1"/>
  <c r="F151" i="1"/>
  <c r="AE130" i="1"/>
  <c r="AD130" i="1"/>
  <c r="Y130" i="1"/>
  <c r="V130" i="1"/>
  <c r="X130" i="1" s="1"/>
  <c r="U130" i="1"/>
  <c r="R130" i="1"/>
  <c r="S130" i="1" s="1"/>
  <c r="K130" i="1"/>
  <c r="F130" i="1"/>
  <c r="AD126" i="1"/>
  <c r="AC126" i="1"/>
  <c r="V126" i="1"/>
  <c r="X126" i="1" s="1"/>
  <c r="U126" i="1"/>
  <c r="S126" i="1"/>
  <c r="K126" i="1"/>
  <c r="F126" i="1"/>
  <c r="AE139" i="1"/>
  <c r="AD139" i="1"/>
  <c r="Y139" i="1"/>
  <c r="AC139" i="1" s="1"/>
  <c r="V139" i="1"/>
  <c r="X139" i="1" s="1"/>
  <c r="T139" i="1"/>
  <c r="Q139" i="1"/>
  <c r="K139" i="1"/>
  <c r="F139" i="1"/>
  <c r="AE154" i="1"/>
  <c r="AD154" i="1"/>
  <c r="AB154" i="1"/>
  <c r="Z154" i="1"/>
  <c r="W154" i="1"/>
  <c r="Y154" i="1" s="1"/>
  <c r="U154" i="1"/>
  <c r="S154" i="1"/>
  <c r="K154" i="1"/>
  <c r="F154" i="1"/>
  <c r="AE138" i="1"/>
  <c r="AD138" i="1"/>
  <c r="Y138" i="1"/>
  <c r="V138" i="1"/>
  <c r="X138" i="1" s="1"/>
  <c r="T138" i="1"/>
  <c r="K138" i="1"/>
  <c r="F138" i="1"/>
  <c r="AE128" i="1"/>
  <c r="AD128" i="1"/>
  <c r="Y128" i="1"/>
  <c r="X128" i="1"/>
  <c r="V128" i="1"/>
  <c r="T128" i="1"/>
  <c r="Q128" i="1"/>
  <c r="K128" i="1"/>
  <c r="F128" i="1"/>
  <c r="AE146" i="1"/>
  <c r="AD146" i="1"/>
  <c r="X146" i="1"/>
  <c r="W146" i="1"/>
  <c r="Y146" i="1" s="1"/>
  <c r="R146" i="1" s="1"/>
  <c r="S146" i="1" s="1"/>
  <c r="U146" i="1"/>
  <c r="K146" i="1"/>
  <c r="F146" i="1"/>
  <c r="AE132" i="1"/>
  <c r="AD132" i="1"/>
  <c r="Y132" i="1"/>
  <c r="V132" i="1"/>
  <c r="X132" i="1" s="1"/>
  <c r="T132" i="1"/>
  <c r="K132" i="1"/>
  <c r="F132" i="1"/>
  <c r="AE124" i="1"/>
  <c r="AD124" i="1"/>
  <c r="Y124" i="1"/>
  <c r="R124" i="1" s="1"/>
  <c r="S124" i="1" s="1"/>
  <c r="U124" i="1"/>
  <c r="W124" i="1" s="1"/>
  <c r="Q124" i="1" s="1"/>
  <c r="K124" i="1"/>
  <c r="F124" i="1"/>
  <c r="AE158" i="1"/>
  <c r="AD158" i="1"/>
  <c r="W158" i="1"/>
  <c r="T158" i="1"/>
  <c r="R158" i="1"/>
  <c r="S158" i="1" s="1"/>
  <c r="K158" i="1"/>
  <c r="F158" i="1"/>
  <c r="AE121" i="1"/>
  <c r="AD121" i="1"/>
  <c r="T121" i="1"/>
  <c r="U121" i="1" s="1"/>
  <c r="W121" i="1" s="1"/>
  <c r="R121" i="1"/>
  <c r="S121" i="1" s="1"/>
  <c r="K121" i="1"/>
  <c r="F121" i="1"/>
  <c r="AE123" i="1"/>
  <c r="AC123" i="1"/>
  <c r="Y123" i="1"/>
  <c r="AD123" i="1" s="1"/>
  <c r="X123" i="1"/>
  <c r="U123" i="1"/>
  <c r="S123" i="1"/>
  <c r="K123" i="1"/>
  <c r="F123" i="1"/>
  <c r="AE120" i="1"/>
  <c r="AD120" i="1"/>
  <c r="AC120" i="1"/>
  <c r="X120" i="1"/>
  <c r="V120" i="1"/>
  <c r="T120" i="1"/>
  <c r="R120" i="1"/>
  <c r="S120" i="1" s="1"/>
  <c r="K120" i="1"/>
  <c r="F120" i="1"/>
  <c r="AD122" i="1"/>
  <c r="AC122" i="1"/>
  <c r="Y122" i="1"/>
  <c r="AE122" i="1" s="1"/>
  <c r="V122" i="1"/>
  <c r="U122" i="1"/>
  <c r="Q122" i="1"/>
  <c r="R122" i="1" s="1"/>
  <c r="S122" i="1" s="1"/>
  <c r="K122" i="1"/>
  <c r="F122" i="1"/>
  <c r="AE118" i="1"/>
  <c r="AD118" i="1"/>
  <c r="Y118" i="1"/>
  <c r="R118" i="1" s="1"/>
  <c r="S118" i="1" s="1"/>
  <c r="W118" i="1"/>
  <c r="Q118" i="1" s="1"/>
  <c r="U118" i="1"/>
  <c r="K118" i="1"/>
  <c r="F118" i="1"/>
  <c r="AD117" i="1"/>
  <c r="AC117" i="1"/>
  <c r="Y117" i="1"/>
  <c r="U117" i="1"/>
  <c r="W117" i="1" s="1"/>
  <c r="K117" i="1"/>
  <c r="F117" i="1"/>
  <c r="AD125" i="1"/>
  <c r="AC125" i="1"/>
  <c r="X125" i="1"/>
  <c r="W125" i="1"/>
  <c r="K125" i="1"/>
  <c r="F125" i="1"/>
  <c r="AE113" i="1"/>
  <c r="AC113" i="1"/>
  <c r="Y113" i="1"/>
  <c r="AD113" i="1" s="1"/>
  <c r="W113" i="1"/>
  <c r="Q113" i="1" s="1"/>
  <c r="U113" i="1"/>
  <c r="K113" i="1"/>
  <c r="F113" i="1"/>
  <c r="AE119" i="1"/>
  <c r="AD119" i="1"/>
  <c r="X119" i="1"/>
  <c r="W119" i="1"/>
  <c r="Y119" i="1" s="1"/>
  <c r="K119" i="1"/>
  <c r="F119" i="1"/>
  <c r="AE116" i="1"/>
  <c r="AC116" i="1"/>
  <c r="AA116" i="1"/>
  <c r="Y116" i="1"/>
  <c r="W116" i="1"/>
  <c r="U116" i="1"/>
  <c r="S116" i="1"/>
  <c r="K116" i="1"/>
  <c r="F116" i="1"/>
  <c r="AE115" i="1"/>
  <c r="AD115" i="1"/>
  <c r="AC115" i="1"/>
  <c r="X115" i="1"/>
  <c r="V115" i="1"/>
  <c r="S115" i="1"/>
  <c r="O115" i="1"/>
  <c r="K115" i="1"/>
  <c r="F115" i="1"/>
  <c r="AE112" i="1"/>
  <c r="AD112" i="1"/>
  <c r="Y112" i="1"/>
  <c r="AC112" i="1" s="1"/>
  <c r="V112" i="1"/>
  <c r="X112" i="1" s="1"/>
  <c r="R112" i="1"/>
  <c r="S112" i="1" s="1"/>
  <c r="K112" i="1"/>
  <c r="F112" i="1"/>
  <c r="AE111" i="1"/>
  <c r="AD111" i="1"/>
  <c r="W111" i="1"/>
  <c r="Y111" i="1" s="1"/>
  <c r="AC111" i="1" s="1"/>
  <c r="R111" i="1"/>
  <c r="S111" i="1" s="1"/>
  <c r="K111" i="1"/>
  <c r="F111" i="1"/>
  <c r="AE114" i="1"/>
  <c r="AD114" i="1"/>
  <c r="X114" i="1"/>
  <c r="W114" i="1"/>
  <c r="K114" i="1"/>
  <c r="F114" i="1"/>
  <c r="AD110" i="1"/>
  <c r="AC110" i="1"/>
  <c r="X110" i="1"/>
  <c r="Y110" i="1" s="1"/>
  <c r="AE110" i="1" s="1"/>
  <c r="W110" i="1"/>
  <c r="S110" i="1"/>
  <c r="K110" i="1"/>
  <c r="F110" i="1"/>
  <c r="AE99" i="1"/>
  <c r="AC99" i="1"/>
  <c r="V99" i="1"/>
  <c r="X99" i="1" s="1"/>
  <c r="Y99" i="1" s="1"/>
  <c r="U99" i="1"/>
  <c r="K99" i="1"/>
  <c r="F99" i="1"/>
  <c r="AE101" i="1"/>
  <c r="AC101" i="1"/>
  <c r="W101" i="1"/>
  <c r="Y101" i="1" s="1"/>
  <c r="AD101" i="1" s="1"/>
  <c r="U101" i="1"/>
  <c r="R101" i="1"/>
  <c r="S101" i="1" s="1"/>
  <c r="K101" i="1"/>
  <c r="F101" i="1"/>
  <c r="AE98" i="1"/>
  <c r="AD98" i="1"/>
  <c r="AB98" i="1"/>
  <c r="Z98" i="1"/>
  <c r="Y98" i="1"/>
  <c r="V98" i="1"/>
  <c r="X98" i="1" s="1"/>
  <c r="U98" i="1"/>
  <c r="Q98" i="1"/>
  <c r="K98" i="1"/>
  <c r="F98" i="1"/>
  <c r="AE102" i="1"/>
  <c r="AD102" i="1"/>
  <c r="AB102" i="1"/>
  <c r="Z102" i="1"/>
  <c r="W102" i="1"/>
  <c r="V102" i="1" s="1"/>
  <c r="X102" i="1" s="1"/>
  <c r="Y102" i="1" s="1"/>
  <c r="AC102" i="1" s="1"/>
  <c r="T102" i="1"/>
  <c r="Q102" i="1"/>
  <c r="R102" i="1" s="1"/>
  <c r="S102" i="1" s="1"/>
  <c r="K102" i="1"/>
  <c r="F102" i="1"/>
  <c r="AE105" i="1"/>
  <c r="AD105" i="1"/>
  <c r="Z105" i="1"/>
  <c r="AC105" i="1" s="1"/>
  <c r="W105" i="1"/>
  <c r="V105" i="1" s="1"/>
  <c r="X105" i="1" s="1"/>
  <c r="Q105" i="1"/>
  <c r="R105" i="1" s="1"/>
  <c r="S105" i="1" s="1"/>
  <c r="K105" i="1"/>
  <c r="F105" i="1"/>
  <c r="AD100" i="1"/>
  <c r="AC100" i="1"/>
  <c r="Y100" i="1"/>
  <c r="AE100" i="1" s="1"/>
  <c r="V100" i="1"/>
  <c r="X100" i="1" s="1"/>
  <c r="Q100" i="1"/>
  <c r="R100" i="1" s="1"/>
  <c r="S100" i="1" s="1"/>
  <c r="K100" i="1"/>
  <c r="F100" i="1"/>
  <c r="AE107" i="1"/>
  <c r="AD107" i="1"/>
  <c r="Y107" i="1"/>
  <c r="R107" i="1" s="1"/>
  <c r="S107" i="1" s="1"/>
  <c r="W107" i="1"/>
  <c r="Q107" i="1" s="1"/>
  <c r="U107" i="1"/>
  <c r="K107" i="1"/>
  <c r="F107" i="1"/>
  <c r="AE104" i="1"/>
  <c r="AD104" i="1"/>
  <c r="AC104" i="1"/>
  <c r="X104" i="1"/>
  <c r="V104" i="1"/>
  <c r="T104" i="1"/>
  <c r="R104" i="1"/>
  <c r="S104" i="1" s="1"/>
  <c r="K104" i="1"/>
  <c r="F104" i="1"/>
  <c r="AE106" i="1"/>
  <c r="AD106" i="1"/>
  <c r="Z106" i="1"/>
  <c r="W106" i="1"/>
  <c r="Q106" i="1" s="1"/>
  <c r="U106" i="1"/>
  <c r="K106" i="1"/>
  <c r="F106" i="1"/>
  <c r="AE97" i="1"/>
  <c r="AD97" i="1"/>
  <c r="Z97" i="1"/>
  <c r="W97" i="1"/>
  <c r="Y97" i="1" s="1"/>
  <c r="X97" i="1" s="1"/>
  <c r="U97" i="1"/>
  <c r="R97" i="1"/>
  <c r="S97" i="1" s="1"/>
  <c r="K97" i="1"/>
  <c r="F97" i="1"/>
  <c r="AE108" i="1"/>
  <c r="AD108" i="1"/>
  <c r="Y108" i="1"/>
  <c r="AC108" i="1" s="1"/>
  <c r="W108" i="1"/>
  <c r="Q108" i="1" s="1"/>
  <c r="U108" i="1"/>
  <c r="K108" i="1"/>
  <c r="F108" i="1"/>
  <c r="AE103" i="1"/>
  <c r="AD103" i="1"/>
  <c r="AC103" i="1"/>
  <c r="X103" i="1"/>
  <c r="V103" i="1"/>
  <c r="S103" i="1"/>
  <c r="K103" i="1"/>
  <c r="F103" i="1"/>
  <c r="AD109" i="1"/>
  <c r="AC109" i="1"/>
  <c r="Y109" i="1"/>
  <c r="AE109" i="1" s="1"/>
  <c r="V109" i="1"/>
  <c r="X109" i="1" s="1"/>
  <c r="S109" i="1"/>
  <c r="K109" i="1"/>
  <c r="F109" i="1"/>
  <c r="AE92" i="1"/>
  <c r="AD92" i="1"/>
  <c r="S92" i="1"/>
  <c r="Q92" i="1"/>
  <c r="W92" i="1" s="1"/>
  <c r="V92" i="1" s="1"/>
  <c r="K92" i="1"/>
  <c r="F92" i="1"/>
  <c r="AE89" i="1"/>
  <c r="AC89" i="1"/>
  <c r="AA89" i="1"/>
  <c r="W89" i="1"/>
  <c r="Y89" i="1" s="1"/>
  <c r="U89" i="1"/>
  <c r="K89" i="1"/>
  <c r="F89" i="1"/>
  <c r="AE96" i="1"/>
  <c r="AD96" i="1"/>
  <c r="X96" i="1"/>
  <c r="W96" i="1"/>
  <c r="K96" i="1"/>
  <c r="F96" i="1"/>
  <c r="AE90" i="1"/>
  <c r="AD90" i="1"/>
  <c r="AB90" i="1"/>
  <c r="W90" i="1"/>
  <c r="V90" i="1" s="1"/>
  <c r="R90" i="1"/>
  <c r="S90" i="1" s="1"/>
  <c r="K90" i="1"/>
  <c r="F90" i="1"/>
  <c r="AE91" i="1"/>
  <c r="AD91" i="1"/>
  <c r="Z91" i="1"/>
  <c r="W91" i="1"/>
  <c r="Q91" i="1" s="1"/>
  <c r="R91" i="1" s="1"/>
  <c r="S91" i="1" s="1"/>
  <c r="K91" i="1"/>
  <c r="F91" i="1"/>
  <c r="AE88" i="1"/>
  <c r="AD88" i="1"/>
  <c r="W88" i="1"/>
  <c r="Y88" i="1" s="1"/>
  <c r="AC88" i="1" s="1"/>
  <c r="R88" i="1"/>
  <c r="S88" i="1" s="1"/>
  <c r="K88" i="1"/>
  <c r="F88" i="1"/>
  <c r="AE95" i="1"/>
  <c r="AD95" i="1"/>
  <c r="Z95" i="1"/>
  <c r="Y95" i="1"/>
  <c r="X95" i="1" s="1"/>
  <c r="V95" i="1"/>
  <c r="U95" i="1"/>
  <c r="Q95" i="1"/>
  <c r="K95" i="1"/>
  <c r="F95" i="1"/>
  <c r="AE94" i="1"/>
  <c r="AD94" i="1"/>
  <c r="AB94" i="1"/>
  <c r="Z94" i="1"/>
  <c r="Y94" i="1"/>
  <c r="X94" i="1" s="1"/>
  <c r="V94" i="1"/>
  <c r="K94" i="1"/>
  <c r="F94" i="1"/>
  <c r="AE93" i="1"/>
  <c r="AD93" i="1"/>
  <c r="W93" i="1"/>
  <c r="Y93" i="1" s="1"/>
  <c r="AC93" i="1" s="1"/>
  <c r="S93" i="1"/>
  <c r="K93" i="1"/>
  <c r="F93" i="1"/>
  <c r="AE87" i="1"/>
  <c r="AD87" i="1"/>
  <c r="V87" i="1"/>
  <c r="X87" i="1" s="1"/>
  <c r="Y87" i="1" s="1"/>
  <c r="AC87" i="1" s="1"/>
  <c r="K87" i="1"/>
  <c r="F87" i="1"/>
  <c r="AE79" i="1"/>
  <c r="AD79" i="1"/>
  <c r="Z79" i="1"/>
  <c r="AC79" i="1" s="1"/>
  <c r="X79" i="1"/>
  <c r="W79" i="1"/>
  <c r="V79" i="1" s="1"/>
  <c r="R79" i="1"/>
  <c r="S79" i="1" s="1"/>
  <c r="K79" i="1"/>
  <c r="F79" i="1"/>
  <c r="AE85" i="1"/>
  <c r="AD85" i="1"/>
  <c r="Z85" i="1"/>
  <c r="W85" i="1"/>
  <c r="V85" i="1" s="1"/>
  <c r="X85" i="1" s="1"/>
  <c r="Y85" i="1" s="1"/>
  <c r="R85" i="1"/>
  <c r="S85" i="1" s="1"/>
  <c r="K85" i="1"/>
  <c r="F85" i="1"/>
  <c r="AE76" i="1"/>
  <c r="AD76" i="1"/>
  <c r="Y76" i="1"/>
  <c r="AC76" i="1" s="1"/>
  <c r="V76" i="1"/>
  <c r="S76" i="1"/>
  <c r="K76" i="1"/>
  <c r="F76" i="1"/>
  <c r="AE80" i="1"/>
  <c r="AD80" i="1"/>
  <c r="Z80" i="1"/>
  <c r="W80" i="1"/>
  <c r="V80" i="1" s="1"/>
  <c r="X80" i="1" s="1"/>
  <c r="K80" i="1"/>
  <c r="F80" i="1"/>
  <c r="AE84" i="1"/>
  <c r="AD84" i="1"/>
  <c r="W84" i="1"/>
  <c r="Y84" i="1" s="1"/>
  <c r="AC84" i="1" s="1"/>
  <c r="R84" i="1"/>
  <c r="S84" i="1" s="1"/>
  <c r="K84" i="1"/>
  <c r="F84" i="1"/>
  <c r="AE81" i="1"/>
  <c r="AD81" i="1"/>
  <c r="Z81" i="1"/>
  <c r="Y81" i="1"/>
  <c r="X81" i="1" s="1"/>
  <c r="V81" i="1"/>
  <c r="R81" i="1"/>
  <c r="S81" i="1" s="1"/>
  <c r="K81" i="1"/>
  <c r="F81" i="1"/>
  <c r="AE75" i="1"/>
  <c r="AD75" i="1"/>
  <c r="W75" i="1"/>
  <c r="Y75" i="1" s="1"/>
  <c r="AC75" i="1" s="1"/>
  <c r="R75" i="1"/>
  <c r="S75" i="1" s="1"/>
  <c r="K75" i="1"/>
  <c r="F75" i="1"/>
  <c r="AE78" i="1"/>
  <c r="AD78" i="1"/>
  <c r="Z78" i="1"/>
  <c r="AC78" i="1" s="1"/>
  <c r="W78" i="1"/>
  <c r="V78" i="1" s="1"/>
  <c r="X78" i="1" s="1"/>
  <c r="R78" i="1"/>
  <c r="S78" i="1" s="1"/>
  <c r="K78" i="1"/>
  <c r="F78" i="1"/>
  <c r="AE82" i="1"/>
  <c r="AD82" i="1"/>
  <c r="Z82" i="1"/>
  <c r="W82" i="1"/>
  <c r="V82" i="1" s="1"/>
  <c r="R82" i="1"/>
  <c r="S82" i="1" s="1"/>
  <c r="K82" i="1"/>
  <c r="F82" i="1"/>
  <c r="AE86" i="1"/>
  <c r="AD86" i="1"/>
  <c r="Y86" i="1"/>
  <c r="R86" i="1" s="1"/>
  <c r="S86" i="1" s="1"/>
  <c r="W86" i="1"/>
  <c r="Q86" i="1" s="1"/>
  <c r="K86" i="1"/>
  <c r="F86" i="1"/>
  <c r="AE83" i="1"/>
  <c r="AD83" i="1"/>
  <c r="X83" i="1"/>
  <c r="W83" i="1"/>
  <c r="Q83" i="1" s="1"/>
  <c r="K83" i="1"/>
  <c r="F83" i="1"/>
  <c r="AE77" i="1"/>
  <c r="AD77" i="1"/>
  <c r="Y77" i="1"/>
  <c r="AC77" i="1" s="1"/>
  <c r="W77" i="1"/>
  <c r="Q77" i="1" s="1"/>
  <c r="K77" i="1"/>
  <c r="F77" i="1"/>
  <c r="AE70" i="1"/>
  <c r="AC70" i="1"/>
  <c r="Y70" i="1"/>
  <c r="AA70" i="1" s="1"/>
  <c r="AD70" i="1" s="1"/>
  <c r="W70" i="1"/>
  <c r="V70" i="1" s="1"/>
  <c r="Q70" i="1"/>
  <c r="K70" i="1"/>
  <c r="F70" i="1"/>
  <c r="AE69" i="1"/>
  <c r="AC69" i="1"/>
  <c r="AA69" i="1"/>
  <c r="AD69" i="1" s="1"/>
  <c r="X69" i="1"/>
  <c r="V69" i="1"/>
  <c r="S69" i="1"/>
  <c r="K69" i="1"/>
  <c r="F69" i="1"/>
  <c r="AE68" i="1"/>
  <c r="AC68" i="1"/>
  <c r="AA68" i="1"/>
  <c r="W68" i="1"/>
  <c r="V68" i="1" s="1"/>
  <c r="Q68" i="1"/>
  <c r="K68" i="1"/>
  <c r="F68" i="1"/>
  <c r="AE74" i="1"/>
  <c r="AD74" i="1"/>
  <c r="Y74" i="1"/>
  <c r="AC74" i="1" s="1"/>
  <c r="V74" i="1"/>
  <c r="R74" i="1"/>
  <c r="S74" i="1" s="1"/>
  <c r="K74" i="1"/>
  <c r="F74" i="1"/>
  <c r="AE72" i="1"/>
  <c r="AD72" i="1"/>
  <c r="Y72" i="1"/>
  <c r="AC72" i="1" s="1"/>
  <c r="V72" i="1"/>
  <c r="R72" i="1"/>
  <c r="S72" i="1" s="1"/>
  <c r="K72" i="1"/>
  <c r="F72" i="1"/>
  <c r="AE73" i="1"/>
  <c r="AD73" i="1"/>
  <c r="AB73" i="1"/>
  <c r="AC73" i="1" s="1"/>
  <c r="X73" i="1"/>
  <c r="W73" i="1"/>
  <c r="V73" i="1" s="1"/>
  <c r="K73" i="1"/>
  <c r="F73" i="1"/>
  <c r="AE71" i="1"/>
  <c r="AD71" i="1"/>
  <c r="Y71" i="1"/>
  <c r="W71" i="1"/>
  <c r="K71" i="1"/>
  <c r="F71" i="1"/>
  <c r="AE67" i="1"/>
  <c r="AD67" i="1"/>
  <c r="AB67" i="1"/>
  <c r="Z67" i="1"/>
  <c r="W67" i="1"/>
  <c r="Y67" i="1" s="1"/>
  <c r="AC67" i="1" s="1"/>
  <c r="R67" i="1"/>
  <c r="S67" i="1" s="1"/>
  <c r="K67" i="1"/>
  <c r="F67" i="1"/>
  <c r="AE66" i="1"/>
  <c r="AC66" i="1"/>
  <c r="Y66" i="1"/>
  <c r="AA66" i="1" s="1"/>
  <c r="AD66" i="1" s="1"/>
  <c r="W66" i="1"/>
  <c r="V66" i="1" s="1"/>
  <c r="R66" i="1"/>
  <c r="S66" i="1" s="1"/>
  <c r="Q66" i="1"/>
  <c r="K66" i="1"/>
  <c r="F66" i="1"/>
  <c r="AE57" i="1"/>
  <c r="AD57" i="1"/>
  <c r="V57" i="1"/>
  <c r="X57" i="1" s="1"/>
  <c r="Y57" i="1" s="1"/>
  <c r="AC57" i="1" s="1"/>
  <c r="Q57" i="1"/>
  <c r="R57" i="1" s="1"/>
  <c r="S57" i="1" s="1"/>
  <c r="K57" i="1"/>
  <c r="F57" i="1"/>
  <c r="AE53" i="1"/>
  <c r="AD53" i="1"/>
  <c r="AB53" i="1"/>
  <c r="AC53" i="1" s="1"/>
  <c r="W53" i="1"/>
  <c r="Q53" i="1" s="1"/>
  <c r="R53" i="1"/>
  <c r="S53" i="1" s="1"/>
  <c r="K53" i="1"/>
  <c r="F53" i="1"/>
  <c r="AE60" i="1"/>
  <c r="AD60" i="1"/>
  <c r="AC60" i="1"/>
  <c r="Y60" i="1"/>
  <c r="X60" i="1" s="1"/>
  <c r="V60" i="1"/>
  <c r="S60" i="1"/>
  <c r="K60" i="1"/>
  <c r="F60" i="1"/>
  <c r="AE56" i="1"/>
  <c r="AD56" i="1"/>
  <c r="AC56" i="1"/>
  <c r="Y56" i="1"/>
  <c r="X56" i="1" s="1"/>
  <c r="V56" i="1"/>
  <c r="S56" i="1"/>
  <c r="K56" i="1"/>
  <c r="F56" i="1"/>
  <c r="AE59" i="1"/>
  <c r="AD59" i="1"/>
  <c r="V59" i="1"/>
  <c r="X59" i="1" s="1"/>
  <c r="Y59" i="1" s="1"/>
  <c r="AC59" i="1" s="1"/>
  <c r="Q59" i="1"/>
  <c r="R59" i="1" s="1"/>
  <c r="S59" i="1" s="1"/>
  <c r="K59" i="1"/>
  <c r="F59" i="1"/>
  <c r="AE55" i="1"/>
  <c r="AC55" i="1"/>
  <c r="AA55" i="1"/>
  <c r="Y55" i="1"/>
  <c r="X55" i="1" s="1"/>
  <c r="W55" i="1"/>
  <c r="V55" i="1" s="1"/>
  <c r="R55" i="1"/>
  <c r="S55" i="1" s="1"/>
  <c r="Q55" i="1"/>
  <c r="K55" i="1"/>
  <c r="F55" i="1"/>
  <c r="AE54" i="1"/>
  <c r="AC54" i="1"/>
  <c r="Y54" i="1"/>
  <c r="R54" i="1" s="1"/>
  <c r="S54" i="1" s="1"/>
  <c r="W54" i="1"/>
  <c r="Q54" i="1" s="1"/>
  <c r="K54" i="1"/>
  <c r="F54" i="1"/>
  <c r="AE61" i="1"/>
  <c r="AC61" i="1"/>
  <c r="AA61" i="1"/>
  <c r="AD61" i="1" s="1"/>
  <c r="X61" i="1"/>
  <c r="V61" i="1"/>
  <c r="R61" i="1"/>
  <c r="S61" i="1" s="1"/>
  <c r="Q61" i="1"/>
  <c r="K61" i="1"/>
  <c r="F61" i="1"/>
  <c r="AE62" i="1"/>
  <c r="AD62" i="1"/>
  <c r="Z62" i="1"/>
  <c r="W62" i="1"/>
  <c r="V62" i="1" s="1"/>
  <c r="R62" i="1"/>
  <c r="S62" i="1" s="1"/>
  <c r="K62" i="1"/>
  <c r="F62" i="1"/>
  <c r="AE58" i="1"/>
  <c r="AC58" i="1"/>
  <c r="AA58" i="1"/>
  <c r="AD58" i="1" s="1"/>
  <c r="X58" i="1"/>
  <c r="V58" i="1"/>
  <c r="S58" i="1"/>
  <c r="K58" i="1"/>
  <c r="F58" i="1"/>
  <c r="AE65" i="1"/>
  <c r="AD65" i="1"/>
  <c r="W65" i="1"/>
  <c r="Y65" i="1" s="1"/>
  <c r="X65" i="1" s="1"/>
  <c r="R65" i="1"/>
  <c r="S65" i="1" s="1"/>
  <c r="K65" i="1"/>
  <c r="F65" i="1"/>
  <c r="AE52" i="1"/>
  <c r="AD52" i="1"/>
  <c r="Y52" i="1"/>
  <c r="AC52" i="1" s="1"/>
  <c r="V52" i="1"/>
  <c r="R52" i="1"/>
  <c r="S52" i="1" s="1"/>
  <c r="K52" i="1"/>
  <c r="F52" i="1"/>
  <c r="AE64" i="1"/>
  <c r="AD64" i="1"/>
  <c r="W64" i="1"/>
  <c r="Y64" i="1" s="1"/>
  <c r="R64" i="1"/>
  <c r="S64" i="1" s="1"/>
  <c r="K64" i="1"/>
  <c r="F64" i="1"/>
  <c r="AE63" i="1"/>
  <c r="AD63" i="1"/>
  <c r="Z63" i="1"/>
  <c r="W63" i="1"/>
  <c r="V63" i="1" s="1"/>
  <c r="R63" i="1"/>
  <c r="S63" i="1" s="1"/>
  <c r="K63" i="1"/>
  <c r="F63" i="1"/>
  <c r="AE47" i="1"/>
  <c r="AD47" i="1"/>
  <c r="AC47" i="1"/>
  <c r="X47" i="1"/>
  <c r="V47" i="1"/>
  <c r="R47" i="1"/>
  <c r="S47" i="1" s="1"/>
  <c r="K47" i="1"/>
  <c r="F47" i="1"/>
  <c r="AE42" i="1"/>
  <c r="AC42" i="1"/>
  <c r="Y42" i="1"/>
  <c r="AD42" i="1" s="1"/>
  <c r="W42" i="1"/>
  <c r="Q42" i="1" s="1"/>
  <c r="K42" i="1"/>
  <c r="F42" i="1"/>
  <c r="AE51" i="1"/>
  <c r="AD51" i="1"/>
  <c r="AC51" i="1"/>
  <c r="Y51" i="1"/>
  <c r="X51" i="1" s="1"/>
  <c r="V51" i="1"/>
  <c r="S51" i="1"/>
  <c r="K51" i="1"/>
  <c r="F51" i="1"/>
  <c r="AE43" i="1"/>
  <c r="AD43" i="1"/>
  <c r="AC43" i="1"/>
  <c r="Y43" i="1"/>
  <c r="X43" i="1" s="1"/>
  <c r="V43" i="1"/>
  <c r="S43" i="1"/>
  <c r="K43" i="1"/>
  <c r="F43" i="1"/>
  <c r="AE46" i="1"/>
  <c r="AD46" i="1"/>
  <c r="AC46" i="1"/>
  <c r="Y46" i="1"/>
  <c r="X46" i="1" s="1"/>
  <c r="V46" i="1"/>
  <c r="S46" i="1"/>
  <c r="K46" i="1"/>
  <c r="F46" i="1"/>
  <c r="AE45" i="1"/>
  <c r="AD45" i="1"/>
  <c r="AC45" i="1"/>
  <c r="Y45" i="1"/>
  <c r="X45" i="1" s="1"/>
  <c r="V45" i="1"/>
  <c r="S45" i="1"/>
  <c r="K45" i="1"/>
  <c r="F45" i="1"/>
  <c r="AE50" i="1"/>
  <c r="AC50" i="1"/>
  <c r="Y50" i="1"/>
  <c r="AD50" i="1" s="1"/>
  <c r="W50" i="1"/>
  <c r="V50" i="1" s="1"/>
  <c r="R50" i="1"/>
  <c r="S50" i="1" s="1"/>
  <c r="Q50" i="1"/>
  <c r="K50" i="1"/>
  <c r="F50" i="1"/>
  <c r="AE44" i="1"/>
  <c r="AD44" i="1"/>
  <c r="V44" i="1"/>
  <c r="X44" i="1" s="1"/>
  <c r="Y44" i="1" s="1"/>
  <c r="AC44" i="1" s="1"/>
  <c r="Q44" i="1"/>
  <c r="R44" i="1" s="1"/>
  <c r="S44" i="1" s="1"/>
  <c r="K44" i="1"/>
  <c r="F44" i="1"/>
  <c r="AE49" i="1"/>
  <c r="AD49" i="1"/>
  <c r="Y49" i="1"/>
  <c r="AC49" i="1" s="1"/>
  <c r="W49" i="1"/>
  <c r="Q49" i="1" s="1"/>
  <c r="K49" i="1"/>
  <c r="F49" i="1"/>
  <c r="AE48" i="1"/>
  <c r="AD48" i="1"/>
  <c r="Y48" i="1"/>
  <c r="AC48" i="1" s="1"/>
  <c r="W48" i="1"/>
  <c r="Q48" i="1" s="1"/>
  <c r="K48" i="1"/>
  <c r="F48" i="1"/>
  <c r="AE41" i="1"/>
  <c r="AD41" i="1"/>
  <c r="AC41" i="1"/>
  <c r="X41" i="1"/>
  <c r="V41" i="1"/>
  <c r="Q41" i="1"/>
  <c r="R41" i="1" s="1"/>
  <c r="S41" i="1" s="1"/>
  <c r="K41" i="1"/>
  <c r="F41" i="1"/>
  <c r="AE34" i="1"/>
  <c r="AC34" i="1"/>
  <c r="Y34" i="1"/>
  <c r="X34" i="1" s="1"/>
  <c r="W34" i="1"/>
  <c r="V34" i="1" s="1"/>
  <c r="K34" i="1"/>
  <c r="F34" i="1"/>
  <c r="AE38" i="1"/>
  <c r="AD38" i="1"/>
  <c r="AC38" i="1"/>
  <c r="X38" i="1"/>
  <c r="V38" i="1"/>
  <c r="Q38" i="1"/>
  <c r="R38" i="1" s="1"/>
  <c r="S38" i="1" s="1"/>
  <c r="K38" i="1"/>
  <c r="F38" i="1"/>
  <c r="AE36" i="1"/>
  <c r="AC36" i="1"/>
  <c r="Y36" i="1"/>
  <c r="R36" i="1" s="1"/>
  <c r="S36" i="1" s="1"/>
  <c r="W36" i="1"/>
  <c r="Q36" i="1" s="1"/>
  <c r="K36" i="1"/>
  <c r="F36" i="1"/>
  <c r="AE35" i="1"/>
  <c r="AD35" i="1"/>
  <c r="AC35" i="1"/>
  <c r="X35" i="1"/>
  <c r="V35" i="1"/>
  <c r="Q35" i="1"/>
  <c r="R35" i="1" s="1"/>
  <c r="S35" i="1" s="1"/>
  <c r="K35" i="1"/>
  <c r="F35" i="1"/>
  <c r="AE37" i="1"/>
  <c r="AD37" i="1"/>
  <c r="AC37" i="1"/>
  <c r="X37" i="1"/>
  <c r="V37" i="1"/>
  <c r="R37" i="1"/>
  <c r="S37" i="1" s="1"/>
  <c r="K37" i="1"/>
  <c r="F37" i="1"/>
  <c r="AE33" i="1"/>
  <c r="AD33" i="1"/>
  <c r="AC33" i="1"/>
  <c r="X33" i="1"/>
  <c r="V33" i="1"/>
  <c r="R33" i="1"/>
  <c r="S33" i="1" s="1"/>
  <c r="K33" i="1"/>
  <c r="F33" i="1"/>
  <c r="AE40" i="1"/>
  <c r="AD40" i="1"/>
  <c r="AC40" i="1"/>
  <c r="X40" i="1"/>
  <c r="V40" i="1"/>
  <c r="R40" i="1"/>
  <c r="S40" i="1" s="1"/>
  <c r="K40" i="1"/>
  <c r="F40" i="1"/>
  <c r="AE32" i="1"/>
  <c r="AD32" i="1"/>
  <c r="Y32" i="1"/>
  <c r="Z32" i="1" s="1"/>
  <c r="AC32" i="1" s="1"/>
  <c r="V32" i="1"/>
  <c r="K32" i="1"/>
  <c r="F32" i="1"/>
  <c r="AE39" i="1"/>
  <c r="AD39" i="1"/>
  <c r="Z39" i="1"/>
  <c r="AC39" i="1" s="1"/>
  <c r="X39" i="1"/>
  <c r="V39" i="1"/>
  <c r="R39" i="1"/>
  <c r="S39" i="1" s="1"/>
  <c r="K39" i="1"/>
  <c r="F39" i="1"/>
  <c r="AE31" i="1"/>
  <c r="AC31" i="1"/>
  <c r="AA31" i="1"/>
  <c r="AD31" i="1" s="1"/>
  <c r="X31" i="1"/>
  <c r="V31" i="1"/>
  <c r="R31" i="1"/>
  <c r="S31" i="1" s="1"/>
  <c r="K31" i="1"/>
  <c r="F31" i="1"/>
  <c r="AE30" i="1"/>
  <c r="AD30" i="1"/>
  <c r="AC30" i="1"/>
  <c r="Q30" i="1"/>
  <c r="R30" i="1" s="1"/>
  <c r="S30" i="1" s="1"/>
  <c r="K30" i="1"/>
  <c r="F30" i="1"/>
  <c r="AE28" i="1"/>
  <c r="AD28" i="1"/>
  <c r="AC28" i="1"/>
  <c r="X28" i="1"/>
  <c r="V28" i="1"/>
  <c r="R28" i="1"/>
  <c r="S28" i="1" s="1"/>
  <c r="K28" i="1"/>
  <c r="F28" i="1"/>
  <c r="AE26" i="1"/>
  <c r="AD26" i="1"/>
  <c r="AC26" i="1"/>
  <c r="X26" i="1"/>
  <c r="V26" i="1"/>
  <c r="Q26" i="1"/>
  <c r="R26" i="1" s="1"/>
  <c r="S26" i="1" s="1"/>
  <c r="K26" i="1"/>
  <c r="F26" i="1"/>
  <c r="AE27" i="1"/>
  <c r="AD27" i="1"/>
  <c r="AC27" i="1"/>
  <c r="X27" i="1"/>
  <c r="V27" i="1"/>
  <c r="R27" i="1"/>
  <c r="S27" i="1" s="1"/>
  <c r="K27" i="1"/>
  <c r="F27" i="1"/>
  <c r="AE25" i="1"/>
  <c r="AD25" i="1"/>
  <c r="AC25" i="1"/>
  <c r="V25" i="1"/>
  <c r="X25" i="1" s="1"/>
  <c r="R25" i="1"/>
  <c r="S25" i="1" s="1"/>
  <c r="K25" i="1"/>
  <c r="F25" i="1"/>
  <c r="AE29" i="1"/>
  <c r="AD29" i="1"/>
  <c r="Y29" i="1"/>
  <c r="AC29" i="1" s="1"/>
  <c r="W29" i="1"/>
  <c r="Q29" i="1" s="1"/>
  <c r="K29" i="1"/>
  <c r="F29" i="1"/>
  <c r="AE20" i="1"/>
  <c r="AD20" i="1"/>
  <c r="AC20" i="1"/>
  <c r="X20" i="1"/>
  <c r="V20" i="1"/>
  <c r="R20" i="1"/>
  <c r="S20" i="1" s="1"/>
  <c r="K20" i="1"/>
  <c r="F20" i="1"/>
  <c r="AE21" i="1"/>
  <c r="AD21" i="1"/>
  <c r="AC21" i="1"/>
  <c r="X21" i="1"/>
  <c r="V21" i="1"/>
  <c r="Q21" i="1"/>
  <c r="R21" i="1" s="1"/>
  <c r="S21" i="1" s="1"/>
  <c r="K21" i="1"/>
  <c r="F21" i="1"/>
  <c r="AE22" i="1"/>
  <c r="AD22" i="1"/>
  <c r="W22" i="1"/>
  <c r="Q22" i="1" s="1"/>
  <c r="R22" i="1" s="1"/>
  <c r="S22" i="1" s="1"/>
  <c r="K22" i="1"/>
  <c r="F22" i="1"/>
  <c r="AE19" i="1"/>
  <c r="AD19" i="1"/>
  <c r="AC19" i="1"/>
  <c r="X19" i="1"/>
  <c r="V19" i="1"/>
  <c r="Q19" i="1"/>
  <c r="R19" i="1" s="1"/>
  <c r="S19" i="1" s="1"/>
  <c r="K19" i="1"/>
  <c r="F19" i="1"/>
  <c r="AE23" i="1"/>
  <c r="AD23" i="1"/>
  <c r="AC23" i="1"/>
  <c r="X23" i="1"/>
  <c r="V23" i="1"/>
  <c r="Q23" i="1"/>
  <c r="R23" i="1" s="1"/>
  <c r="S23" i="1" s="1"/>
  <c r="K23" i="1"/>
  <c r="F23" i="1"/>
  <c r="AE24" i="1"/>
  <c r="AD24" i="1"/>
  <c r="Y24" i="1"/>
  <c r="AC24" i="1" s="1"/>
  <c r="W24" i="1"/>
  <c r="Q24" i="1" s="1"/>
  <c r="K24" i="1"/>
  <c r="F24" i="1"/>
  <c r="AE17" i="1"/>
  <c r="AD17" i="1"/>
  <c r="Y17" i="1"/>
  <c r="AC17" i="1" s="1"/>
  <c r="W17" i="1"/>
  <c r="K17" i="1"/>
  <c r="F17" i="1"/>
  <c r="AE14" i="1"/>
  <c r="AD14" i="1"/>
  <c r="AC14" i="1"/>
  <c r="X14" i="1"/>
  <c r="V14" i="1"/>
  <c r="R14" i="1"/>
  <c r="S14" i="1" s="1"/>
  <c r="K14" i="1"/>
  <c r="F14" i="1"/>
  <c r="AE15" i="1"/>
  <c r="AD15" i="1"/>
  <c r="W15" i="1"/>
  <c r="V15" i="1" s="1"/>
  <c r="K15" i="1"/>
  <c r="F15" i="1"/>
  <c r="AE16" i="1"/>
  <c r="AD16" i="1"/>
  <c r="AC16" i="1"/>
  <c r="X16" i="1"/>
  <c r="V16" i="1"/>
  <c r="Q16" i="1"/>
  <c r="R16" i="1" s="1"/>
  <c r="S16" i="1" s="1"/>
  <c r="K16" i="1"/>
  <c r="F16" i="1"/>
  <c r="AE8" i="1"/>
  <c r="AD8" i="1"/>
  <c r="Y8" i="1"/>
  <c r="AC8" i="1" s="1"/>
  <c r="W8" i="1"/>
  <c r="Q8" i="1" s="1"/>
  <c r="K8" i="1"/>
  <c r="F8" i="1"/>
  <c r="AE11" i="1"/>
  <c r="AD11" i="1"/>
  <c r="W11" i="1"/>
  <c r="V11" i="1" s="1"/>
  <c r="X11" i="1" s="1"/>
  <c r="Y11" i="1" s="1"/>
  <c r="K11" i="1"/>
  <c r="F11" i="1"/>
  <c r="AE12" i="1"/>
  <c r="AD12" i="1"/>
  <c r="Y12" i="1"/>
  <c r="AC12" i="1" s="1"/>
  <c r="W12" i="1"/>
  <c r="Q12" i="1" s="1"/>
  <c r="K12" i="1"/>
  <c r="F12" i="1"/>
  <c r="AE10" i="1"/>
  <c r="AC10" i="1"/>
  <c r="Y10" i="1"/>
  <c r="AD10" i="1" s="1"/>
  <c r="W10" i="1"/>
  <c r="K10" i="1"/>
  <c r="F10" i="1"/>
  <c r="AE13" i="1"/>
  <c r="AD13" i="1"/>
  <c r="AC13" i="1"/>
  <c r="R13" i="1"/>
  <c r="S13" i="1" s="1"/>
  <c r="K13" i="1"/>
  <c r="F13" i="1"/>
  <c r="AE9" i="1"/>
  <c r="AD9" i="1"/>
  <c r="Y9" i="1"/>
  <c r="X9" i="1" s="1"/>
  <c r="V9" i="1"/>
  <c r="K9" i="1"/>
  <c r="F9" i="1"/>
  <c r="AE4" i="1"/>
  <c r="AD4" i="1"/>
  <c r="Y4" i="1"/>
  <c r="AC4" i="1" s="1"/>
  <c r="W4" i="1"/>
  <c r="Q4" i="1" s="1"/>
  <c r="K4" i="1"/>
  <c r="F4" i="1"/>
  <c r="AE5" i="1"/>
  <c r="AD5" i="1"/>
  <c r="Y5" i="1"/>
  <c r="AC5" i="1" s="1"/>
  <c r="W5" i="1"/>
  <c r="Q5" i="1" s="1"/>
  <c r="K5" i="1"/>
  <c r="F5" i="1"/>
  <c r="AE6" i="1"/>
  <c r="AD6" i="1"/>
  <c r="AC6" i="1"/>
  <c r="W6" i="1"/>
  <c r="Q6" i="1" s="1"/>
  <c r="R6" i="1" s="1"/>
  <c r="S6" i="1" s="1"/>
  <c r="K6" i="1"/>
  <c r="F6" i="1"/>
  <c r="AE7" i="1"/>
  <c r="AD7" i="1"/>
  <c r="Y7" i="1"/>
  <c r="AC7" i="1" s="1"/>
  <c r="W7" i="1"/>
  <c r="Q7" i="1" s="1"/>
  <c r="K7" i="1"/>
  <c r="F7" i="1"/>
  <c r="AE3" i="1"/>
  <c r="AD3" i="1"/>
  <c r="AC3" i="1"/>
  <c r="X3" i="1"/>
  <c r="V3" i="1"/>
  <c r="R3" i="1"/>
  <c r="S3" i="1" s="1"/>
  <c r="K3" i="1"/>
  <c r="F3" i="1"/>
  <c r="AE2" i="1"/>
  <c r="AD2" i="1"/>
  <c r="AC2" i="1"/>
  <c r="R2" i="1"/>
  <c r="S2" i="1" s="1"/>
  <c r="K2" i="1"/>
  <c r="F2" i="1"/>
  <c r="Q39" i="40"/>
  <c r="P39" i="40"/>
  <c r="O39" i="40"/>
  <c r="R39" i="40" s="1"/>
  <c r="Q38" i="40"/>
  <c r="P38" i="40"/>
  <c r="R38" i="40" s="1"/>
  <c r="O38" i="40"/>
  <c r="Q37" i="40"/>
  <c r="P37" i="40"/>
  <c r="O37" i="40"/>
  <c r="R37" i="40" s="1"/>
  <c r="Q36" i="40"/>
  <c r="P36" i="40"/>
  <c r="R36" i="40" s="1"/>
  <c r="O36" i="40"/>
  <c r="Q35" i="40"/>
  <c r="P35" i="40"/>
  <c r="O35" i="40"/>
  <c r="R35" i="40" s="1"/>
  <c r="Q34" i="40"/>
  <c r="P34" i="40"/>
  <c r="R34" i="40" s="1"/>
  <c r="O34" i="40"/>
  <c r="N16" i="40"/>
  <c r="Q15" i="40"/>
  <c r="P15" i="40"/>
  <c r="O15" i="40"/>
  <c r="R15" i="40" s="1"/>
  <c r="Q14" i="40"/>
  <c r="R14" i="40" s="1"/>
  <c r="P14" i="40"/>
  <c r="O14" i="40"/>
  <c r="Q13" i="40"/>
  <c r="P13" i="40"/>
  <c r="O13" i="40"/>
  <c r="R13" i="40" s="1"/>
  <c r="Q12" i="40"/>
  <c r="R12" i="40" s="1"/>
  <c r="P12" i="40"/>
  <c r="O12" i="40"/>
  <c r="G44" i="41"/>
  <c r="G43" i="41"/>
  <c r="G42" i="41"/>
  <c r="G41" i="41"/>
  <c r="G40" i="41"/>
  <c r="G39" i="41"/>
  <c r="G38" i="41"/>
  <c r="AD225" i="1" l="1"/>
  <c r="AE189" i="1"/>
  <c r="V181" i="1"/>
  <c r="X181" i="1" s="1"/>
  <c r="R70" i="1"/>
  <c r="S70" i="1" s="1"/>
  <c r="V88" i="1"/>
  <c r="W87" i="1"/>
  <c r="Q87" i="1" s="1"/>
  <c r="R87" i="1" s="1"/>
  <c r="S87" i="1" s="1"/>
  <c r="Z20" i="19"/>
  <c r="W20" i="19"/>
  <c r="W31" i="19"/>
  <c r="Z31" i="19"/>
  <c r="Z11" i="19"/>
  <c r="W11" i="19"/>
  <c r="Z75" i="19"/>
  <c r="W75" i="19"/>
  <c r="W22" i="19"/>
  <c r="Z22" i="19"/>
  <c r="W45" i="19"/>
  <c r="Z45" i="19"/>
  <c r="Z72" i="19"/>
  <c r="W72" i="19"/>
  <c r="Z49" i="19"/>
  <c r="W49" i="19"/>
  <c r="S49" i="19"/>
  <c r="T49" i="19" s="1"/>
  <c r="W44" i="19"/>
  <c r="Z44" i="19"/>
  <c r="Z65" i="19"/>
  <c r="W65" i="19"/>
  <c r="Z73" i="19"/>
  <c r="W73" i="19"/>
  <c r="Z2" i="19"/>
  <c r="W2" i="19"/>
  <c r="Z28" i="19"/>
  <c r="W28" i="19"/>
  <c r="Z13" i="19"/>
  <c r="Z21" i="19"/>
  <c r="W23" i="19"/>
  <c r="Z30" i="19"/>
  <c r="W32" i="19"/>
  <c r="W46" i="19"/>
  <c r="W57" i="19"/>
  <c r="W62" i="19"/>
  <c r="Z68" i="19"/>
  <c r="Z76" i="19"/>
  <c r="W78" i="19"/>
  <c r="W83" i="19"/>
  <c r="Z85" i="19"/>
  <c r="Z86" i="19"/>
  <c r="Z87" i="19"/>
  <c r="W89" i="19"/>
  <c r="W90" i="19"/>
  <c r="W92" i="19"/>
  <c r="S20" i="19"/>
  <c r="T20" i="19" s="1"/>
  <c r="W48" i="19"/>
  <c r="X70" i="19"/>
  <c r="U72" i="19"/>
  <c r="S75" i="19"/>
  <c r="T75" i="19" s="1"/>
  <c r="Z78" i="19"/>
  <c r="X3" i="19"/>
  <c r="X26" i="19"/>
  <c r="X39" i="19"/>
  <c r="Y158" i="1"/>
  <c r="Z128" i="1"/>
  <c r="AC128" i="1" s="1"/>
  <c r="AF128" i="1" s="1"/>
  <c r="R138" i="1"/>
  <c r="S138" i="1" s="1"/>
  <c r="AC130" i="1"/>
  <c r="AF130" i="1" s="1"/>
  <c r="AC133" i="1"/>
  <c r="AF133" i="1" s="1"/>
  <c r="AC157" i="1"/>
  <c r="AF157" i="1" s="1"/>
  <c r="AD145" i="1"/>
  <c r="AF145" i="1" s="1"/>
  <c r="R144" i="1"/>
  <c r="S144" i="1" s="1"/>
  <c r="Q160" i="1"/>
  <c r="Y165" i="1"/>
  <c r="AC165" i="1" s="1"/>
  <c r="AF165" i="1" s="1"/>
  <c r="AC167" i="1"/>
  <c r="AF167" i="1" s="1"/>
  <c r="Y183" i="1"/>
  <c r="Y168" i="1"/>
  <c r="Q174" i="1"/>
  <c r="R174" i="1" s="1"/>
  <c r="S174" i="1" s="1"/>
  <c r="AC185" i="1"/>
  <c r="AF185" i="1" s="1"/>
  <c r="AC135" i="1"/>
  <c r="AF135" i="1" s="1"/>
  <c r="Y209" i="1"/>
  <c r="AE209" i="1" s="1"/>
  <c r="AF209" i="1" s="1"/>
  <c r="W203" i="1"/>
  <c r="Y203" i="1" s="1"/>
  <c r="AE203" i="1" s="1"/>
  <c r="AF203" i="1" s="1"/>
  <c r="Y82" i="1"/>
  <c r="X82" i="1" s="1"/>
  <c r="Y68" i="1"/>
  <c r="X68" i="1" s="1"/>
  <c r="X75" i="1"/>
  <c r="U181" i="1"/>
  <c r="Q80" i="1"/>
  <c r="V148" i="1"/>
  <c r="X148" i="1" s="1"/>
  <c r="V288" i="1"/>
  <c r="X288" i="1" s="1"/>
  <c r="W258" i="1"/>
  <c r="Y258" i="1" s="1"/>
  <c r="AC258" i="1" s="1"/>
  <c r="AF258" i="1" s="1"/>
  <c r="U259" i="1"/>
  <c r="W259" i="1" s="1"/>
  <c r="Y259" i="1" s="1"/>
  <c r="AC259" i="1" s="1"/>
  <c r="AF259" i="1" s="1"/>
  <c r="X277" i="1"/>
  <c r="Y63" i="1"/>
  <c r="AC63" i="1" s="1"/>
  <c r="AF63" i="1" s="1"/>
  <c r="AC136" i="1"/>
  <c r="AF136" i="1" s="1"/>
  <c r="V75" i="1"/>
  <c r="V106" i="1"/>
  <c r="X106" i="1" s="1"/>
  <c r="Y106" i="1" s="1"/>
  <c r="R106" i="1" s="1"/>
  <c r="S106" i="1" s="1"/>
  <c r="W171" i="1"/>
  <c r="V171" i="1" s="1"/>
  <c r="X171" i="1" s="1"/>
  <c r="Y15" i="1"/>
  <c r="R15" i="1" s="1"/>
  <c r="S15" i="1" s="1"/>
  <c r="AD89" i="1"/>
  <c r="AF89" i="1" s="1"/>
  <c r="W205" i="1"/>
  <c r="Y205" i="1" s="1"/>
  <c r="AE205" i="1" s="1"/>
  <c r="AF205" i="1" s="1"/>
  <c r="R208" i="1"/>
  <c r="S208" i="1" s="1"/>
  <c r="V91" i="1"/>
  <c r="T227" i="1"/>
  <c r="Y91" i="1"/>
  <c r="AC91" i="1" s="1"/>
  <c r="AF91" i="1" s="1"/>
  <c r="W169" i="1"/>
  <c r="Q169" i="1" s="1"/>
  <c r="R169" i="1" s="1"/>
  <c r="S169" i="1" s="1"/>
  <c r="X246" i="1"/>
  <c r="Q89" i="1"/>
  <c r="R89" i="1" s="1"/>
  <c r="S89" i="1" s="1"/>
  <c r="Y142" i="1"/>
  <c r="AD142" i="1" s="1"/>
  <c r="AF142" i="1" s="1"/>
  <c r="W255" i="1"/>
  <c r="Y255" i="1" s="1"/>
  <c r="AE255" i="1" s="1"/>
  <c r="AF255" i="1" s="1"/>
  <c r="X234" i="1"/>
  <c r="W283" i="1"/>
  <c r="Y283" i="1" s="1"/>
  <c r="AC283" i="1" s="1"/>
  <c r="AF283" i="1" s="1"/>
  <c r="AD55" i="1"/>
  <c r="AF55" i="1" s="1"/>
  <c r="Y249" i="1"/>
  <c r="AE249" i="1" s="1"/>
  <c r="AF249" i="1" s="1"/>
  <c r="W212" i="1"/>
  <c r="Q212" i="1" s="1"/>
  <c r="R212" i="1" s="1"/>
  <c r="S212" i="1" s="1"/>
  <c r="W253" i="1"/>
  <c r="Y253" i="1" s="1"/>
  <c r="AE253" i="1" s="1"/>
  <c r="AF253" i="1" s="1"/>
  <c r="V67" i="1"/>
  <c r="AC85" i="1"/>
  <c r="AF85" i="1" s="1"/>
  <c r="V89" i="1"/>
  <c r="X89" i="1" s="1"/>
  <c r="V97" i="1"/>
  <c r="X197" i="1"/>
  <c r="W213" i="1"/>
  <c r="Y213" i="1" s="1"/>
  <c r="AE213" i="1" s="1"/>
  <c r="AF213" i="1" s="1"/>
  <c r="W220" i="1"/>
  <c r="Q220" i="1" s="1"/>
  <c r="W271" i="1"/>
  <c r="Y271" i="1" s="1"/>
  <c r="AE271" i="1" s="1"/>
  <c r="AF271" i="1" s="1"/>
  <c r="X254" i="1"/>
  <c r="W265" i="1"/>
  <c r="Q265" i="1" s="1"/>
  <c r="W275" i="1"/>
  <c r="Q275" i="1" s="1"/>
  <c r="R275" i="1" s="1"/>
  <c r="S275" i="1" s="1"/>
  <c r="X233" i="1"/>
  <c r="W219" i="1"/>
  <c r="Q219" i="1" s="1"/>
  <c r="W270" i="1"/>
  <c r="Q270" i="1" s="1"/>
  <c r="R270" i="1" s="1"/>
  <c r="S270" i="1" s="1"/>
  <c r="W266" i="1"/>
  <c r="Q266" i="1" s="1"/>
  <c r="W269" i="1"/>
  <c r="Y269" i="1" s="1"/>
  <c r="AC269" i="1" s="1"/>
  <c r="AF269" i="1" s="1"/>
  <c r="W218" i="1"/>
  <c r="Y218" i="1" s="1"/>
  <c r="AE218" i="1" s="1"/>
  <c r="AF218" i="1" s="1"/>
  <c r="W272" i="1"/>
  <c r="Q272" i="1" s="1"/>
  <c r="R272" i="1" s="1"/>
  <c r="S272" i="1" s="1"/>
  <c r="AD34" i="1"/>
  <c r="AF34" i="1" s="1"/>
  <c r="Y62" i="1"/>
  <c r="AC62" i="1" s="1"/>
  <c r="AF62" i="1" s="1"/>
  <c r="Q73" i="1"/>
  <c r="R73" i="1" s="1"/>
  <c r="S73" i="1" s="1"/>
  <c r="X70" i="1"/>
  <c r="Y80" i="1"/>
  <c r="AC80" i="1" s="1"/>
  <c r="AF80" i="1" s="1"/>
  <c r="V101" i="1"/>
  <c r="AC156" i="1"/>
  <c r="AF156" i="1" s="1"/>
  <c r="W149" i="1"/>
  <c r="W204" i="1"/>
  <c r="Q204" i="1" s="1"/>
  <c r="W199" i="1"/>
  <c r="Y199" i="1" s="1"/>
  <c r="Y247" i="1"/>
  <c r="AE247" i="1" s="1"/>
  <c r="AF247" i="1" s="1"/>
  <c r="V250" i="1"/>
  <c r="X250" i="1" s="1"/>
  <c r="Y200" i="1"/>
  <c r="AC200" i="1" s="1"/>
  <c r="AF200" i="1" s="1"/>
  <c r="V232" i="1"/>
  <c r="R189" i="1"/>
  <c r="S189" i="1" s="1"/>
  <c r="W278" i="1"/>
  <c r="Q278" i="1" s="1"/>
  <c r="W273" i="1"/>
  <c r="Y273" i="1" s="1"/>
  <c r="AE273" i="1" s="1"/>
  <c r="AF273" i="1" s="1"/>
  <c r="W188" i="1"/>
  <c r="Y188" i="1" s="1"/>
  <c r="AC188" i="1" s="1"/>
  <c r="AF188" i="1" s="1"/>
  <c r="W267" i="1"/>
  <c r="Q267" i="1" s="1"/>
  <c r="R34" i="1"/>
  <c r="S34" i="1" s="1"/>
  <c r="AC154" i="1"/>
  <c r="AF154" i="1" s="1"/>
  <c r="T111" i="1"/>
  <c r="AD148" i="1"/>
  <c r="AF148" i="1" s="1"/>
  <c r="X50" i="1"/>
  <c r="V84" i="1"/>
  <c r="V111" i="1"/>
  <c r="X111" i="1" s="1"/>
  <c r="AD116" i="1"/>
  <c r="AF116" i="1" s="1"/>
  <c r="V136" i="1"/>
  <c r="X136" i="1" s="1"/>
  <c r="V248" i="1"/>
  <c r="X248" i="1" s="1"/>
  <c r="V251" i="1"/>
  <c r="X251" i="1" s="1"/>
  <c r="V221" i="1"/>
  <c r="X221" i="1" s="1"/>
  <c r="V264" i="1"/>
  <c r="X264" i="1" s="1"/>
  <c r="W280" i="1"/>
  <c r="Y280" i="1" s="1"/>
  <c r="AE280" i="1" s="1"/>
  <c r="AF280" i="1" s="1"/>
  <c r="W211" i="1"/>
  <c r="Q211" i="1" s="1"/>
  <c r="R211" i="1" s="1"/>
  <c r="S211" i="1" s="1"/>
  <c r="W236" i="1"/>
  <c r="Q236" i="1" s="1"/>
  <c r="R236" i="1" s="1"/>
  <c r="S236" i="1" s="1"/>
  <c r="W274" i="1"/>
  <c r="Y274" i="1" s="1"/>
  <c r="AE274" i="1" s="1"/>
  <c r="AF274" i="1" s="1"/>
  <c r="W282" i="1"/>
  <c r="Y282" i="1" s="1"/>
  <c r="AE282" i="1" s="1"/>
  <c r="AF282" i="1" s="1"/>
  <c r="Q164" i="1"/>
  <c r="R164" i="1" s="1"/>
  <c r="S164" i="1" s="1"/>
  <c r="Y224" i="1"/>
  <c r="R224" i="1" s="1"/>
  <c r="S224" i="1" s="1"/>
  <c r="Y287" i="1"/>
  <c r="AE287" i="1" s="1"/>
  <c r="AF287" i="1" s="1"/>
  <c r="W229" i="1"/>
  <c r="Y229" i="1" s="1"/>
  <c r="AE229" i="1" s="1"/>
  <c r="AF229" i="1" s="1"/>
  <c r="Y83" i="1"/>
  <c r="R83" i="1" s="1"/>
  <c r="S83" i="1" s="1"/>
  <c r="AF7" i="1"/>
  <c r="X74" i="1"/>
  <c r="AC107" i="1"/>
  <c r="AF107" i="1" s="1"/>
  <c r="Q261" i="1"/>
  <c r="AF48" i="1"/>
  <c r="X222" i="1"/>
  <c r="AF252" i="1"/>
  <c r="AF251" i="1"/>
  <c r="AF256" i="1"/>
  <c r="X32" i="1"/>
  <c r="AF263" i="1"/>
  <c r="AF109" i="1"/>
  <c r="AF179" i="1"/>
  <c r="AE237" i="1"/>
  <c r="AF237" i="1" s="1"/>
  <c r="W99" i="1"/>
  <c r="Q99" i="1" s="1"/>
  <c r="AF35" i="1"/>
  <c r="R77" i="1"/>
  <c r="S77" i="1" s="1"/>
  <c r="AF88" i="1"/>
  <c r="AF186" i="1"/>
  <c r="Q268" i="1"/>
  <c r="W226" i="1"/>
  <c r="Y226" i="1" s="1"/>
  <c r="AE226" i="1" s="1"/>
  <c r="AF226" i="1" s="1"/>
  <c r="Q277" i="1"/>
  <c r="AC95" i="1"/>
  <c r="AF95" i="1" s="1"/>
  <c r="Y90" i="1"/>
  <c r="AC90" i="1" s="1"/>
  <c r="AF90" i="1" s="1"/>
  <c r="Y233" i="1"/>
  <c r="AE233" i="1" s="1"/>
  <c r="AF233" i="1" s="1"/>
  <c r="R32" i="1"/>
  <c r="S32" i="1" s="1"/>
  <c r="AC97" i="1"/>
  <c r="AF97" i="1" s="1"/>
  <c r="AF2" i="1"/>
  <c r="R7" i="1"/>
  <c r="S7" i="1" s="1"/>
  <c r="R5" i="1"/>
  <c r="S5" i="1" s="1"/>
  <c r="R4" i="1"/>
  <c r="S4" i="1" s="1"/>
  <c r="X84" i="1"/>
  <c r="AC94" i="1"/>
  <c r="AF94" i="1" s="1"/>
  <c r="R95" i="1"/>
  <c r="S95" i="1" s="1"/>
  <c r="X88" i="1"/>
  <c r="Q239" i="1"/>
  <c r="R239" i="1" s="1"/>
  <c r="S239" i="1" s="1"/>
  <c r="AF261" i="1"/>
  <c r="Q256" i="1"/>
  <c r="R256" i="1" s="1"/>
  <c r="S256" i="1" s="1"/>
  <c r="AF6" i="1"/>
  <c r="R29" i="1"/>
  <c r="S29" i="1" s="1"/>
  <c r="AF70" i="1"/>
  <c r="R113" i="1"/>
  <c r="S113" i="1" s="1"/>
  <c r="R24" i="1"/>
  <c r="S24" i="1" s="1"/>
  <c r="AF250" i="1"/>
  <c r="R10" i="1"/>
  <c r="S10" i="1" s="1"/>
  <c r="R12" i="1"/>
  <c r="S12" i="1" s="1"/>
  <c r="Y22" i="1"/>
  <c r="AC22" i="1" s="1"/>
  <c r="AF22" i="1" s="1"/>
  <c r="AF45" i="1"/>
  <c r="AF67" i="1"/>
  <c r="AC86" i="1"/>
  <c r="AF86" i="1" s="1"/>
  <c r="AF100" i="1"/>
  <c r="AC144" i="1"/>
  <c r="AF144" i="1" s="1"/>
  <c r="Y234" i="1"/>
  <c r="AC234" i="1" s="1"/>
  <c r="AF234" i="1" s="1"/>
  <c r="AF257" i="1"/>
  <c r="AF127" i="1"/>
  <c r="AF162" i="1"/>
  <c r="AF239" i="1"/>
  <c r="Q217" i="1"/>
  <c r="AC65" i="1"/>
  <c r="AF65" i="1" s="1"/>
  <c r="AC118" i="1"/>
  <c r="AF118" i="1" s="1"/>
  <c r="AC143" i="1"/>
  <c r="AF143" i="1" s="1"/>
  <c r="AF39" i="1"/>
  <c r="R108" i="1"/>
  <c r="S108" i="1" s="1"/>
  <c r="AF104" i="1"/>
  <c r="V158" i="1"/>
  <c r="X158" i="1" s="1"/>
  <c r="V284" i="1"/>
  <c r="X284" i="1" s="1"/>
  <c r="AF40" i="1"/>
  <c r="AC138" i="1"/>
  <c r="AF138" i="1" s="1"/>
  <c r="Y279" i="1"/>
  <c r="R279" i="1" s="1"/>
  <c r="S279" i="1" s="1"/>
  <c r="AF160" i="1"/>
  <c r="AF32" i="1"/>
  <c r="AF113" i="1"/>
  <c r="Y210" i="1"/>
  <c r="AC210" i="1" s="1"/>
  <c r="AF210" i="1" s="1"/>
  <c r="AF238" i="1"/>
  <c r="AF241" i="1"/>
  <c r="W214" i="1"/>
  <c r="V65" i="1"/>
  <c r="AF53" i="1"/>
  <c r="AF120" i="1"/>
  <c r="AF292" i="1"/>
  <c r="AF123" i="1"/>
  <c r="X173" i="1"/>
  <c r="AF173" i="1"/>
  <c r="Q284" i="1"/>
  <c r="Y284" i="1"/>
  <c r="R284" i="1" s="1"/>
  <c r="S284" i="1" s="1"/>
  <c r="Y152" i="1"/>
  <c r="AD152" i="1" s="1"/>
  <c r="AF152" i="1" s="1"/>
  <c r="X152" i="1"/>
  <c r="AF222" i="1"/>
  <c r="AF25" i="1"/>
  <c r="AF28" i="1"/>
  <c r="AF30" i="1"/>
  <c r="AF49" i="1"/>
  <c r="AF44" i="1"/>
  <c r="AF57" i="1"/>
  <c r="AF73" i="1"/>
  <c r="AF102" i="1"/>
  <c r="AC146" i="1"/>
  <c r="AF146" i="1" s="1"/>
  <c r="R128" i="1"/>
  <c r="S128" i="1" s="1"/>
  <c r="R139" i="1"/>
  <c r="S139" i="1" s="1"/>
  <c r="AF153" i="1"/>
  <c r="AD150" i="1"/>
  <c r="AF150" i="1" s="1"/>
  <c r="AD137" i="1"/>
  <c r="AF137" i="1" s="1"/>
  <c r="Y244" i="1"/>
  <c r="AC244" i="1" s="1"/>
  <c r="AF244" i="1" s="1"/>
  <c r="Y206" i="1"/>
  <c r="R261" i="1"/>
  <c r="S261" i="1" s="1"/>
  <c r="V281" i="1"/>
  <c r="X281" i="1" s="1"/>
  <c r="Y254" i="1"/>
  <c r="AE254" i="1" s="1"/>
  <c r="AF254" i="1" s="1"/>
  <c r="AF3" i="1"/>
  <c r="AF16" i="1"/>
  <c r="AF24" i="1"/>
  <c r="AF37" i="1"/>
  <c r="V64" i="1"/>
  <c r="AF59" i="1"/>
  <c r="X72" i="1"/>
  <c r="AF78" i="1"/>
  <c r="AC81" i="1"/>
  <c r="AF81" i="1" s="1"/>
  <c r="X76" i="1"/>
  <c r="AF87" i="1"/>
  <c r="R94" i="1"/>
  <c r="S94" i="1" s="1"/>
  <c r="AF112" i="1"/>
  <c r="Q117" i="1"/>
  <c r="X210" i="1"/>
  <c r="AF246" i="1"/>
  <c r="Y198" i="1"/>
  <c r="AE198" i="1" s="1"/>
  <c r="AF198" i="1" s="1"/>
  <c r="Y231" i="1"/>
  <c r="R231" i="1" s="1"/>
  <c r="S231" i="1" s="1"/>
  <c r="Y262" i="1"/>
  <c r="R262" i="1" s="1"/>
  <c r="S262" i="1" s="1"/>
  <c r="AF134" i="1"/>
  <c r="AF242" i="1"/>
  <c r="AF21" i="1"/>
  <c r="AF72" i="1"/>
  <c r="AF76" i="1"/>
  <c r="AF93" i="1"/>
  <c r="AF141" i="1"/>
  <c r="AF197" i="1"/>
  <c r="AF281" i="1"/>
  <c r="AF286" i="1"/>
  <c r="AF293" i="1"/>
  <c r="AF5" i="1"/>
  <c r="AF4" i="1"/>
  <c r="AF13" i="1"/>
  <c r="AF27" i="1"/>
  <c r="AF51" i="1"/>
  <c r="AF52" i="1"/>
  <c r="AF56" i="1"/>
  <c r="AF110" i="1"/>
  <c r="AC124" i="1"/>
  <c r="AF124" i="1" s="1"/>
  <c r="AF240" i="1"/>
  <c r="AF264" i="1"/>
  <c r="AF227" i="1"/>
  <c r="AF23" i="1"/>
  <c r="AF20" i="1"/>
  <c r="AF46" i="1"/>
  <c r="AF47" i="1"/>
  <c r="AF77" i="1"/>
  <c r="AF75" i="1"/>
  <c r="AF115" i="1"/>
  <c r="AF122" i="1"/>
  <c r="AF12" i="1"/>
  <c r="R8" i="1"/>
  <c r="S8" i="1" s="1"/>
  <c r="R17" i="1"/>
  <c r="S17" i="1" s="1"/>
  <c r="AF29" i="1"/>
  <c r="AF41" i="1"/>
  <c r="R48" i="1"/>
  <c r="S48" i="1" s="1"/>
  <c r="AF60" i="1"/>
  <c r="AF66" i="1"/>
  <c r="AF84" i="1"/>
  <c r="AF139" i="1"/>
  <c r="AF208" i="1"/>
  <c r="AF201" i="1"/>
  <c r="W215" i="1"/>
  <c r="U228" i="1"/>
  <c r="AF285" i="1"/>
  <c r="AF10" i="1"/>
  <c r="AF8" i="1"/>
  <c r="AF14" i="1"/>
  <c r="AF17" i="1"/>
  <c r="AF19" i="1"/>
  <c r="AF26" i="1"/>
  <c r="AF33" i="1"/>
  <c r="AF38" i="1"/>
  <c r="AF50" i="1"/>
  <c r="AF74" i="1"/>
  <c r="AF69" i="1"/>
  <c r="AF103" i="1"/>
  <c r="AF111" i="1"/>
  <c r="Q119" i="1"/>
  <c r="AF193" i="1"/>
  <c r="AF164" i="1"/>
  <c r="AF202" i="1"/>
  <c r="Y230" i="1"/>
  <c r="X135" i="1"/>
  <c r="AC64" i="1"/>
  <c r="AF64" i="1" s="1"/>
  <c r="X64" i="1"/>
  <c r="AF31" i="1"/>
  <c r="R11" i="1"/>
  <c r="S11" i="1" s="1"/>
  <c r="AC11" i="1"/>
  <c r="AF11" i="1" s="1"/>
  <c r="AD99" i="1"/>
  <c r="AF99" i="1" s="1"/>
  <c r="R99" i="1"/>
  <c r="S99" i="1" s="1"/>
  <c r="AC9" i="1"/>
  <c r="AF9" i="1" s="1"/>
  <c r="R119" i="1"/>
  <c r="S119" i="1" s="1"/>
  <c r="AC119" i="1"/>
  <c r="AF119" i="1" s="1"/>
  <c r="W126" i="1"/>
  <c r="Y126" i="1" s="1"/>
  <c r="AE126" i="1" s="1"/>
  <c r="AF126" i="1" s="1"/>
  <c r="Q155" i="1"/>
  <c r="R155" i="1" s="1"/>
  <c r="S155" i="1" s="1"/>
  <c r="Y155" i="1"/>
  <c r="W181" i="1"/>
  <c r="AF175" i="1"/>
  <c r="Q129" i="1"/>
  <c r="Y129" i="1"/>
  <c r="R49" i="1"/>
  <c r="S49" i="1" s="1"/>
  <c r="R42" i="1"/>
  <c r="S42" i="1" s="1"/>
  <c r="X101" i="1"/>
  <c r="Q114" i="1"/>
  <c r="Y114" i="1"/>
  <c r="Q96" i="1"/>
  <c r="Y96" i="1"/>
  <c r="Y121" i="1"/>
  <c r="AC121" i="1" s="1"/>
  <c r="AF121" i="1" s="1"/>
  <c r="V121" i="1"/>
  <c r="X121" i="1" s="1"/>
  <c r="AD161" i="1"/>
  <c r="AF161" i="1" s="1"/>
  <c r="X161" i="1"/>
  <c r="X228" i="1"/>
  <c r="W228" i="1"/>
  <c r="Y228" i="1" s="1"/>
  <c r="AE228" i="1" s="1"/>
  <c r="AF228" i="1" s="1"/>
  <c r="R9" i="1"/>
  <c r="S9" i="1" s="1"/>
  <c r="R71" i="1"/>
  <c r="S71" i="1" s="1"/>
  <c r="AC71" i="1"/>
  <c r="AF71" i="1" s="1"/>
  <c r="AF79" i="1"/>
  <c r="Y92" i="1"/>
  <c r="AF105" i="1"/>
  <c r="AC98" i="1"/>
  <c r="AF98" i="1" s="1"/>
  <c r="R98" i="1"/>
  <c r="S98" i="1" s="1"/>
  <c r="AF101" i="1"/>
  <c r="Q243" i="1"/>
  <c r="R243" i="1" s="1"/>
  <c r="S243" i="1" s="1"/>
  <c r="Y243" i="1"/>
  <c r="AE243" i="1" s="1"/>
  <c r="AF243" i="1" s="1"/>
  <c r="AF245" i="1"/>
  <c r="Y207" i="1"/>
  <c r="Q207" i="1"/>
  <c r="AF42" i="1"/>
  <c r="AF61" i="1"/>
  <c r="R132" i="1"/>
  <c r="S132" i="1" s="1"/>
  <c r="AC132" i="1"/>
  <c r="AF132" i="1" s="1"/>
  <c r="V179" i="1"/>
  <c r="X179" i="1" s="1"/>
  <c r="X235" i="1"/>
  <c r="W235" i="1"/>
  <c r="Q184" i="1"/>
  <c r="Y184" i="1"/>
  <c r="AD36" i="1"/>
  <c r="AF36" i="1" s="1"/>
  <c r="Q125" i="1"/>
  <c r="R125" i="1" s="1"/>
  <c r="S125" i="1" s="1"/>
  <c r="Y125" i="1"/>
  <c r="AE125" i="1" s="1"/>
  <c r="AF125" i="1" s="1"/>
  <c r="AF43" i="1"/>
  <c r="X52" i="1"/>
  <c r="AF58" i="1"/>
  <c r="AF108" i="1"/>
  <c r="R151" i="1"/>
  <c r="S151" i="1" s="1"/>
  <c r="AD151" i="1"/>
  <c r="AF151" i="1" s="1"/>
  <c r="AF170" i="1"/>
  <c r="Q176" i="1"/>
  <c r="Y176" i="1"/>
  <c r="AE277" i="1"/>
  <c r="AF277" i="1" s="1"/>
  <c r="R277" i="1"/>
  <c r="S277" i="1" s="1"/>
  <c r="R117" i="1"/>
  <c r="S117" i="1" s="1"/>
  <c r="AE117" i="1"/>
  <c r="AF117" i="1" s="1"/>
  <c r="Y187" i="1"/>
  <c r="V187" i="1"/>
  <c r="AD54" i="1"/>
  <c r="AF54" i="1" s="1"/>
  <c r="X232" i="1"/>
  <c r="AD232" i="1"/>
  <c r="AF232" i="1" s="1"/>
  <c r="AF288" i="1"/>
  <c r="X67" i="1"/>
  <c r="AF221" i="1"/>
  <c r="X162" i="1"/>
  <c r="AF225" i="1"/>
  <c r="AF166" i="1"/>
  <c r="AE195" i="1"/>
  <c r="AF195" i="1" s="1"/>
  <c r="R195" i="1"/>
  <c r="AC189" i="1"/>
  <c r="AF189" i="1" s="1"/>
  <c r="AF291" i="1"/>
  <c r="AF182" i="1"/>
  <c r="Q223" i="1"/>
  <c r="Y223" i="1"/>
  <c r="V223" i="1"/>
  <c r="X223" i="1" s="1"/>
  <c r="Q177" i="1"/>
  <c r="V177" i="1"/>
  <c r="X177" i="1" s="1"/>
  <c r="Q192" i="1"/>
  <c r="Y192" i="1"/>
  <c r="V192" i="1"/>
  <c r="X192" i="1" s="1"/>
  <c r="AF248" i="1"/>
  <c r="AF217" i="1"/>
  <c r="AE268" i="1"/>
  <c r="AF268" i="1" s="1"/>
  <c r="R268" i="1"/>
  <c r="S268" i="1" s="1"/>
  <c r="R190" i="1"/>
  <c r="S190" i="1" s="1"/>
  <c r="AC190" i="1"/>
  <c r="AF190" i="1" s="1"/>
  <c r="Y194" i="1"/>
  <c r="R217" i="1"/>
  <c r="S217" i="1" s="1"/>
  <c r="Y260" i="1"/>
  <c r="Q263" i="1"/>
  <c r="R263" i="1" s="1"/>
  <c r="S263" i="1" s="1"/>
  <c r="Q238" i="1"/>
  <c r="R238" i="1" s="1"/>
  <c r="S238" i="1" s="1"/>
  <c r="V240" i="1"/>
  <c r="X240" i="1" s="1"/>
  <c r="V189" i="1"/>
  <c r="V263" i="1"/>
  <c r="X263" i="1" s="1"/>
  <c r="W140" i="1"/>
  <c r="Y140" i="1" s="1"/>
  <c r="AC140" i="1" s="1"/>
  <c r="AF140" i="1" s="1"/>
  <c r="Y290" i="1"/>
  <c r="AD131" i="1"/>
  <c r="AF131" i="1" s="1"/>
  <c r="AC180" i="1"/>
  <c r="AF180" i="1" s="1"/>
  <c r="W216" i="1"/>
  <c r="W276" i="1"/>
  <c r="W289" i="1"/>
  <c r="Y289" i="1" s="1"/>
  <c r="AE289" i="1" s="1"/>
  <c r="AF289" i="1" s="1"/>
  <c r="W178" i="1"/>
  <c r="Y178" i="1" s="1"/>
  <c r="AE178" i="1" s="1"/>
  <c r="AF178" i="1" s="1"/>
  <c r="R176" i="1" l="1"/>
  <c r="S176" i="1" s="1"/>
  <c r="Q138" i="1"/>
  <c r="R168" i="1"/>
  <c r="S168" i="1" s="1"/>
  <c r="AC158" i="1"/>
  <c r="AF158" i="1" s="1"/>
  <c r="Q213" i="1"/>
  <c r="R213" i="1" s="1"/>
  <c r="S213" i="1" s="1"/>
  <c r="Z70" i="19"/>
  <c r="W70" i="19"/>
  <c r="Z26" i="19"/>
  <c r="W26" i="19"/>
  <c r="Z39" i="19"/>
  <c r="W39" i="19"/>
  <c r="Z3" i="19"/>
  <c r="W3" i="19"/>
  <c r="R80" i="1"/>
  <c r="S80" i="1" s="1"/>
  <c r="AC15" i="1"/>
  <c r="AF15" i="1" s="1"/>
  <c r="Y169" i="1"/>
  <c r="AE169" i="1" s="1"/>
  <c r="AF169" i="1" s="1"/>
  <c r="AC176" i="1"/>
  <c r="AF176" i="1" s="1"/>
  <c r="AC174" i="1"/>
  <c r="AF174" i="1" s="1"/>
  <c r="Y147" i="1"/>
  <c r="Q199" i="1"/>
  <c r="R199" i="1" s="1"/>
  <c r="S199" i="1" s="1"/>
  <c r="Q149" i="1"/>
  <c r="R149" i="1" s="1"/>
  <c r="S149" i="1" s="1"/>
  <c r="Q172" i="1"/>
  <c r="Y171" i="1"/>
  <c r="AC168" i="1"/>
  <c r="AF168" i="1" s="1"/>
  <c r="AC183" i="1"/>
  <c r="AF183" i="1" s="1"/>
  <c r="AC159" i="1"/>
  <c r="AF159" i="1" s="1"/>
  <c r="Y267" i="1"/>
  <c r="AE267" i="1" s="1"/>
  <c r="AF267" i="1" s="1"/>
  <c r="Y265" i="1"/>
  <c r="R265" i="1" s="1"/>
  <c r="S265" i="1" s="1"/>
  <c r="AD68" i="1"/>
  <c r="AF68" i="1" s="1"/>
  <c r="Y266" i="1"/>
  <c r="AC266" i="1" s="1"/>
  <c r="AF266" i="1" s="1"/>
  <c r="Q274" i="1"/>
  <c r="R274" i="1" s="1"/>
  <c r="S274" i="1" s="1"/>
  <c r="X15" i="1"/>
  <c r="AC82" i="1"/>
  <c r="AF82" i="1" s="1"/>
  <c r="X63" i="1"/>
  <c r="Y270" i="1"/>
  <c r="AE270" i="1" s="1"/>
  <c r="AF270" i="1" s="1"/>
  <c r="Q218" i="1"/>
  <c r="R218" i="1" s="1"/>
  <c r="S218" i="1" s="1"/>
  <c r="Y219" i="1"/>
  <c r="AE219" i="1" s="1"/>
  <c r="AF219" i="1" s="1"/>
  <c r="Y149" i="1"/>
  <c r="R68" i="1"/>
  <c r="S68" i="1" s="1"/>
  <c r="Q273" i="1"/>
  <c r="R273" i="1" s="1"/>
  <c r="S273" i="1" s="1"/>
  <c r="Y272" i="1"/>
  <c r="AE272" i="1" s="1"/>
  <c r="AF272" i="1" s="1"/>
  <c r="X62" i="1"/>
  <c r="Y204" i="1"/>
  <c r="R204" i="1" s="1"/>
  <c r="S204" i="1" s="1"/>
  <c r="X91" i="1"/>
  <c r="AC106" i="1"/>
  <c r="AF106" i="1" s="1"/>
  <c r="Y278" i="1"/>
  <c r="AE278" i="1" s="1"/>
  <c r="AF278" i="1" s="1"/>
  <c r="Y275" i="1"/>
  <c r="AE275" i="1" s="1"/>
  <c r="AF275" i="1" s="1"/>
  <c r="Y212" i="1"/>
  <c r="AE212" i="1" s="1"/>
  <c r="AF212" i="1" s="1"/>
  <c r="Y220" i="1"/>
  <c r="AE220" i="1" s="1"/>
  <c r="AF220" i="1" s="1"/>
  <c r="Q271" i="1"/>
  <c r="R271" i="1" s="1"/>
  <c r="S271" i="1" s="1"/>
  <c r="Q269" i="1"/>
  <c r="R269" i="1" s="1"/>
  <c r="S269" i="1" s="1"/>
  <c r="Y236" i="1"/>
  <c r="AC236" i="1" s="1"/>
  <c r="AF236" i="1" s="1"/>
  <c r="Y211" i="1"/>
  <c r="AE211" i="1" s="1"/>
  <c r="AF211" i="1" s="1"/>
  <c r="AC224" i="1"/>
  <c r="AF224" i="1" s="1"/>
  <c r="R287" i="1"/>
  <c r="S287" i="1" s="1"/>
  <c r="AC83" i="1"/>
  <c r="AF83" i="1" s="1"/>
  <c r="AE262" i="1"/>
  <c r="AF262" i="1" s="1"/>
  <c r="X90" i="1"/>
  <c r="R210" i="1"/>
  <c r="S210" i="1" s="1"/>
  <c r="AC279" i="1"/>
  <c r="AF279" i="1" s="1"/>
  <c r="AC284" i="1"/>
  <c r="AF284" i="1" s="1"/>
  <c r="X22" i="1"/>
  <c r="Y214" i="1"/>
  <c r="Q214" i="1"/>
  <c r="AC206" i="1"/>
  <c r="AF206" i="1" s="1"/>
  <c r="R206" i="1"/>
  <c r="S206" i="1" s="1"/>
  <c r="AC230" i="1"/>
  <c r="AF230" i="1" s="1"/>
  <c r="R230" i="1"/>
  <c r="S230" i="1" s="1"/>
  <c r="Y215" i="1"/>
  <c r="Q215" i="1"/>
  <c r="AC231" i="1"/>
  <c r="AF231" i="1" s="1"/>
  <c r="Q276" i="1"/>
  <c r="R276" i="1" s="1"/>
  <c r="S276" i="1" s="1"/>
  <c r="Y276" i="1"/>
  <c r="AE276" i="1" s="1"/>
  <c r="AF276" i="1" s="1"/>
  <c r="R192" i="1"/>
  <c r="S192" i="1" s="1"/>
  <c r="AF192" i="1"/>
  <c r="Q235" i="1"/>
  <c r="R235" i="1" s="1"/>
  <c r="S235" i="1" s="1"/>
  <c r="Y235" i="1"/>
  <c r="AC235" i="1" s="1"/>
  <c r="AF235" i="1" s="1"/>
  <c r="AD129" i="1"/>
  <c r="AF129" i="1" s="1"/>
  <c r="R129" i="1"/>
  <c r="S129" i="1" s="1"/>
  <c r="Q216" i="1"/>
  <c r="Y216" i="1"/>
  <c r="R260" i="1"/>
  <c r="S260" i="1" s="1"/>
  <c r="AC260" i="1"/>
  <c r="AF260" i="1" s="1"/>
  <c r="AE177" i="1"/>
  <c r="AF177" i="1" s="1"/>
  <c r="R177" i="1"/>
  <c r="S177" i="1" s="1"/>
  <c r="AD187" i="1"/>
  <c r="AF187" i="1" s="1"/>
  <c r="X187" i="1"/>
  <c r="AC207" i="1"/>
  <c r="AF207" i="1" s="1"/>
  <c r="R207" i="1"/>
  <c r="S207" i="1" s="1"/>
  <c r="AC92" i="1"/>
  <c r="AF92" i="1" s="1"/>
  <c r="X92" i="1"/>
  <c r="R194" i="1"/>
  <c r="S194" i="1" s="1"/>
  <c r="AE194" i="1"/>
  <c r="AF194" i="1" s="1"/>
  <c r="S163" i="1"/>
  <c r="AC163" i="1"/>
  <c r="AF163" i="1" s="1"/>
  <c r="R96" i="1"/>
  <c r="S96" i="1" s="1"/>
  <c r="AC96" i="1"/>
  <c r="AF96" i="1" s="1"/>
  <c r="Y181" i="1"/>
  <c r="Q181" i="1"/>
  <c r="R181" i="1" s="1"/>
  <c r="S181" i="1" s="1"/>
  <c r="R290" i="1"/>
  <c r="S290" i="1" s="1"/>
  <c r="AC290" i="1"/>
  <c r="AF290" i="1" s="1"/>
  <c r="R223" i="1"/>
  <c r="S223" i="1" s="1"/>
  <c r="AC223" i="1"/>
  <c r="AF223" i="1" s="1"/>
  <c r="S195" i="1"/>
  <c r="Q195" i="1"/>
  <c r="R184" i="1"/>
  <c r="S184" i="1" s="1"/>
  <c r="AC184" i="1"/>
  <c r="AF184" i="1" s="1"/>
  <c r="AC114" i="1"/>
  <c r="AF114" i="1" s="1"/>
  <c r="R114" i="1"/>
  <c r="S114" i="1" s="1"/>
  <c r="AB155" i="1"/>
  <c r="AF155" i="1"/>
  <c r="R267" i="1" l="1"/>
  <c r="S267" i="1" s="1"/>
  <c r="AE265" i="1"/>
  <c r="AF265" i="1" s="1"/>
  <c r="R266" i="1"/>
  <c r="S266" i="1" s="1"/>
  <c r="AD181" i="1"/>
  <c r="AF181" i="1" s="1"/>
  <c r="AF149" i="1"/>
  <c r="AC199" i="1"/>
  <c r="AF199" i="1" s="1"/>
  <c r="AD171" i="1"/>
  <c r="AF171" i="1" s="1"/>
  <c r="AB147" i="1"/>
  <c r="AC147" i="1" s="1"/>
  <c r="AF147" i="1" s="1"/>
  <c r="R219" i="1"/>
  <c r="S219" i="1" s="1"/>
  <c r="AF172" i="1"/>
  <c r="AE204" i="1"/>
  <c r="AF204" i="1" s="1"/>
  <c r="R278" i="1"/>
  <c r="S278" i="1" s="1"/>
  <c r="R220" i="1"/>
  <c r="S220" i="1" s="1"/>
  <c r="AE214" i="1"/>
  <c r="AF214" i="1" s="1"/>
  <c r="R214" i="1"/>
  <c r="S214" i="1" s="1"/>
  <c r="AE215" i="1"/>
  <c r="AF215" i="1" s="1"/>
  <c r="R215" i="1"/>
  <c r="S215" i="1" s="1"/>
  <c r="AE216" i="1"/>
  <c r="AF216" i="1" s="1"/>
  <c r="R216" i="1"/>
  <c r="S21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 Roy @ Hong Kong</author>
    <author>Administrator</author>
    <author>roy.ng</author>
    <author>Tang, Rosanna @ Hong Kong</author>
    <author>Ng, Jerry @ Hong Kong</author>
    <author>CBRE</author>
    <author>Fong, Jason @ Hong Kong</author>
    <author>Leung, Peter @ Hong Kong</author>
    <author>Tang, Zac @ Hong Kong</author>
    <author>Chen, Andrea @ Hong Kong</author>
  </authors>
  <commentList>
    <comment ref="F1" authorId="0" shapeId="0" xr:uid="{00000000-0006-0000-0800-000001000000}">
      <text>
        <r>
          <rPr>
            <b/>
            <sz val="9"/>
            <color indexed="81"/>
            <rFont val="Tahoma"/>
            <family val="2"/>
          </rPr>
          <t>Ng, Roy @ Hong Kong:</t>
        </r>
        <r>
          <rPr>
            <sz val="9"/>
            <color indexed="81"/>
            <rFont val="Tahoma"/>
            <family val="2"/>
          </rPr>
          <t xml:space="preserve">
Formula</t>
        </r>
      </text>
    </comment>
    <comment ref="H1" authorId="0" shapeId="0" xr:uid="{00000000-0006-0000-0800-000002000000}">
      <text>
        <r>
          <rPr>
            <b/>
            <sz val="9"/>
            <color indexed="81"/>
            <rFont val="Tahoma"/>
            <family val="2"/>
          </rPr>
          <t>Ng, Roy @ Hong Kong:</t>
        </r>
        <r>
          <rPr>
            <sz val="9"/>
            <color indexed="81"/>
            <rFont val="Tahoma"/>
            <family val="2"/>
          </rPr>
          <t xml:space="preserve">
Formula</t>
        </r>
      </text>
    </comment>
    <comment ref="K1" authorId="0" shapeId="0" xr:uid="{00000000-0006-0000-0800-000003000000}">
      <text>
        <r>
          <rPr>
            <b/>
            <sz val="9"/>
            <color indexed="81"/>
            <rFont val="Tahoma"/>
            <family val="2"/>
          </rPr>
          <t>Ng, Roy @ Hong Kong:</t>
        </r>
        <r>
          <rPr>
            <sz val="9"/>
            <color indexed="81"/>
            <rFont val="Tahoma"/>
            <family val="2"/>
          </rPr>
          <t xml:space="preserve">
Formula</t>
        </r>
      </text>
    </comment>
    <comment ref="S1" authorId="0" shapeId="0" xr:uid="{00000000-0006-0000-0800-000004000000}">
      <text>
        <r>
          <rPr>
            <b/>
            <sz val="9"/>
            <color indexed="81"/>
            <rFont val="Tahoma"/>
            <family val="2"/>
          </rPr>
          <t>Ng, Roy @ Hong Kong:</t>
        </r>
        <r>
          <rPr>
            <sz val="9"/>
            <color indexed="81"/>
            <rFont val="Tahoma"/>
            <family val="2"/>
          </rPr>
          <t xml:space="preserve">
Formula</t>
        </r>
      </text>
    </comment>
    <comment ref="W2" authorId="1" shapeId="0" xr:uid="{00000000-0006-0000-0800-000005000000}">
      <text>
        <r>
          <rPr>
            <b/>
            <sz val="8"/>
            <color indexed="81"/>
            <rFont val="Tahoma"/>
            <family val="2"/>
          </rPr>
          <t>pat.choy:</t>
        </r>
        <r>
          <rPr>
            <sz val="8"/>
            <color indexed="81"/>
            <rFont val="Tahoma"/>
            <family val="2"/>
          </rPr>
          <t xml:space="preserve">
this figure from OS-Kln
BD: 1,537,011 sf</t>
        </r>
      </text>
    </comment>
    <comment ref="Y2" authorId="1" shapeId="0" xr:uid="{00000000-0006-0000-0800-000006000000}">
      <text>
        <r>
          <rPr>
            <b/>
            <sz val="8"/>
            <color indexed="81"/>
            <rFont val="Tahoma"/>
            <family val="2"/>
          </rPr>
          <t>pat.choy:</t>
        </r>
        <r>
          <rPr>
            <sz val="8"/>
            <color indexed="81"/>
            <rFont val="Tahoma"/>
            <family val="2"/>
          </rPr>
          <t xml:space="preserve">
this figure from Old DB
BD: 1,111,479 sf</t>
        </r>
      </text>
    </comment>
    <comment ref="Q3" authorId="1" shapeId="0" xr:uid="{00000000-0006-0000-0800-000007000000}">
      <text>
        <r>
          <rPr>
            <b/>
            <sz val="8"/>
            <color indexed="81"/>
            <rFont val="Tahoma"/>
            <family val="2"/>
          </rPr>
          <t>pat.choy:</t>
        </r>
        <r>
          <rPr>
            <sz val="8"/>
            <color indexed="81"/>
            <rFont val="Tahoma"/>
            <family val="2"/>
          </rPr>
          <t xml:space="preserve">
from shkp ICC website</t>
        </r>
      </text>
    </comment>
    <comment ref="W3" authorId="1" shapeId="0" xr:uid="{00000000-0006-0000-0800-000008000000}">
      <text>
        <r>
          <rPr>
            <b/>
            <sz val="8"/>
            <color indexed="81"/>
            <rFont val="Tahoma"/>
            <family val="2"/>
          </rPr>
          <t>pat.choy:</t>
        </r>
        <r>
          <rPr>
            <sz val="8"/>
            <color indexed="81"/>
            <rFont val="Tahoma"/>
            <family val="2"/>
          </rPr>
          <t xml:space="preserve">
area from OS-Kln</t>
        </r>
      </text>
    </comment>
    <comment ref="Y3" authorId="1" shapeId="0" xr:uid="{00000000-0006-0000-0800-000009000000}">
      <text>
        <r>
          <rPr>
            <b/>
            <sz val="8"/>
            <color indexed="81"/>
            <rFont val="Tahoma"/>
            <family val="2"/>
          </rPr>
          <t>pat.choy:</t>
        </r>
        <r>
          <rPr>
            <sz val="8"/>
            <color indexed="81"/>
            <rFont val="Tahoma"/>
            <family val="2"/>
          </rPr>
          <t xml:space="preserve">
area from OS-Kln</t>
        </r>
      </text>
    </comment>
    <comment ref="Y6" authorId="1" shapeId="0" xr:uid="{00000000-0006-0000-0800-00000A000000}">
      <text>
        <r>
          <rPr>
            <b/>
            <sz val="8"/>
            <color indexed="81"/>
            <rFont val="Tahoma"/>
            <family val="2"/>
          </rPr>
          <t>pat.choy:</t>
        </r>
        <r>
          <rPr>
            <sz val="8"/>
            <color indexed="81"/>
            <rFont val="Tahoma"/>
            <family val="2"/>
          </rPr>
          <t xml:space="preserve">
this figure from Old DB
BD: 550,498 sf</t>
        </r>
      </text>
    </comment>
    <comment ref="Q9" authorId="1" shapeId="0" xr:uid="{00000000-0006-0000-0800-00000B000000}">
      <text>
        <r>
          <rPr>
            <b/>
            <sz val="8"/>
            <color indexed="81"/>
            <rFont val="Tahoma"/>
            <family val="2"/>
          </rPr>
          <t>pat.choy:</t>
        </r>
        <r>
          <rPr>
            <sz val="8"/>
            <color indexed="81"/>
            <rFont val="Tahoma"/>
            <family val="2"/>
          </rPr>
          <t xml:space="preserve">
from shkp ICC website</t>
        </r>
      </text>
    </comment>
    <comment ref="W9" authorId="1" shapeId="0" xr:uid="{00000000-0006-0000-0800-00000C000000}">
      <text>
        <r>
          <rPr>
            <b/>
            <sz val="8"/>
            <color indexed="81"/>
            <rFont val="Tahoma"/>
            <family val="2"/>
          </rPr>
          <t>pat.choy:</t>
        </r>
        <r>
          <rPr>
            <sz val="8"/>
            <color indexed="81"/>
            <rFont val="Tahoma"/>
            <family val="2"/>
          </rPr>
          <t xml:space="preserve">
given by OS-Kln (Sam Li)</t>
        </r>
      </text>
    </comment>
    <comment ref="Q10" authorId="1" shapeId="0" xr:uid="{00000000-0006-0000-0800-00000D000000}">
      <text>
        <r>
          <rPr>
            <b/>
            <sz val="8"/>
            <color indexed="81"/>
            <rFont val="Tahoma"/>
            <family val="2"/>
          </rPr>
          <t>pat.choy:</t>
        </r>
        <r>
          <rPr>
            <sz val="8"/>
            <color indexed="81"/>
            <rFont val="Tahoma"/>
            <family val="2"/>
          </rPr>
          <t xml:space="preserve">
From Billion Website</t>
        </r>
      </text>
    </comment>
    <comment ref="Q11" authorId="1" shapeId="0" xr:uid="{00000000-0006-0000-0800-00000E000000}">
      <text>
        <r>
          <rPr>
            <b/>
            <sz val="8"/>
            <color indexed="81"/>
            <rFont val="Tahoma"/>
            <family val="2"/>
          </rPr>
          <t>pat:</t>
        </r>
        <r>
          <rPr>
            <sz val="8"/>
            <color indexed="81"/>
            <rFont val="Tahoma"/>
            <family val="2"/>
          </rPr>
          <t xml:space="preserve">
from OS-Kln</t>
        </r>
      </text>
    </comment>
    <comment ref="W11" authorId="1" shapeId="0" xr:uid="{00000000-0006-0000-0800-00000F000000}">
      <text>
        <r>
          <rPr>
            <b/>
            <sz val="8"/>
            <color indexed="81"/>
            <rFont val="Tahoma"/>
            <family val="2"/>
          </rPr>
          <t>pat.choy:</t>
        </r>
        <r>
          <rPr>
            <sz val="8"/>
            <color indexed="81"/>
            <rFont val="Tahoma"/>
            <family val="2"/>
          </rPr>
          <t xml:space="preserve">
144,040 sf is estimated for the OFFICE portion from the data given by OS-Kln. Originally, the number is 239,994 sf from BD, including retail portion</t>
        </r>
      </text>
    </comment>
    <comment ref="X11" authorId="1" shapeId="0" xr:uid="{00000000-0006-0000-0800-000010000000}">
      <text>
        <r>
          <rPr>
            <b/>
            <sz val="8"/>
            <color indexed="81"/>
            <rFont val="Tahoma"/>
            <family val="2"/>
          </rPr>
          <t>pat.choy:</t>
        </r>
        <r>
          <rPr>
            <sz val="8"/>
            <color indexed="81"/>
            <rFont val="Tahoma"/>
            <family val="2"/>
          </rPr>
          <t xml:space="preserve">
Eff is estimated from the GFA &amp; UFA of BD</t>
        </r>
      </text>
    </comment>
    <comment ref="Y11" authorId="1" shapeId="0" xr:uid="{00000000-0006-0000-0800-000011000000}">
      <text>
        <r>
          <rPr>
            <b/>
            <sz val="8"/>
            <color indexed="81"/>
            <rFont val="Tahoma"/>
            <family val="2"/>
          </rPr>
          <t>pat.choy:</t>
        </r>
        <r>
          <rPr>
            <sz val="8"/>
            <color indexed="81"/>
            <rFont val="Tahoma"/>
            <family val="2"/>
          </rPr>
          <t xml:space="preserve">
171,631 sf from BD, including retail portion</t>
        </r>
      </text>
    </comment>
    <comment ref="Q12" authorId="1" shapeId="0" xr:uid="{00000000-0006-0000-0800-000012000000}">
      <text>
        <r>
          <rPr>
            <b/>
            <sz val="8"/>
            <color indexed="81"/>
            <rFont val="Tahoma"/>
            <family val="2"/>
          </rPr>
          <t>pat.choy:</t>
        </r>
        <r>
          <rPr>
            <sz val="8"/>
            <color indexed="81"/>
            <rFont val="Tahoma"/>
            <family val="2"/>
          </rPr>
          <t xml:space="preserve">
from offical website
http://www.oneharboureast.com/</t>
        </r>
      </text>
    </comment>
    <comment ref="Q13" authorId="1" shapeId="0" xr:uid="{00000000-0006-0000-0800-000013000000}">
      <text>
        <r>
          <rPr>
            <b/>
            <sz val="8"/>
            <color indexed="81"/>
            <rFont val="Tahoma"/>
            <family val="2"/>
          </rPr>
          <t>pat:</t>
        </r>
        <r>
          <rPr>
            <sz val="8"/>
            <color indexed="81"/>
            <rFont val="Tahoma"/>
            <family val="2"/>
          </rPr>
          <t xml:space="preserve">
from OS-Kln</t>
        </r>
      </text>
    </comment>
    <comment ref="Q14" authorId="1" shapeId="0" xr:uid="{00000000-0006-0000-0800-000014000000}">
      <text>
        <r>
          <rPr>
            <b/>
            <sz val="8"/>
            <color indexed="81"/>
            <rFont val="Tahoma"/>
            <family val="2"/>
          </rPr>
          <t>pat.choy:</t>
        </r>
        <r>
          <rPr>
            <sz val="8"/>
            <color indexed="81"/>
            <rFont val="Tahoma"/>
            <family val="2"/>
          </rPr>
          <t xml:space="preserve">
from Kln-OS</t>
        </r>
      </text>
    </comment>
    <comment ref="W14" authorId="1" shapeId="0" xr:uid="{00000000-0006-0000-0800-000015000000}">
      <text>
        <r>
          <rPr>
            <b/>
            <sz val="8"/>
            <color indexed="81"/>
            <rFont val="Tahoma"/>
            <family val="2"/>
          </rPr>
          <t>pat.choy:</t>
        </r>
        <r>
          <rPr>
            <sz val="8"/>
            <color indexed="81"/>
            <rFont val="Tahoma"/>
            <family val="2"/>
          </rPr>
          <t xml:space="preserve">
deducted (GFA) 60,000 sf for retail space
L/L brochure is (GFA) 422,790 sf; (SFA) 300,944 sf</t>
        </r>
      </text>
    </comment>
    <comment ref="Y14" authorId="1" shapeId="0" xr:uid="{00000000-0006-0000-0800-000016000000}">
      <text>
        <r>
          <rPr>
            <b/>
            <sz val="8"/>
            <color indexed="81"/>
            <rFont val="Tahoma"/>
            <family val="2"/>
          </rPr>
          <t>pat.choy:</t>
        </r>
        <r>
          <rPr>
            <sz val="8"/>
            <color indexed="81"/>
            <rFont val="Tahoma"/>
            <family val="2"/>
          </rPr>
          <t xml:space="preserve">
deducted (GFA) 60,000 sf for retail space</t>
        </r>
      </text>
    </comment>
    <comment ref="Q15" authorId="1" shapeId="0" xr:uid="{00000000-0006-0000-0800-000017000000}">
      <text>
        <r>
          <rPr>
            <b/>
            <sz val="8"/>
            <color indexed="81"/>
            <rFont val="Tahoma"/>
            <family val="2"/>
          </rPr>
          <t>pat.choy:</t>
        </r>
        <r>
          <rPr>
            <sz val="8"/>
            <color indexed="81"/>
            <rFont val="Tahoma"/>
            <family val="2"/>
          </rPr>
          <t xml:space="preserve">
from shkp ICC website</t>
        </r>
      </text>
    </comment>
    <comment ref="W15" authorId="1" shapeId="0" xr:uid="{00000000-0006-0000-0800-000018000000}">
      <text>
        <r>
          <rPr>
            <b/>
            <sz val="8"/>
            <color indexed="81"/>
            <rFont val="Tahoma"/>
            <family val="2"/>
          </rPr>
          <t>pat.choy:</t>
        </r>
        <r>
          <rPr>
            <sz val="8"/>
            <color indexed="81"/>
            <rFont val="Tahoma"/>
            <family val="2"/>
          </rPr>
          <t xml:space="preserve">
Total GFA 2,290,606 sf was given by OS-Kln (SamLi)
BD figure of GFA is 2,923,189 sf including Hotel portion</t>
        </r>
      </text>
    </comment>
    <comment ref="Y15" authorId="1" shapeId="0" xr:uid="{00000000-0006-0000-0800-000019000000}">
      <text>
        <r>
          <rPr>
            <b/>
            <sz val="8"/>
            <color indexed="81"/>
            <rFont val="Tahoma"/>
            <family val="2"/>
          </rPr>
          <t>pat.choy:</t>
        </r>
        <r>
          <rPr>
            <sz val="8"/>
            <color indexed="81"/>
            <rFont val="Tahoma"/>
            <family val="2"/>
          </rPr>
          <t xml:space="preserve">
Total GFA 1,786,672 sf was given by OS-Kln (SamLi)
BD figure of GFA is 1,872,565 sf including Hotel portion</t>
        </r>
      </text>
    </comment>
    <comment ref="Q17" authorId="2" shapeId="0" xr:uid="{00000000-0006-0000-0800-00001A000000}">
      <text>
        <r>
          <rPr>
            <b/>
            <sz val="8"/>
            <color indexed="81"/>
            <rFont val="Tahoma"/>
            <family val="2"/>
          </rPr>
          <t>roy.ng:</t>
        </r>
        <r>
          <rPr>
            <sz val="8"/>
            <color indexed="81"/>
            <rFont val="Tahoma"/>
            <family val="2"/>
          </rPr>
          <t xml:space="preserve">
from SHKP website</t>
        </r>
      </text>
    </comment>
    <comment ref="W20" authorId="1" shapeId="0" xr:uid="{00000000-0006-0000-0800-00001B000000}">
      <text>
        <r>
          <rPr>
            <b/>
            <sz val="8"/>
            <color indexed="81"/>
            <rFont val="Tahoma"/>
            <family val="2"/>
          </rPr>
          <t>Administrator:</t>
        </r>
        <r>
          <rPr>
            <sz val="8"/>
            <color indexed="81"/>
            <rFont val="Tahoma"/>
            <family val="2"/>
          </rPr>
          <t xml:space="preserve">
according to OS-Kln Rocky, the L/L claims the GFA is 414,000
BD record 348,620 sq ft (32,387.6 sqm)
</t>
        </r>
      </text>
    </comment>
    <comment ref="Y20" authorId="1" shapeId="0" xr:uid="{00000000-0006-0000-0800-00001C000000}">
      <text>
        <r>
          <rPr>
            <b/>
            <sz val="8"/>
            <color indexed="81"/>
            <rFont val="Tahoma"/>
            <family val="2"/>
          </rPr>
          <t>Administrator:</t>
        </r>
        <r>
          <rPr>
            <sz val="8"/>
            <color indexed="81"/>
            <rFont val="Tahoma"/>
            <family val="2"/>
          </rPr>
          <t xml:space="preserve">
according to OS-Kln
BD record 300,855 sq ft (27950.1sqm)
</t>
        </r>
      </text>
    </comment>
    <comment ref="Q21" authorId="1" shapeId="0" xr:uid="{00000000-0006-0000-0800-00001D000000}">
      <text>
        <r>
          <rPr>
            <b/>
            <sz val="8"/>
            <color indexed="81"/>
            <rFont val="Tahoma"/>
            <family val="2"/>
          </rPr>
          <t>pat.choy:</t>
        </r>
        <r>
          <rPr>
            <sz val="8"/>
            <color indexed="81"/>
            <rFont val="Tahoma"/>
            <family val="2"/>
          </rPr>
          <t xml:space="preserve">
from billion website
29000</t>
        </r>
      </text>
    </comment>
    <comment ref="O25" authorId="2" shapeId="0" xr:uid="{00000000-0006-0000-0800-00001E000000}">
      <text>
        <r>
          <rPr>
            <b/>
            <sz val="8"/>
            <color indexed="81"/>
            <rFont val="Tahoma"/>
            <family val="2"/>
          </rPr>
          <t>roy.ng:</t>
        </r>
        <r>
          <rPr>
            <sz val="8"/>
            <color indexed="81"/>
            <rFont val="Tahoma"/>
            <family val="2"/>
          </rPr>
          <t xml:space="preserve">
15 floors of office</t>
        </r>
      </text>
    </comment>
    <comment ref="Q25" authorId="1" shapeId="0" xr:uid="{00000000-0006-0000-0800-00001F000000}">
      <text>
        <r>
          <rPr>
            <b/>
            <sz val="8"/>
            <color indexed="81"/>
            <rFont val="Tahoma"/>
            <family val="2"/>
          </rPr>
          <t>Administrator:</t>
        </r>
        <r>
          <rPr>
            <sz val="8"/>
            <color indexed="81"/>
            <rFont val="Tahoma"/>
            <family val="2"/>
          </rPr>
          <t xml:space="preserve">
lettable (92% eff)</t>
        </r>
      </text>
    </comment>
    <comment ref="Q27" authorId="0" shapeId="0" xr:uid="{00000000-0006-0000-0800-000021000000}">
      <text>
        <r>
          <rPr>
            <b/>
            <sz val="9"/>
            <color indexed="81"/>
            <rFont val="Tahoma"/>
            <family val="2"/>
          </rPr>
          <t>Ng, Roy @ Hong Kong:</t>
        </r>
        <r>
          <rPr>
            <sz val="9"/>
            <color indexed="81"/>
            <rFont val="Tahoma"/>
            <family val="2"/>
          </rPr>
          <t xml:space="preserve">
from Unicorn</t>
        </r>
      </text>
    </comment>
    <comment ref="O28" authorId="0" shapeId="0" xr:uid="{00000000-0006-0000-0800-000020000000}">
      <text>
        <r>
          <rPr>
            <b/>
            <sz val="9"/>
            <color indexed="81"/>
            <rFont val="Tahoma"/>
            <family val="2"/>
          </rPr>
          <t>Ng, Roy @ Hong Kong:</t>
        </r>
        <r>
          <rPr>
            <sz val="9"/>
            <color indexed="81"/>
            <rFont val="Tahoma"/>
            <family val="2"/>
          </rPr>
          <t xml:space="preserve">
Car Park: 5 storeys
Restaurant: 2 storeys
Office: 19 storeys</t>
        </r>
      </text>
    </comment>
    <comment ref="Z29" authorId="0" shapeId="0" xr:uid="{00000000-0006-0000-0800-000022000000}">
      <text>
        <r>
          <rPr>
            <b/>
            <sz val="9"/>
            <color indexed="81"/>
            <rFont val="Tahoma"/>
            <family val="2"/>
          </rPr>
          <t>Ng, Roy @ Hong Kong:</t>
        </r>
        <r>
          <rPr>
            <sz val="9"/>
            <color indexed="81"/>
            <rFont val="Tahoma"/>
            <family val="2"/>
          </rPr>
          <t xml:space="preserve">
CCB</t>
        </r>
      </text>
    </comment>
    <comment ref="W30" authorId="0" shapeId="0" xr:uid="{00000000-0006-0000-0800-000023000000}">
      <text>
        <r>
          <rPr>
            <b/>
            <sz val="9"/>
            <color indexed="81"/>
            <rFont val="Tahoma"/>
            <family val="2"/>
          </rPr>
          <t>Ng, Roy @ Hong Kong:</t>
        </r>
        <r>
          <rPr>
            <sz val="9"/>
            <color indexed="81"/>
            <rFont val="Tahoma"/>
            <family val="2"/>
          </rPr>
          <t xml:space="preserve">
G/F - 10 /F are for retail &amp; F&amp;B</t>
        </r>
      </text>
    </comment>
    <comment ref="AC31" authorId="0" shapeId="0" xr:uid="{00000000-0006-0000-0800-000024000000}">
      <text>
        <r>
          <rPr>
            <b/>
            <sz val="9"/>
            <color indexed="81"/>
            <rFont val="Tahoma"/>
            <family val="2"/>
          </rPr>
          <t>Ng, Roy @ Hong Kong:</t>
        </r>
        <r>
          <rPr>
            <sz val="9"/>
            <color indexed="81"/>
            <rFont val="Tahoma"/>
            <family val="2"/>
          </rPr>
          <t xml:space="preserve">
only 208,000 sf (gross) for lease</t>
        </r>
      </text>
    </comment>
    <comment ref="Z32" authorId="0" shapeId="0" xr:uid="{00000000-0006-0000-0800-000026000000}">
      <text>
        <r>
          <rPr>
            <b/>
            <sz val="9"/>
            <color indexed="81"/>
            <rFont val="Tahoma"/>
            <family val="2"/>
          </rPr>
          <t>Ng, Roy @ Hong Kong:</t>
        </r>
        <r>
          <rPr>
            <sz val="9"/>
            <color indexed="81"/>
            <rFont val="Tahoma"/>
            <family val="2"/>
          </rPr>
          <t xml:space="preserve">
Generali have pre-leased whole building</t>
        </r>
      </text>
    </comment>
    <comment ref="Q33" authorId="2" shapeId="0" xr:uid="{00000000-0006-0000-0800-000025000000}">
      <text>
        <r>
          <rPr>
            <b/>
            <sz val="8"/>
            <color indexed="81"/>
            <rFont val="Tahoma"/>
            <family val="2"/>
          </rPr>
          <t>roy.ng:</t>
        </r>
        <r>
          <rPr>
            <sz val="8"/>
            <color indexed="81"/>
            <rFont val="Tahoma"/>
            <family val="2"/>
          </rPr>
          <t xml:space="preserve">
Sep2011: Cynthia (OS)</t>
        </r>
      </text>
    </comment>
    <comment ref="B35" authorId="0" shapeId="0" xr:uid="{00000000-0006-0000-0800-000027000000}">
      <text>
        <r>
          <rPr>
            <b/>
            <sz val="9"/>
            <color indexed="81"/>
            <rFont val="Tahoma"/>
            <family val="2"/>
          </rPr>
          <t>Ng, Roy @ Hong Kong:</t>
        </r>
        <r>
          <rPr>
            <sz val="9"/>
            <color indexed="81"/>
            <rFont val="Tahoma"/>
            <family val="2"/>
          </rPr>
          <t xml:space="preserve">
(Kwong Sun Hong Godown Ltd. - Godown No. 3 redevelopment)</t>
        </r>
      </text>
    </comment>
    <comment ref="Q37" authorId="2" shapeId="0" xr:uid="{00000000-0006-0000-0800-00002A000000}">
      <text>
        <r>
          <rPr>
            <b/>
            <sz val="8"/>
            <color indexed="81"/>
            <rFont val="Tahoma"/>
            <family val="2"/>
          </rPr>
          <t>roy.ng:</t>
        </r>
        <r>
          <rPr>
            <sz val="8"/>
            <color indexed="81"/>
            <rFont val="Tahoma"/>
            <family val="2"/>
          </rPr>
          <t xml:space="preserve">
Sam - June 2012</t>
        </r>
      </text>
    </comment>
    <comment ref="V37" authorId="2" shapeId="0" xr:uid="{00000000-0006-0000-0800-00002B000000}">
      <text>
        <r>
          <rPr>
            <b/>
            <sz val="8"/>
            <color indexed="81"/>
            <rFont val="Tahoma"/>
            <family val="2"/>
          </rPr>
          <t>roy.ng:</t>
        </r>
        <r>
          <rPr>
            <sz val="8"/>
            <color indexed="81"/>
            <rFont val="Tahoma"/>
            <family val="2"/>
          </rPr>
          <t xml:space="preserve">
BD: 28,585</t>
        </r>
      </text>
    </comment>
    <comment ref="W37" authorId="2" shapeId="0" xr:uid="{00000000-0006-0000-0800-00002C000000}">
      <text>
        <r>
          <rPr>
            <b/>
            <sz val="8"/>
            <color indexed="81"/>
            <rFont val="Tahoma"/>
            <family val="2"/>
          </rPr>
          <t>roy.ng:</t>
        </r>
        <r>
          <rPr>
            <sz val="8"/>
            <color indexed="81"/>
            <rFont val="Tahoma"/>
            <family val="2"/>
          </rPr>
          <t xml:space="preserve">
Sam - June 2012</t>
        </r>
      </text>
    </comment>
    <comment ref="V38" authorId="2" shapeId="0" xr:uid="{00000000-0006-0000-0800-000028000000}">
      <text>
        <r>
          <rPr>
            <b/>
            <sz val="8"/>
            <color indexed="81"/>
            <rFont val="Tahoma"/>
            <family val="2"/>
          </rPr>
          <t>roy.ng:</t>
        </r>
        <r>
          <rPr>
            <sz val="8"/>
            <color indexed="81"/>
            <rFont val="Tahoma"/>
            <family val="2"/>
          </rPr>
          <t xml:space="preserve">
BD: 19,203</t>
        </r>
      </text>
    </comment>
    <comment ref="W38" authorId="2" shapeId="0" xr:uid="{00000000-0006-0000-0800-000029000000}">
      <text>
        <r>
          <rPr>
            <b/>
            <sz val="8"/>
            <color indexed="81"/>
            <rFont val="Tahoma"/>
            <family val="2"/>
          </rPr>
          <t>roy.ng:</t>
        </r>
        <r>
          <rPr>
            <sz val="8"/>
            <color indexed="81"/>
            <rFont val="Tahoma"/>
            <family val="2"/>
          </rPr>
          <t xml:space="preserve">
Sam - June 2012</t>
        </r>
      </text>
    </comment>
    <comment ref="Z39" authorId="0" shapeId="0" xr:uid="{00000000-0006-0000-0800-00002D000000}">
      <text>
        <r>
          <rPr>
            <b/>
            <sz val="9"/>
            <color indexed="81"/>
            <rFont val="Tahoma"/>
            <family val="2"/>
          </rPr>
          <t>Ng, Roy @ Hong Kong:</t>
        </r>
        <r>
          <rPr>
            <sz val="9"/>
            <color indexed="81"/>
            <rFont val="Tahoma"/>
            <family val="2"/>
          </rPr>
          <t xml:space="preserve">
Standard Chartered are taking whole building</t>
        </r>
      </text>
    </comment>
    <comment ref="O40" authorId="0" shapeId="0" xr:uid="{00000000-0006-0000-0800-00002E000000}">
      <text>
        <r>
          <rPr>
            <b/>
            <sz val="9"/>
            <color indexed="81"/>
            <rFont val="Tahoma"/>
            <family val="2"/>
          </rPr>
          <t>Ng, Roy @ Hong Kong:</t>
        </r>
        <r>
          <rPr>
            <sz val="9"/>
            <color indexed="81"/>
            <rFont val="Tahoma"/>
            <family val="2"/>
          </rPr>
          <t xml:space="preserve">
office starts above 7/F</t>
        </r>
      </text>
    </comment>
    <comment ref="Q42" authorId="1" shapeId="0" xr:uid="{00000000-0006-0000-0800-00002F000000}">
      <text>
        <r>
          <rPr>
            <b/>
            <sz val="8"/>
            <color indexed="81"/>
            <rFont val="Tahoma"/>
            <family val="2"/>
          </rPr>
          <t>Administrator:</t>
        </r>
        <r>
          <rPr>
            <sz val="8"/>
            <color indexed="81"/>
            <rFont val="Tahoma"/>
            <family val="2"/>
          </rPr>
          <t xml:space="preserve">
billion website 12000</t>
        </r>
      </text>
    </comment>
    <comment ref="W47" authorId="0" shapeId="0" xr:uid="{00000000-0006-0000-0800-000030000000}">
      <text>
        <r>
          <rPr>
            <b/>
            <sz val="9"/>
            <color indexed="81"/>
            <rFont val="Tahoma"/>
            <family val="2"/>
          </rPr>
          <t>Ng, Roy @ Hong Kong:</t>
        </r>
        <r>
          <rPr>
            <sz val="9"/>
            <color indexed="81"/>
            <rFont val="Tahoma"/>
            <family val="2"/>
          </rPr>
          <t xml:space="preserve">
Total GFA = 348,453</t>
        </r>
      </text>
    </comment>
    <comment ref="Y47" authorId="0" shapeId="0" xr:uid="{00000000-0006-0000-0800-000031000000}">
      <text>
        <r>
          <rPr>
            <b/>
            <sz val="9"/>
            <color indexed="81"/>
            <rFont val="Tahoma"/>
            <family val="2"/>
          </rPr>
          <t>Ng, Roy @ Hong Kong:</t>
        </r>
        <r>
          <rPr>
            <sz val="9"/>
            <color indexed="81"/>
            <rFont val="Tahoma"/>
            <family val="2"/>
          </rPr>
          <t xml:space="preserve">
Total NFA = 292,416</t>
        </r>
      </text>
    </comment>
    <comment ref="P50" authorId="0" shapeId="0" xr:uid="{00000000-0006-0000-0800-000032000000}">
      <text>
        <r>
          <rPr>
            <b/>
            <sz val="9"/>
            <color indexed="81"/>
            <rFont val="Tahoma"/>
            <family val="2"/>
          </rPr>
          <t>Ng, Roy @ Hong Kong:</t>
        </r>
        <r>
          <rPr>
            <sz val="9"/>
            <color indexed="81"/>
            <rFont val="Tahoma"/>
            <family val="2"/>
          </rPr>
          <t xml:space="preserve">
20/F - 35/F</t>
        </r>
      </text>
    </comment>
    <comment ref="B53" authorId="0" shapeId="0" xr:uid="{00000000-0006-0000-0800-000033000000}">
      <text>
        <r>
          <rPr>
            <b/>
            <sz val="9"/>
            <color indexed="81"/>
            <rFont val="Tahoma"/>
            <family val="2"/>
          </rPr>
          <t>Ng, Roy @ Hong Kong:</t>
        </r>
        <r>
          <rPr>
            <sz val="9"/>
            <color indexed="81"/>
            <rFont val="Tahoma"/>
            <family val="2"/>
          </rPr>
          <t xml:space="preserve">
(Maxim's Food Factory 3 redevelopment)</t>
        </r>
      </text>
    </comment>
    <comment ref="K53" authorId="3" shapeId="0" xr:uid="{00000000-0006-0000-0800-000034000000}">
      <text>
        <r>
          <rPr>
            <b/>
            <sz val="9"/>
            <color indexed="81"/>
            <rFont val="Tahoma"/>
            <family val="2"/>
          </rPr>
          <t>Tang, Rosanna @ Hong Kong:</t>
        </r>
        <r>
          <rPr>
            <sz val="9"/>
            <color indexed="81"/>
            <rFont val="Tahoma"/>
            <family val="2"/>
          </rPr>
          <t xml:space="preserve">
originally we put 2017 Q1</t>
        </r>
      </text>
    </comment>
    <comment ref="Q53" authorId="2" shapeId="0" xr:uid="{00000000-0006-0000-0800-000035000000}">
      <text>
        <r>
          <rPr>
            <b/>
            <sz val="8"/>
            <color indexed="81"/>
            <rFont val="Tahoma"/>
            <family val="2"/>
          </rPr>
          <t>roy.ng:</t>
        </r>
        <r>
          <rPr>
            <sz val="8"/>
            <color indexed="81"/>
            <rFont val="Tahoma"/>
            <family val="2"/>
          </rPr>
          <t xml:space="preserve">
from Sam (Mar2012)</t>
        </r>
      </text>
    </comment>
    <comment ref="Z53" authorId="0" shapeId="0" xr:uid="{00000000-0006-0000-0800-000036000000}">
      <text>
        <r>
          <rPr>
            <b/>
            <sz val="9"/>
            <color indexed="81"/>
            <rFont val="Tahoma"/>
            <family val="2"/>
          </rPr>
          <t>Ng, Roy @ Hong Kong:</t>
        </r>
        <r>
          <rPr>
            <sz val="9"/>
            <color indexed="81"/>
            <rFont val="Tahoma"/>
            <family val="2"/>
          </rPr>
          <t xml:space="preserve">
Only 60,000 - 70,000 sf (gross) available</t>
        </r>
      </text>
    </comment>
    <comment ref="B54" authorId="0" shapeId="0" xr:uid="{00000000-0006-0000-0800-000037000000}">
      <text>
        <r>
          <rPr>
            <b/>
            <sz val="9"/>
            <color indexed="81"/>
            <rFont val="Tahoma"/>
            <family val="2"/>
          </rPr>
          <t>Ng, Roy @ Hong Kong:</t>
        </r>
        <r>
          <rPr>
            <sz val="9"/>
            <color indexed="81"/>
            <rFont val="Tahoma"/>
            <family val="2"/>
          </rPr>
          <t xml:space="preserve">
(Nanfung Industrial Building redevelopment)</t>
        </r>
      </text>
    </comment>
    <comment ref="K54" authorId="3" shapeId="0" xr:uid="{00000000-0006-0000-0800-000038000000}">
      <text>
        <r>
          <rPr>
            <b/>
            <sz val="9"/>
            <color indexed="81"/>
            <rFont val="Tahoma"/>
            <family val="2"/>
          </rPr>
          <t>Tang, Rosanna @ Hong Kong:</t>
        </r>
        <r>
          <rPr>
            <sz val="9"/>
            <color indexed="81"/>
            <rFont val="Tahoma"/>
            <family val="2"/>
          </rPr>
          <t xml:space="preserve">
originally put 2014</t>
        </r>
      </text>
    </comment>
    <comment ref="O55" authorId="0" shapeId="0" xr:uid="{00000000-0006-0000-0800-000039000000}">
      <text>
        <r>
          <rPr>
            <b/>
            <sz val="9"/>
            <color indexed="81"/>
            <rFont val="Tahoma"/>
            <family val="2"/>
          </rPr>
          <t>Ng, Roy @ Hong Kong:</t>
        </r>
        <r>
          <rPr>
            <sz val="9"/>
            <color indexed="81"/>
            <rFont val="Tahoma"/>
            <family val="2"/>
          </rPr>
          <t xml:space="preserve">
3 storeys of shopping arcade;
6 storeys of car park;
6 storeys of retail:
18 storeys of office
</t>
        </r>
      </text>
    </comment>
    <comment ref="Q55" authorId="0" shapeId="0" xr:uid="{00000000-0006-0000-0800-00003A000000}">
      <text>
        <r>
          <rPr>
            <b/>
            <sz val="9"/>
            <color indexed="81"/>
            <rFont val="Tahoma"/>
            <family val="2"/>
          </rPr>
          <t>Ng, Roy @ Hong Kong:</t>
        </r>
        <r>
          <rPr>
            <sz val="9"/>
            <color indexed="81"/>
            <rFont val="Tahoma"/>
            <family val="2"/>
          </rPr>
          <t xml:space="preserve">
from brochure</t>
        </r>
      </text>
    </comment>
    <comment ref="R55" authorId="0" shapeId="0" xr:uid="{00000000-0006-0000-0800-00003B000000}">
      <text>
        <r>
          <rPr>
            <b/>
            <sz val="9"/>
            <color indexed="81"/>
            <rFont val="Tahoma"/>
            <family val="2"/>
          </rPr>
          <t>Ng, Roy @ Hong Kong:</t>
        </r>
        <r>
          <rPr>
            <sz val="9"/>
            <color indexed="81"/>
            <rFont val="Tahoma"/>
            <family val="2"/>
          </rPr>
          <t xml:space="preserve">
from brochure</t>
        </r>
      </text>
    </comment>
    <comment ref="W55" authorId="0" shapeId="0" xr:uid="{00000000-0006-0000-0800-00003C000000}">
      <text>
        <r>
          <rPr>
            <b/>
            <sz val="9"/>
            <color indexed="81"/>
            <rFont val="Tahoma"/>
            <family val="2"/>
          </rPr>
          <t>Ng, Roy @ Hong Kong:</t>
        </r>
        <r>
          <rPr>
            <sz val="9"/>
            <color indexed="81"/>
            <rFont val="Tahoma"/>
            <family val="2"/>
          </rPr>
          <t xml:space="preserve">
from brochure</t>
        </r>
      </text>
    </comment>
    <comment ref="Y55" authorId="0" shapeId="0" xr:uid="{00000000-0006-0000-0800-00003D000000}">
      <text>
        <r>
          <rPr>
            <b/>
            <sz val="9"/>
            <color indexed="81"/>
            <rFont val="Tahoma"/>
            <family val="2"/>
          </rPr>
          <t>Ng, Roy @ Hong Kong:</t>
        </r>
        <r>
          <rPr>
            <sz val="9"/>
            <color indexed="81"/>
            <rFont val="Tahoma"/>
            <family val="2"/>
          </rPr>
          <t xml:space="preserve">
from brochure</t>
        </r>
      </text>
    </comment>
    <comment ref="AA55" authorId="0" shapeId="0" xr:uid="{00000000-0006-0000-0800-00003E000000}">
      <text>
        <r>
          <rPr>
            <b/>
            <sz val="9"/>
            <color indexed="81"/>
            <rFont val="Tahoma"/>
            <family val="2"/>
          </rPr>
          <t>Ng, Roy @ Hong Kong:</t>
        </r>
        <r>
          <rPr>
            <sz val="9"/>
            <color indexed="81"/>
            <rFont val="Tahoma"/>
            <family val="2"/>
          </rPr>
          <t xml:space="preserve">
from price list</t>
        </r>
      </text>
    </comment>
    <comment ref="O58" authorId="0" shapeId="0" xr:uid="{00000000-0006-0000-0800-000042000000}">
      <text>
        <r>
          <rPr>
            <b/>
            <sz val="9"/>
            <color indexed="81"/>
            <rFont val="Tahoma"/>
            <family val="2"/>
          </rPr>
          <t>Ng, Roy @ Hong Kong:</t>
        </r>
        <r>
          <rPr>
            <sz val="9"/>
            <color indexed="81"/>
            <rFont val="Tahoma"/>
            <family val="2"/>
          </rPr>
          <t xml:space="preserve">
4 storeys for car park</t>
        </r>
      </text>
    </comment>
    <comment ref="P58" authorId="0" shapeId="0" xr:uid="{00000000-0006-0000-0800-000043000000}">
      <text>
        <r>
          <rPr>
            <b/>
            <sz val="9"/>
            <color indexed="81"/>
            <rFont val="Tahoma"/>
            <family val="2"/>
          </rPr>
          <t>Ng, Roy @ Hong Kong:</t>
        </r>
        <r>
          <rPr>
            <sz val="9"/>
            <color indexed="81"/>
            <rFont val="Tahoma"/>
            <family val="2"/>
          </rPr>
          <t xml:space="preserve">
from brochure</t>
        </r>
      </text>
    </comment>
    <comment ref="Q58" authorId="0" shapeId="0" xr:uid="{00000000-0006-0000-0800-000044000000}">
      <text>
        <r>
          <rPr>
            <b/>
            <sz val="9"/>
            <color indexed="81"/>
            <rFont val="Tahoma"/>
            <family val="2"/>
          </rPr>
          <t>Ng, Roy @ Hong Kong:</t>
        </r>
        <r>
          <rPr>
            <sz val="9"/>
            <color indexed="81"/>
            <rFont val="Tahoma"/>
            <family val="2"/>
          </rPr>
          <t xml:space="preserve">
from brochure</t>
        </r>
      </text>
    </comment>
    <comment ref="R58" authorId="0" shapeId="0" xr:uid="{00000000-0006-0000-0800-000045000000}">
      <text>
        <r>
          <rPr>
            <b/>
            <sz val="9"/>
            <color indexed="81"/>
            <rFont val="Tahoma"/>
            <family val="2"/>
          </rPr>
          <t>Ng, Roy @ Hong Kong:</t>
        </r>
        <r>
          <rPr>
            <sz val="9"/>
            <color indexed="81"/>
            <rFont val="Tahoma"/>
            <family val="2"/>
          </rPr>
          <t xml:space="preserve">
from brochure</t>
        </r>
      </text>
    </comment>
    <comment ref="W58" authorId="0" shapeId="0" xr:uid="{00000000-0006-0000-0800-000046000000}">
      <text>
        <r>
          <rPr>
            <b/>
            <sz val="9"/>
            <color indexed="81"/>
            <rFont val="Tahoma"/>
            <family val="2"/>
          </rPr>
          <t>Ng, Roy @ Hong Kong:</t>
        </r>
        <r>
          <rPr>
            <sz val="9"/>
            <color indexed="81"/>
            <rFont val="Tahoma"/>
            <family val="2"/>
          </rPr>
          <t xml:space="preserve">
from brochure</t>
        </r>
      </text>
    </comment>
    <comment ref="Y58" authorId="0" shapeId="0" xr:uid="{00000000-0006-0000-0800-000047000000}">
      <text>
        <r>
          <rPr>
            <b/>
            <sz val="9"/>
            <color indexed="81"/>
            <rFont val="Tahoma"/>
            <family val="2"/>
          </rPr>
          <t>Ng, Roy @ Hong Kong:</t>
        </r>
        <r>
          <rPr>
            <sz val="9"/>
            <color indexed="81"/>
            <rFont val="Tahoma"/>
            <family val="2"/>
          </rPr>
          <t xml:space="preserve">
from brochure</t>
        </r>
      </text>
    </comment>
    <comment ref="K61" authorId="3" shapeId="0" xr:uid="{00000000-0006-0000-0800-000041000000}">
      <text>
        <r>
          <rPr>
            <b/>
            <sz val="9"/>
            <color indexed="81"/>
            <rFont val="Tahoma"/>
            <family val="2"/>
          </rPr>
          <t>Tang, Rosanna @ Hong Kong:</t>
        </r>
        <r>
          <rPr>
            <sz val="9"/>
            <color indexed="81"/>
            <rFont val="Tahoma"/>
            <family val="2"/>
          </rPr>
          <t xml:space="preserve">
originally we put 2016 Q1
AR 2013 indicated 2015</t>
        </r>
      </text>
    </comment>
    <comment ref="P62" authorId="0" shapeId="0" xr:uid="{00000000-0006-0000-0800-00003F000000}">
      <text>
        <r>
          <rPr>
            <b/>
            <sz val="9"/>
            <color indexed="81"/>
            <rFont val="Tahoma"/>
            <family val="2"/>
          </rPr>
          <t>Ng, Roy @ Hong Kong:</t>
        </r>
        <r>
          <rPr>
            <sz val="9"/>
            <color indexed="81"/>
            <rFont val="Tahoma"/>
            <family val="2"/>
          </rPr>
          <t xml:space="preserve">
10/F -  20/F</t>
        </r>
      </text>
    </comment>
    <comment ref="W62" authorId="4" shapeId="0" xr:uid="{00000000-0006-0000-0800-000040000000}">
      <text>
        <r>
          <rPr>
            <b/>
            <sz val="9"/>
            <color indexed="81"/>
            <rFont val="Tahoma"/>
            <family val="2"/>
          </rPr>
          <t>Ng, Jerry @ Hong Kong:</t>
        </r>
        <r>
          <rPr>
            <sz val="9"/>
            <color indexed="81"/>
            <rFont val="Tahoma"/>
            <family val="2"/>
          </rPr>
          <t xml:space="preserve">
Nov14 - LL took out two floors, 8/f&amp;9/f, (9875+9917) from office to retail</t>
        </r>
      </text>
    </comment>
    <comment ref="O63" authorId="0" shapeId="0" xr:uid="{00000000-0006-0000-0800-000048000000}">
      <text>
        <r>
          <rPr>
            <b/>
            <sz val="9"/>
            <color indexed="81"/>
            <rFont val="Tahoma"/>
            <family val="2"/>
          </rPr>
          <t>Ng, Roy @ Hong Kong:</t>
        </r>
        <r>
          <rPr>
            <sz val="9"/>
            <color indexed="81"/>
            <rFont val="Tahoma"/>
            <family val="2"/>
          </rPr>
          <t xml:space="preserve">
from brochure:
L/G, G/F, 1/F, 2/F = Retail
3/F = Office Loabby / F&amp;B
5/F, 7/F, 8/F, 9F, 10/, 11/F, 12/F, 15/F = Office / Retail
16/F, 17/F, 18/F, 19/F, 20/F, 21/F, 22/F, 23/F = Office
25/F, 26/F, Roof = F&amp;B
</t>
        </r>
      </text>
    </comment>
    <comment ref="Q63" authorId="1" shapeId="0" xr:uid="{00000000-0006-0000-0800-000049000000}">
      <text>
        <r>
          <rPr>
            <b/>
            <sz val="8"/>
            <color indexed="81"/>
            <rFont val="Tahoma"/>
            <family val="2"/>
          </rPr>
          <t xml:space="preserve">Roy:
</t>
        </r>
        <r>
          <rPr>
            <sz val="8"/>
            <color indexed="81"/>
            <rFont val="Tahoma"/>
            <family val="2"/>
          </rPr>
          <t>from brochure</t>
        </r>
      </text>
    </comment>
    <comment ref="K64" authorId="3" shapeId="0" xr:uid="{00000000-0006-0000-0800-00004F000000}">
      <text>
        <r>
          <rPr>
            <b/>
            <sz val="9"/>
            <color indexed="81"/>
            <rFont val="Tahoma"/>
            <family val="2"/>
          </rPr>
          <t>Tang, Rosanna @ Hong Kong:</t>
        </r>
        <r>
          <rPr>
            <sz val="9"/>
            <color indexed="81"/>
            <rFont val="Tahoma"/>
            <family val="2"/>
          </rPr>
          <t xml:space="preserve">
originally we put 2015 Q2</t>
        </r>
      </text>
    </comment>
    <comment ref="W64" authorId="4" shapeId="0" xr:uid="{00000000-0006-0000-0800-000050000000}">
      <text>
        <r>
          <rPr>
            <b/>
            <sz val="9"/>
            <color indexed="81"/>
            <rFont val="Tahoma"/>
            <family val="2"/>
          </rPr>
          <t>Ng, Jerry @ Hong Kong:</t>
        </r>
        <r>
          <rPr>
            <sz val="9"/>
            <color indexed="81"/>
            <rFont val="Tahoma"/>
            <family val="2"/>
          </rPr>
          <t xml:space="preserve">
was 323,964sf
but only middle 8-10 floors are proposed to be office
low 8-10 floors are proposed to be retail
high 8-10 floors are proposed to be service apartment</t>
        </r>
      </text>
    </comment>
    <comment ref="Q65" authorId="4" shapeId="0" xr:uid="{00000000-0006-0000-0800-00004D000000}">
      <text>
        <r>
          <rPr>
            <b/>
            <sz val="9"/>
            <color indexed="81"/>
            <rFont val="Tahoma"/>
            <family val="2"/>
          </rPr>
          <t>Ng, Jerry @ Hong Kong:</t>
        </r>
        <r>
          <rPr>
            <sz val="9"/>
            <color indexed="81"/>
            <rFont val="Tahoma"/>
            <family val="2"/>
          </rPr>
          <t xml:space="preserve">
was 6163</t>
        </r>
      </text>
    </comment>
    <comment ref="W65" authorId="4" shapeId="0" xr:uid="{00000000-0006-0000-0800-00004E000000}">
      <text>
        <r>
          <rPr>
            <b/>
            <sz val="9"/>
            <color indexed="81"/>
            <rFont val="Tahoma"/>
            <family val="2"/>
          </rPr>
          <t>Ng, Jerry @ Hong Kong:</t>
        </r>
        <r>
          <rPr>
            <sz val="9"/>
            <color indexed="81"/>
            <rFont val="Tahoma"/>
            <family val="2"/>
          </rPr>
          <t xml:space="preserve">
was 166,390</t>
        </r>
      </text>
    </comment>
    <comment ref="K66" authorId="0" shapeId="0" xr:uid="{00000000-0006-0000-0800-00004A000000}">
      <text>
        <r>
          <rPr>
            <b/>
            <sz val="9"/>
            <color indexed="81"/>
            <rFont val="Tahoma"/>
            <family val="2"/>
          </rPr>
          <t>Ng, Roy @ Hong Kong:</t>
        </r>
        <r>
          <rPr>
            <sz val="9"/>
            <color indexed="81"/>
            <rFont val="Tahoma"/>
            <family val="2"/>
          </rPr>
          <t xml:space="preserve">
Dec: HKET says mid-2016</t>
        </r>
      </text>
    </comment>
    <comment ref="W66" authorId="0" shapeId="0" xr:uid="{00000000-0006-0000-0800-00004B000000}">
      <text>
        <r>
          <rPr>
            <b/>
            <sz val="9"/>
            <color indexed="81"/>
            <rFont val="Tahoma"/>
            <family val="2"/>
          </rPr>
          <t>Ng, Roy @ Hong Kong:</t>
        </r>
        <r>
          <rPr>
            <sz val="9"/>
            <color indexed="81"/>
            <rFont val="Tahoma"/>
            <family val="2"/>
          </rPr>
          <t xml:space="preserve">
Billion's floor plan</t>
        </r>
      </text>
    </comment>
    <comment ref="AA66" authorId="0" shapeId="0" xr:uid="{00000000-0006-0000-0800-00004C000000}">
      <text>
        <r>
          <rPr>
            <b/>
            <sz val="9"/>
            <color indexed="81"/>
            <rFont val="Tahoma"/>
            <family val="2"/>
          </rPr>
          <t>Ng, Roy @ Hong Kong:</t>
        </r>
        <r>
          <rPr>
            <sz val="9"/>
            <color indexed="81"/>
            <rFont val="Tahoma"/>
            <family val="2"/>
          </rPr>
          <t xml:space="preserve">
21st Sep 2015 Price List</t>
        </r>
      </text>
    </comment>
    <comment ref="Z67" authorId="0" shapeId="0" xr:uid="{00000000-0006-0000-0800-000051000000}">
      <text>
        <r>
          <rPr>
            <b/>
            <sz val="8"/>
            <color indexed="81"/>
            <rFont val="Tahoma"/>
            <family val="2"/>
          </rPr>
          <t>Ng, Roy @ Hong Kong:</t>
        </r>
        <r>
          <rPr>
            <sz val="8"/>
            <color indexed="81"/>
            <rFont val="Tahoma"/>
            <family val="2"/>
          </rPr>
          <t xml:space="preserve">
14/F OCP
18/F TBC
19/F Donghai Financial Limited
20/F Donghai Financial Limited
21/F ARCM
23/F Nine Masts
24/F TBC
25/F TBC</t>
        </r>
      </text>
    </comment>
    <comment ref="K68" authorId="3" shapeId="0" xr:uid="{00000000-0006-0000-0800-000052000000}">
      <text>
        <r>
          <rPr>
            <b/>
            <sz val="9"/>
            <color indexed="81"/>
            <rFont val="Tahoma"/>
            <family val="2"/>
          </rPr>
          <t>Roy: 2015 from Wheelcok
Tang, Rosanna @ Hong Kong:</t>
        </r>
        <r>
          <rPr>
            <sz val="9"/>
            <color indexed="81"/>
            <rFont val="Tahoma"/>
            <family val="2"/>
          </rPr>
          <t xml:space="preserve">
originally put 2016
</t>
        </r>
        <r>
          <rPr>
            <b/>
            <sz val="9"/>
            <color indexed="81"/>
            <rFont val="Tahoma"/>
            <family val="2"/>
          </rPr>
          <t xml:space="preserve">Roy: </t>
        </r>
        <r>
          <rPr>
            <sz val="9"/>
            <color indexed="81"/>
            <rFont val="Tahoma"/>
            <family val="2"/>
          </rPr>
          <t xml:space="preserve">Rhodri says 2015
</t>
        </r>
        <r>
          <rPr>
            <b/>
            <sz val="9"/>
            <color indexed="81"/>
            <rFont val="Tahoma"/>
            <family val="2"/>
          </rPr>
          <t>Roy:</t>
        </r>
        <r>
          <rPr>
            <sz val="9"/>
            <color indexed="81"/>
            <rFont val="Tahoma"/>
            <family val="2"/>
          </rPr>
          <t xml:space="preserve"> 2014 Annual report says 2016</t>
        </r>
      </text>
    </comment>
    <comment ref="W68" authorId="3" shapeId="0" xr:uid="{00000000-0006-0000-0800-000053000000}">
      <text>
        <r>
          <rPr>
            <b/>
            <sz val="9"/>
            <color indexed="81"/>
            <rFont val="Tahoma"/>
            <family val="2"/>
          </rPr>
          <t xml:space="preserve">Roy:
West Office Tower:
</t>
        </r>
        <r>
          <rPr>
            <sz val="9"/>
            <color indexed="81"/>
            <rFont val="Tahoma"/>
            <family val="2"/>
          </rPr>
          <t xml:space="preserve">Marketing GFA = 357,000 sf
Floor Plate = 24,000 sf
Efficiency 73%
Floors: 14 Office, 1 Lobby, 2 Basement
</t>
        </r>
        <r>
          <rPr>
            <b/>
            <sz val="9"/>
            <color indexed="81"/>
            <rFont val="Tahoma"/>
            <family val="2"/>
          </rPr>
          <t xml:space="preserve">West Retail Villa:
</t>
        </r>
        <r>
          <rPr>
            <sz val="9"/>
            <color indexed="81"/>
            <rFont val="Tahoma"/>
            <family val="2"/>
          </rPr>
          <t>Marketing GFA = 36,000 sf
Floor Plate = 18,000 sf
Floors = 2 retail</t>
        </r>
        <r>
          <rPr>
            <b/>
            <sz val="9"/>
            <color indexed="81"/>
            <rFont val="Tahoma"/>
            <family val="2"/>
          </rPr>
          <t xml:space="preserve">
East OfficeTower:
</t>
        </r>
        <r>
          <rPr>
            <sz val="9"/>
            <color indexed="81"/>
            <rFont val="Tahoma"/>
            <family val="2"/>
          </rPr>
          <t xml:space="preserve">Marketing GFA = 255,000 sf
Floor Plate = 17,000 sf
</t>
        </r>
        <r>
          <rPr>
            <b/>
            <sz val="9"/>
            <color indexed="81"/>
            <rFont val="Tahoma"/>
            <family val="2"/>
          </rPr>
          <t xml:space="preserve">West Retail Villa:
</t>
        </r>
        <r>
          <rPr>
            <sz val="9"/>
            <color indexed="81"/>
            <rFont val="Tahoma"/>
            <family val="2"/>
          </rPr>
          <t>Marketing GFA = 26,000</t>
        </r>
        <r>
          <rPr>
            <b/>
            <sz val="9"/>
            <color indexed="81"/>
            <rFont val="Tahoma"/>
            <family val="2"/>
          </rPr>
          <t xml:space="preserve">
</t>
        </r>
        <r>
          <rPr>
            <sz val="9"/>
            <color indexed="81"/>
            <rFont val="Tahoma"/>
            <family val="2"/>
          </rPr>
          <t>AR2014: Office GFA = 611,400 sf; retail = 62,000 sf</t>
        </r>
        <r>
          <rPr>
            <b/>
            <sz val="9"/>
            <color indexed="81"/>
            <rFont val="Tahoma"/>
            <family val="2"/>
          </rPr>
          <t xml:space="preserve">
Tang, Rosanna @ Hong Kong:</t>
        </r>
        <r>
          <rPr>
            <sz val="9"/>
            <color indexed="81"/>
            <rFont val="Tahoma"/>
            <family val="2"/>
          </rPr>
          <t xml:space="preserve">
AR 2013: It comprises two Grade A 
office buildings and two low-rise retail buildings with 
a GFA of 590,000 square feet.
67,700 retail</t>
        </r>
      </text>
    </comment>
    <comment ref="J69" authorId="0" shapeId="0" xr:uid="{00000000-0006-0000-0800-00005B000000}">
      <text>
        <r>
          <rPr>
            <b/>
            <sz val="8"/>
            <color indexed="81"/>
            <rFont val="Tahoma"/>
            <family val="2"/>
          </rPr>
          <t>Ng, Roy @ Hong Kong:</t>
        </r>
        <r>
          <rPr>
            <sz val="8"/>
            <color indexed="81"/>
            <rFont val="Tahoma"/>
            <family val="2"/>
          </rPr>
          <t xml:space="preserve">
brochure says 30 Jun 2016</t>
        </r>
      </text>
    </comment>
    <comment ref="K69" authorId="3" shapeId="0" xr:uid="{00000000-0006-0000-0800-00005C000000}">
      <text>
        <r>
          <rPr>
            <b/>
            <sz val="9"/>
            <color indexed="81"/>
            <rFont val="Tahoma"/>
            <family val="2"/>
          </rPr>
          <t>Tang, Rosanna @ Hong Kong:</t>
        </r>
        <r>
          <rPr>
            <sz val="9"/>
            <color indexed="81"/>
            <rFont val="Tahoma"/>
            <family val="2"/>
          </rPr>
          <t xml:space="preserve">
JLL put 2015
</t>
        </r>
        <r>
          <rPr>
            <b/>
            <sz val="9"/>
            <color indexed="81"/>
            <rFont val="Tahoma"/>
            <family val="2"/>
          </rPr>
          <t>Roy:</t>
        </r>
        <r>
          <rPr>
            <sz val="9"/>
            <color indexed="81"/>
            <rFont val="Tahoma"/>
            <family val="2"/>
          </rPr>
          <t xml:space="preserve">
Dec: HKET says mid-2016</t>
        </r>
      </text>
    </comment>
    <comment ref="O69" authorId="0" shapeId="0" xr:uid="{00000000-0006-0000-0800-00005D000000}">
      <text>
        <r>
          <rPr>
            <b/>
            <sz val="8"/>
            <color indexed="81"/>
            <rFont val="Tahoma"/>
            <family val="2"/>
          </rPr>
          <t>Ng, Roy @ Hong Kong:</t>
        </r>
        <r>
          <rPr>
            <sz val="8"/>
            <color indexed="81"/>
            <rFont val="Tahoma"/>
            <family val="2"/>
          </rPr>
          <t xml:space="preserve">
Shopping Arcade:
2 storeys (G/F &amp; 1/F)
Car park:
6 storeys (2/F, 3/F, 4/F, 5/F, 6/F &amp; 7/F)
Retail shop:
3 storeys (8/F, 9F &amp; 10/F)
Office:
16 storeys (11/F-15/F, 17F-30/F)
[13/F, 14/F &amp; 24/F omitted)
Refuge:
16/F</t>
        </r>
      </text>
    </comment>
    <comment ref="K70" authorId="0" shapeId="0" xr:uid="{00000000-0006-0000-0800-00005E000000}">
      <text>
        <r>
          <rPr>
            <b/>
            <sz val="9"/>
            <color indexed="81"/>
            <rFont val="Tahoma"/>
            <family val="2"/>
          </rPr>
          <t>Ng, Roy @ Hong Kong:</t>
        </r>
        <r>
          <rPr>
            <sz val="9"/>
            <color indexed="81"/>
            <rFont val="Tahoma"/>
            <family val="2"/>
          </rPr>
          <t xml:space="preserve">
Dec: HKET says mid-2016</t>
        </r>
      </text>
    </comment>
    <comment ref="AA70" authorId="0" shapeId="0" xr:uid="{00000000-0006-0000-0800-00005F000000}">
      <text>
        <r>
          <rPr>
            <b/>
            <sz val="9"/>
            <color indexed="81"/>
            <rFont val="Tahoma"/>
            <family val="2"/>
          </rPr>
          <t>Ng, Roy @ Hong Kong:</t>
        </r>
        <r>
          <rPr>
            <sz val="9"/>
            <color indexed="81"/>
            <rFont val="Tahoma"/>
            <family val="2"/>
          </rPr>
          <t xml:space="preserve">
21st Sep 2015 Price List</t>
        </r>
      </text>
    </comment>
    <comment ref="B71" authorId="0" shapeId="0" xr:uid="{00000000-0006-0000-0800-000054000000}">
      <text>
        <r>
          <rPr>
            <b/>
            <sz val="9"/>
            <color indexed="81"/>
            <rFont val="Tahoma"/>
            <family val="2"/>
          </rPr>
          <t>Ng, Roy @ Hong Kong:</t>
        </r>
        <r>
          <rPr>
            <sz val="9"/>
            <color indexed="81"/>
            <rFont val="Tahoma"/>
            <family val="2"/>
          </rPr>
          <t xml:space="preserve">
(Wing On Life Building redevelopment)</t>
        </r>
      </text>
    </comment>
    <comment ref="L71" authorId="0" shapeId="0" xr:uid="{00000000-0006-0000-0800-000055000000}">
      <text>
        <r>
          <rPr>
            <b/>
            <sz val="8"/>
            <color indexed="81"/>
            <rFont val="Tahoma"/>
            <family val="2"/>
          </rPr>
          <t>Ng, Roy @ Hong Kong:</t>
        </r>
        <r>
          <rPr>
            <sz val="8"/>
            <color indexed="81"/>
            <rFont val="Tahoma"/>
            <family val="2"/>
          </rPr>
          <t xml:space="preserve">
Retail</t>
        </r>
      </text>
    </comment>
    <comment ref="K73" authorId="3" shapeId="0" xr:uid="{00000000-0006-0000-0800-000056000000}">
      <text>
        <r>
          <rPr>
            <b/>
            <sz val="9"/>
            <color indexed="81"/>
            <rFont val="Tahoma"/>
            <family val="2"/>
          </rPr>
          <t>Tang, Rosanna @ Hong Kong:</t>
        </r>
        <r>
          <rPr>
            <sz val="9"/>
            <color indexed="81"/>
            <rFont val="Tahoma"/>
            <family val="2"/>
          </rPr>
          <t xml:space="preserve">
orignally 2015 Q4
</t>
        </r>
        <r>
          <rPr>
            <b/>
            <sz val="9"/>
            <color indexed="81"/>
            <rFont val="Tahoma"/>
            <family val="2"/>
          </rPr>
          <t xml:space="preserve">Roy: </t>
        </r>
        <r>
          <rPr>
            <sz val="9"/>
            <color indexed="81"/>
            <rFont val="Tahoma"/>
            <family val="2"/>
          </rPr>
          <t xml:space="preserve">2015 from the website
Rhdori says 2017
</t>
        </r>
        <r>
          <rPr>
            <b/>
            <sz val="9"/>
            <color indexed="81"/>
            <rFont val="Tahoma"/>
            <family val="2"/>
          </rPr>
          <t xml:space="preserve">Roy: </t>
        </r>
        <r>
          <rPr>
            <sz val="9"/>
            <color indexed="81"/>
            <rFont val="Tahoma"/>
            <family val="2"/>
          </rPr>
          <t xml:space="preserve">Moved back to 2016
</t>
        </r>
        <r>
          <rPr>
            <b/>
            <sz val="9"/>
            <color indexed="81"/>
            <rFont val="Tahoma"/>
            <family val="2"/>
          </rPr>
          <t>Jerry:</t>
        </r>
        <r>
          <rPr>
            <sz val="9"/>
            <color indexed="81"/>
            <rFont val="Tahoma"/>
            <family val="2"/>
          </rPr>
          <t xml:space="preserve"> Troy said OP has been given in end-Jul 2016</t>
        </r>
      </text>
    </comment>
    <comment ref="O73" authorId="0" shapeId="0" xr:uid="{00000000-0006-0000-0800-000057000000}">
      <text>
        <r>
          <rPr>
            <b/>
            <sz val="9"/>
            <color indexed="81"/>
            <rFont val="Tahoma"/>
            <family val="2"/>
          </rPr>
          <t>Ng, Roy @ Hong Kong:</t>
        </r>
        <r>
          <rPr>
            <sz val="9"/>
            <color indexed="81"/>
            <rFont val="Tahoma"/>
            <family val="2"/>
          </rPr>
          <t xml:space="preserve">
25 office floors in total
Basement 3/F - Carpark/Plant rooms
Basement 2/F - Carpark/Plant rooms
Basement 1/F - Loading/Unloading Area/Car park/Back of House Area/Plant rooms
Ground Floor - Entrance Lobby/F&amp;B
1/F - F&amp;B
2/F - F&amp;B/Tx rooms/Plant rooms
3/F - refuge floor
5/F - 12/F Typical floor - Office Low zone (8 storeys, approx 2,840 sm)
13/F - 21/F Typical floor - Office Mid zone (8 storeys , approx 2,825 sm)
22/F - 23/F = Mechanical Room/Office High zone (2 storeys)
25/F - 31/F Typical floor - Office High zone (7 storeys, approx 2,825 sm)
Roof - Landscape/Plant rooms</t>
        </r>
      </text>
    </comment>
    <comment ref="Y73" authorId="4" shapeId="0" xr:uid="{00000000-0006-0000-0800-000058000000}">
      <text>
        <r>
          <rPr>
            <b/>
            <sz val="9"/>
            <color indexed="81"/>
            <rFont val="Tahoma"/>
            <family val="2"/>
          </rPr>
          <t>Ng, Jerry @ Hong Kong:</t>
        </r>
        <r>
          <rPr>
            <sz val="9"/>
            <color indexed="81"/>
            <rFont val="Tahoma"/>
            <family val="2"/>
          </rPr>
          <t xml:space="preserve">
align office database</t>
        </r>
      </text>
    </comment>
    <comment ref="AB73" authorId="0" shapeId="0" xr:uid="{00000000-0006-0000-0800-000059000000}">
      <text>
        <r>
          <rPr>
            <b/>
            <sz val="9"/>
            <color indexed="81"/>
            <rFont val="Tahoma"/>
            <family val="2"/>
          </rPr>
          <t>Ng, Roy @ Hong Kong:</t>
        </r>
        <r>
          <rPr>
            <sz val="9"/>
            <color indexed="81"/>
            <rFont val="Tahoma"/>
            <family val="2"/>
          </rPr>
          <t xml:space="preserve">
assume Goldin take 4 floors</t>
        </r>
      </text>
    </comment>
    <comment ref="AM73" authorId="0" shapeId="0" xr:uid="{00000000-0006-0000-0800-00005A000000}">
      <text>
        <r>
          <rPr>
            <b/>
            <sz val="9"/>
            <color indexed="81"/>
            <rFont val="Tahoma"/>
            <family val="2"/>
          </rPr>
          <t>Ng, Roy @ Hong Kong:</t>
        </r>
        <r>
          <rPr>
            <sz val="9"/>
            <color indexed="81"/>
            <rFont val="Tahoma"/>
            <family val="2"/>
          </rPr>
          <t xml:space="preserve">
BD: Smart Edge Ltd</t>
        </r>
      </text>
    </comment>
    <comment ref="B74" authorId="0" shapeId="0" xr:uid="{00000000-0006-0000-0800-000060000000}">
      <text>
        <r>
          <rPr>
            <b/>
            <sz val="9"/>
            <color indexed="81"/>
            <rFont val="Tahoma"/>
            <family val="2"/>
          </rPr>
          <t>Ng, Roy @ Hong Kong:</t>
        </r>
        <r>
          <rPr>
            <sz val="9"/>
            <color indexed="81"/>
            <rFont val="Tahoma"/>
            <family val="2"/>
          </rPr>
          <t xml:space="preserve">
 (Cheung Fai Industrial Building revitalization)</t>
        </r>
      </text>
    </comment>
    <comment ref="P75" authorId="0" shapeId="0" xr:uid="{00000000-0006-0000-0800-000062000000}">
      <text>
        <r>
          <rPr>
            <b/>
            <sz val="8"/>
            <color indexed="81"/>
            <rFont val="Tahoma"/>
            <family val="2"/>
          </rPr>
          <t>Ng, Roy @ Hong Kong:</t>
        </r>
        <r>
          <rPr>
            <sz val="8"/>
            <color indexed="81"/>
            <rFont val="Tahoma"/>
            <family val="2"/>
          </rPr>
          <t xml:space="preserve">
Brochure: 5/F-29/F</t>
        </r>
      </text>
    </comment>
    <comment ref="B77" authorId="0" shapeId="0" xr:uid="{00000000-0006-0000-0800-000061000000}">
      <text>
        <r>
          <rPr>
            <b/>
            <sz val="9"/>
            <color indexed="81"/>
            <rFont val="Tahoma"/>
            <family val="2"/>
          </rPr>
          <t>Ng, Roy @ Hong Kong:</t>
        </r>
        <r>
          <rPr>
            <sz val="9"/>
            <color indexed="81"/>
            <rFont val="Tahoma"/>
            <family val="2"/>
          </rPr>
          <t xml:space="preserve">
(Wing On Life Building redevelopment)</t>
        </r>
      </text>
    </comment>
    <comment ref="K78" authorId="4" shapeId="0" xr:uid="{00000000-0006-0000-0800-000063000000}">
      <text>
        <r>
          <rPr>
            <b/>
            <sz val="9"/>
            <color indexed="81"/>
            <rFont val="Tahoma"/>
            <family val="2"/>
          </rPr>
          <t>Ng, Jerry @ Hong Kong:</t>
        </r>
        <r>
          <rPr>
            <sz val="9"/>
            <color indexed="81"/>
            <rFont val="Tahoma"/>
            <family val="2"/>
          </rPr>
          <t xml:space="preserve">
Target May OP, handover in Aug</t>
        </r>
      </text>
    </comment>
    <comment ref="W78" authorId="5" shapeId="0" xr:uid="{00000000-0006-0000-0800-000064000000}">
      <text>
        <r>
          <rPr>
            <b/>
            <sz val="9"/>
            <color indexed="81"/>
            <rFont val="Tahoma"/>
            <family val="2"/>
          </rPr>
          <t>CBRE:</t>
        </r>
        <r>
          <rPr>
            <sz val="9"/>
            <color indexed="81"/>
            <rFont val="Tahoma"/>
            <family val="2"/>
          </rPr>
          <t xml:space="preserve">
Revised from 303,000 sf based on leasing brochure send by Coleman on 20/7/17
1/F-26/F office portion, 5/F: 5,754 sf reserved for retail </t>
        </r>
      </text>
    </comment>
    <comment ref="Z78" authorId="4" shapeId="0" xr:uid="{00000000-0006-0000-0800-000065000000}">
      <text>
        <r>
          <rPr>
            <b/>
            <sz val="9"/>
            <color indexed="81"/>
            <rFont val="Tahoma"/>
            <family val="2"/>
          </rPr>
          <t>Ng, Jerry @ Hong Kong:</t>
        </r>
        <r>
          <rPr>
            <sz val="9"/>
            <color indexed="81"/>
            <rFont val="Tahoma"/>
            <family val="2"/>
          </rPr>
          <t xml:space="preserve">
Astra Zeneca HK Ltd from Shui On Centre leased unit 01-03 on 11/F and one tenant on unit 04 on 12/F
</t>
        </r>
      </text>
    </comment>
    <comment ref="K79" authorId="3" shapeId="0" xr:uid="{00000000-0006-0000-0800-00006C000000}">
      <text>
        <r>
          <rPr>
            <b/>
            <sz val="9"/>
            <color indexed="81"/>
            <rFont val="Tahoma"/>
            <family val="2"/>
          </rPr>
          <t>Jul 2017 OP</t>
        </r>
      </text>
    </comment>
    <comment ref="Z79" authorId="4" shapeId="0" xr:uid="{00000000-0006-0000-0800-00006D000000}">
      <text>
        <r>
          <rPr>
            <b/>
            <sz val="9"/>
            <color indexed="81"/>
            <rFont val="Tahoma"/>
            <family val="2"/>
          </rPr>
          <t>Ng, Jerry @ Hong Kong:</t>
        </r>
        <r>
          <rPr>
            <sz val="9"/>
            <color indexed="81"/>
            <rFont val="Tahoma"/>
            <family val="2"/>
          </rPr>
          <t xml:space="preserve">
Target Sourcing: 22/F whole floor 20,335 sqft 
23/F part 15,800 sqft 
Deckers Asia Pacific: portion on 25/F 6,000sf
Portion on 25/F and 26/F tenant TBC</t>
        </r>
      </text>
    </comment>
    <comment ref="P80" authorId="5" shapeId="0" xr:uid="{00000000-0006-0000-0800-00006E000000}">
      <text>
        <r>
          <rPr>
            <b/>
            <sz val="9"/>
            <color indexed="81"/>
            <rFont val="Tahoma"/>
            <family val="2"/>
          </rPr>
          <t>CBRE:</t>
        </r>
        <r>
          <rPr>
            <sz val="9"/>
            <color indexed="81"/>
            <rFont val="Tahoma"/>
            <family val="2"/>
          </rPr>
          <t xml:space="preserve">
20 floors office
1 M&amp;E floor
1 F&amp;B floor
1 main entrance/office lobby/retail floor
4 car park floors</t>
        </r>
      </text>
    </comment>
    <comment ref="Z80" authorId="5" shapeId="0" xr:uid="{00000000-0006-0000-0800-00006F000000}">
      <text>
        <r>
          <rPr>
            <b/>
            <sz val="9"/>
            <color indexed="81"/>
            <rFont val="Tahoma"/>
            <family val="2"/>
          </rPr>
          <t>CBRE:</t>
        </r>
        <r>
          <rPr>
            <sz val="9"/>
            <color indexed="81"/>
            <rFont val="Tahoma"/>
            <family val="2"/>
          </rPr>
          <t xml:space="preserve">
2101-02 &amp; 2112-16; Aussco Hong Kong relocating from Two LME, 22/F and 23/F Ocean Network Express; Unit 03-09 on 21/F Sugi International Ltd
20/F IT company</t>
        </r>
      </text>
    </comment>
    <comment ref="K81" authorId="4" shapeId="0" xr:uid="{00000000-0006-0000-0800-00006A000000}">
      <text>
        <r>
          <rPr>
            <b/>
            <sz val="9"/>
            <color indexed="81"/>
            <rFont val="Tahoma"/>
            <family val="2"/>
          </rPr>
          <t>Ng, Jerry @ Hong Kong:</t>
        </r>
        <r>
          <rPr>
            <sz val="9"/>
            <color indexed="81"/>
            <rFont val="Tahoma"/>
            <family val="2"/>
          </rPr>
          <t xml:space="preserve">
Sep 2017 OP</t>
        </r>
      </text>
    </comment>
    <comment ref="Z81" authorId="4" shapeId="0" xr:uid="{00000000-0006-0000-0800-00006B000000}">
      <text>
        <r>
          <rPr>
            <b/>
            <sz val="9"/>
            <color indexed="81"/>
            <rFont val="Tahoma"/>
            <family val="2"/>
          </rPr>
          <t>Ng, Jerry @ Hong Kong:</t>
        </r>
        <r>
          <rPr>
            <sz val="9"/>
            <color indexed="81"/>
            <rFont val="Tahoma"/>
            <family val="2"/>
          </rPr>
          <t xml:space="preserve">
mizuho leased the lowest 6 floors, Fubon 1 floor, unit 02-03 on 17/F Shanghai Bai Qiao Ling Holdings, portion on 19/F and 17/F</t>
        </r>
      </text>
    </comment>
    <comment ref="O82" authorId="0" shapeId="0" xr:uid="{00000000-0006-0000-0800-000070000000}">
      <text>
        <r>
          <rPr>
            <b/>
            <sz val="9"/>
            <color indexed="81"/>
            <rFont val="Tahoma"/>
            <family val="2"/>
          </rPr>
          <t>Ng, Roy @ Hong Kong:</t>
        </r>
        <r>
          <rPr>
            <sz val="9"/>
            <color indexed="81"/>
            <rFont val="Tahoma"/>
            <family val="2"/>
          </rPr>
          <t xml:space="preserve">
Retail: Part B1, G/F - 4/F</t>
        </r>
      </text>
    </comment>
    <comment ref="Q82" authorId="6" shapeId="0" xr:uid="{00000000-0006-0000-0800-000071000000}">
      <text>
        <r>
          <rPr>
            <b/>
            <sz val="9"/>
            <color indexed="81"/>
            <rFont val="Tahoma"/>
            <family val="2"/>
          </rPr>
          <t>Ng, Jerry @ Hong Kong:</t>
        </r>
        <r>
          <rPr>
            <sz val="9"/>
            <color indexed="81"/>
            <rFont val="Tahoma"/>
            <family val="2"/>
          </rPr>
          <t xml:space="preserve">
17,000-18,200sf (lettable)</t>
        </r>
      </text>
    </comment>
    <comment ref="W82" authorId="4" shapeId="0" xr:uid="{00000000-0006-0000-0800-000072000000}">
      <text>
        <r>
          <rPr>
            <b/>
            <sz val="9"/>
            <color indexed="81"/>
            <rFont val="Tahoma"/>
            <family val="2"/>
          </rPr>
          <t>Ng, Jerry @ Hong Kong:</t>
        </r>
        <r>
          <rPr>
            <sz val="9"/>
            <color indexed="81"/>
            <rFont val="Tahoma"/>
            <family val="2"/>
          </rPr>
          <t xml:space="preserve">
office space only
was 462,379sf but included retail (B1, G-4/f)</t>
        </r>
      </text>
    </comment>
    <comment ref="Z82" authorId="5" shapeId="0" xr:uid="{00000000-0006-0000-0800-000073000000}">
      <text>
        <r>
          <rPr>
            <b/>
            <sz val="9"/>
            <color indexed="81"/>
            <rFont val="Tahoma"/>
            <family val="2"/>
          </rPr>
          <t>CBRE:</t>
        </r>
        <r>
          <rPr>
            <sz val="9"/>
            <color indexed="81"/>
            <rFont val="Tahoma"/>
            <family val="2"/>
          </rPr>
          <t xml:space="preserve">
CW: 4/f-5/f &amp; 602-603 leased to Regus
rest of 6/F &amp; 7/F are leased to Cathay United Bank
8 &amp; 9/F are leased to Oracle
10 &amp; part 11/F (7000sf) are leased to Sinopac (move from Admiralty)
16 &amp; 17/F are leased to Tower Watson
28/F &amp; 29/F leased to Maybank Kim Eng
</t>
        </r>
      </text>
    </comment>
    <comment ref="O84" authorId="4" shapeId="0" xr:uid="{00000000-0006-0000-0800-000074000000}">
      <text>
        <r>
          <rPr>
            <b/>
            <sz val="9"/>
            <color indexed="81"/>
            <rFont val="Tahoma"/>
            <family val="2"/>
          </rPr>
          <t>Ng, Jerry @ Hong Kong:</t>
        </r>
        <r>
          <rPr>
            <sz val="9"/>
            <color indexed="81"/>
            <rFont val="Tahoma"/>
            <family val="2"/>
          </rPr>
          <t xml:space="preserve">
G/F Lobby
1/F Lobby + E&amp;M
2/F Garden Level
3-13/F (Low Zone) Office
14-24/F (High Zone) Office</t>
        </r>
      </text>
    </comment>
    <comment ref="AM84" authorId="4" shapeId="0" xr:uid="{00000000-0006-0000-0800-000075000000}">
      <text>
        <r>
          <rPr>
            <b/>
            <sz val="9"/>
            <color indexed="81"/>
            <rFont val="Tahoma"/>
            <family val="2"/>
          </rPr>
          <t>Ng, Jerry @ Hong Kong:</t>
        </r>
        <r>
          <rPr>
            <sz val="9"/>
            <color indexed="81"/>
            <rFont val="Tahoma"/>
            <family val="2"/>
          </rPr>
          <t xml:space="preserve">
ex-Swire Site</t>
        </r>
      </text>
    </comment>
    <comment ref="K85" authorId="4" shapeId="0" xr:uid="{00000000-0006-0000-0800-000066000000}">
      <text>
        <r>
          <rPr>
            <b/>
            <sz val="9"/>
            <color indexed="81"/>
            <rFont val="Tahoma"/>
            <family val="2"/>
          </rPr>
          <t>Ng, Jerry @ Hong Kong:</t>
        </r>
        <r>
          <rPr>
            <sz val="9"/>
            <color indexed="81"/>
            <rFont val="Tahoma"/>
            <family val="2"/>
          </rPr>
          <t xml:space="preserve">
Changed from May to Aug according to Rocky</t>
        </r>
      </text>
    </comment>
    <comment ref="Q85" authorId="4" shapeId="0" xr:uid="{00000000-0006-0000-0800-000067000000}">
      <text>
        <r>
          <rPr>
            <b/>
            <sz val="9"/>
            <color indexed="81"/>
            <rFont val="Tahoma"/>
            <family val="2"/>
          </rPr>
          <t>Ng, Jerry @ Hong Kong:</t>
        </r>
        <r>
          <rPr>
            <sz val="9"/>
            <color indexed="81"/>
            <rFont val="Tahoma"/>
            <family val="2"/>
          </rPr>
          <t xml:space="preserve">
Revised from 217,560sf
13/F-26/F:Office
6/F-16/F: Semi Retail</t>
        </r>
      </text>
    </comment>
    <comment ref="W85" authorId="4" shapeId="0" xr:uid="{00000000-0006-0000-0800-000068000000}">
      <text>
        <r>
          <rPr>
            <b/>
            <sz val="9"/>
            <color indexed="81"/>
            <rFont val="Tahoma"/>
            <family val="2"/>
          </rPr>
          <t>Ng, Jerry @ Hong Kong:</t>
        </r>
        <r>
          <rPr>
            <sz val="9"/>
            <color indexed="81"/>
            <rFont val="Tahoma"/>
            <family val="2"/>
          </rPr>
          <t xml:space="preserve">
Revised from 217,560sf
13/F-26/F:Office
6/F-16/F: Semi Retail</t>
        </r>
      </text>
    </comment>
    <comment ref="Z85" authorId="5" shapeId="0" xr:uid="{00000000-0006-0000-0800-000069000000}">
      <text>
        <r>
          <rPr>
            <b/>
            <sz val="9"/>
            <color indexed="81"/>
            <rFont val="Tahoma"/>
            <family val="2"/>
          </rPr>
          <t>CBRE:</t>
        </r>
        <r>
          <rPr>
            <sz val="9"/>
            <color indexed="81"/>
            <rFont val="Tahoma"/>
            <family val="2"/>
          </rPr>
          <t xml:space="preserve">
18/F leased to Brixon Overseas Ltd from Billion Centre, Tower A; portion 01 on 15/F Tic Tac Int' Holdings Co Ltd ; 11/F to Nan Fung Group, 10/F, unit 1-2 on 20/F, unit 2-3 on 6/F, unit 3 on 9/F, unit 2-3 on 16/F, unit 5 on 16/F
</t>
        </r>
      </text>
    </comment>
    <comment ref="AA89" authorId="5" shapeId="0" xr:uid="{00000000-0006-0000-0800-000090000000}">
      <text>
        <r>
          <rPr>
            <b/>
            <sz val="9"/>
            <color indexed="81"/>
            <rFont val="Tahoma"/>
            <family val="2"/>
          </rPr>
          <t>CBRE:</t>
        </r>
        <r>
          <rPr>
            <sz val="9"/>
            <color indexed="81"/>
            <rFont val="Tahoma"/>
            <family val="2"/>
          </rPr>
          <t xml:space="preserve">
First Group Transactions Update 9 Feb 2018</t>
        </r>
      </text>
    </comment>
    <comment ref="P90" authorId="0" shapeId="0" xr:uid="{00000000-0006-0000-0800-000087000000}">
      <text>
        <r>
          <rPr>
            <b/>
            <sz val="8"/>
            <color indexed="81"/>
            <rFont val="Tahoma"/>
            <family val="2"/>
          </rPr>
          <t>Ng, Roy @ Hong Kong:</t>
        </r>
        <r>
          <rPr>
            <sz val="8"/>
            <color indexed="81"/>
            <rFont val="Tahoma"/>
            <family val="2"/>
          </rPr>
          <t xml:space="preserve">
5/F-12/F, 15/F-23/F, 25/F-27/F</t>
        </r>
      </text>
    </comment>
    <comment ref="R90" authorId="0" shapeId="0" xr:uid="{00000000-0006-0000-0800-000088000000}">
      <text>
        <r>
          <rPr>
            <b/>
            <sz val="9"/>
            <color indexed="81"/>
            <rFont val="Tahoma"/>
            <family val="2"/>
          </rPr>
          <t>Ng, Roy @ Hong Kong:</t>
        </r>
        <r>
          <rPr>
            <sz val="9"/>
            <color indexed="81"/>
            <rFont val="Tahoma"/>
            <family val="2"/>
          </rPr>
          <t xml:space="preserve">
Jen quoted landlord</t>
        </r>
      </text>
    </comment>
    <comment ref="Z90" authorId="5" shapeId="0" xr:uid="{00000000-0006-0000-0800-000089000000}">
      <text>
        <r>
          <rPr>
            <b/>
            <sz val="9"/>
            <color indexed="81"/>
            <rFont val="Tahoma"/>
            <family val="2"/>
          </rPr>
          <t>CBRE:</t>
        </r>
        <r>
          <rPr>
            <sz val="9"/>
            <color indexed="81"/>
            <rFont val="Tahoma"/>
            <family val="2"/>
          </rPr>
          <t xml:space="preserve">
TC email (11/14/17): 8/F, 9/F, 21/F, 22/F and 25/F
Jerry.NG
Troy confirmed 0 pre-lease</t>
        </r>
      </text>
    </comment>
    <comment ref="AB90" authorId="5" shapeId="0" xr:uid="{00000000-0006-0000-0800-00008A000000}">
      <text>
        <r>
          <rPr>
            <b/>
            <sz val="9"/>
            <color indexed="81"/>
            <rFont val="Tahoma"/>
            <family val="2"/>
          </rPr>
          <t>CBRE:</t>
        </r>
        <r>
          <rPr>
            <sz val="9"/>
            <color indexed="81"/>
            <rFont val="Tahoma"/>
            <family val="2"/>
          </rPr>
          <t xml:space="preserve">
26/F and 27/F LL for self use</t>
        </r>
      </text>
    </comment>
    <comment ref="K91" authorId="5" shapeId="0" xr:uid="{00000000-0006-0000-0800-000076000000}">
      <text>
        <r>
          <rPr>
            <b/>
            <sz val="9"/>
            <color indexed="81"/>
            <rFont val="Tahoma"/>
            <family val="2"/>
          </rPr>
          <t>CBRE:</t>
        </r>
        <r>
          <rPr>
            <sz val="9"/>
            <color indexed="81"/>
            <rFont val="Tahoma"/>
            <family val="2"/>
          </rPr>
          <t xml:space="preserve">
OP date April 2018 according to Rocky
</t>
        </r>
      </text>
    </comment>
    <comment ref="P91" authorId="5" shapeId="0" xr:uid="{00000000-0006-0000-0800-000077000000}">
      <text>
        <r>
          <rPr>
            <b/>
            <sz val="9"/>
            <color indexed="81"/>
            <rFont val="Tahoma"/>
            <family val="2"/>
          </rPr>
          <t>CBRE:</t>
        </r>
        <r>
          <rPr>
            <sz val="9"/>
            <color indexed="81"/>
            <rFont val="Tahoma"/>
            <family val="2"/>
          </rPr>
          <t xml:space="preserve">
19 office floors, 3 basements, 2 retail floors
</t>
        </r>
      </text>
    </comment>
    <comment ref="Z91" authorId="5" shapeId="0" xr:uid="{00000000-0006-0000-0800-000078000000}">
      <text>
        <r>
          <rPr>
            <b/>
            <sz val="9"/>
            <color indexed="81"/>
            <rFont val="Tahoma"/>
            <family val="2"/>
          </rPr>
          <t>CBRE:</t>
        </r>
        <r>
          <rPr>
            <sz val="9"/>
            <color indexed="81"/>
            <rFont val="Tahoma"/>
            <family val="2"/>
          </rPr>
          <t xml:space="preserve">
WeWork 5/F and 6/F, Mott MacDonald 3/F
Sainsbury 7/F
VF Corporation 8/F,9/F and 10/F</t>
        </r>
      </text>
    </comment>
    <comment ref="O94" authorId="4" shapeId="0" xr:uid="{00000000-0006-0000-0800-000079000000}">
      <text>
        <r>
          <rPr>
            <b/>
            <sz val="9"/>
            <color indexed="81"/>
            <rFont val="Tahoma"/>
            <family val="2"/>
          </rPr>
          <t>Ng, Jerry @ Hong Kong:</t>
        </r>
        <r>
          <rPr>
            <sz val="9"/>
            <color indexed="81"/>
            <rFont val="Tahoma"/>
            <family val="2"/>
          </rPr>
          <t xml:space="preserve">
B2 CP
B1 Loading Bays &amp; CP
G-1/F Lobby
2/F Restaurant
3-4/F E&amp;M Floors
5-14/F (Low Zone) Office
15-22/F (Mid Zone) Office
23/F Refuge Floor
24/F E&amp;M Floor
25-32/F (Mid Zone) Office
33-47/F (High Zone) Office
47/F Feature Floor</t>
        </r>
      </text>
    </comment>
    <comment ref="Z94" authorId="5" shapeId="0" xr:uid="{00000000-0006-0000-0800-00007A000000}">
      <text>
        <r>
          <rPr>
            <b/>
            <sz val="9"/>
            <color indexed="81"/>
            <rFont val="Tahoma"/>
            <family val="2"/>
          </rPr>
          <t>CBRE:</t>
        </r>
        <r>
          <rPr>
            <sz val="9"/>
            <color indexed="81"/>
            <rFont val="Tahoma"/>
            <family val="2"/>
          </rPr>
          <t xml:space="preserve">
9/F Metlife, 8/F Prada, Facebook (43/F-47/F), Baker &amp; McKenzie (10/F-14/F), Kering Group (29/F-30/F), IPG Media Brands (15-17/F +10,000sf on 18/F), Simmons &amp; Simmons (28 flrs), JLL (6/F &amp; 8/F), Marsh &amp; Mclennan/ Mercer (Hong Kong) Ltd (33/F &amp; 34/F), EY (19/F-22/F, (half)26/F, 27/F, 31/F &amp; 32/F), Eversheds (37/F), RPC (half 18/F), The Great Room (23/F), RBC (40/F-41/F not confirmed), Veolia Water China Ltd (40/F), (AXA half 35/F &amp; 36/F), Chubb (half 38/F &amp; 39/F), Total GFA see leasing database</t>
        </r>
      </text>
    </comment>
    <comment ref="AB94" authorId="7" shapeId="0" xr:uid="{00000000-0006-0000-0800-00007B000000}">
      <text>
        <r>
          <rPr>
            <b/>
            <sz val="9"/>
            <color indexed="81"/>
            <rFont val="Tahoma"/>
            <family val="2"/>
          </rPr>
          <t>Leung, Peter @ Hong Kong:</t>
        </r>
        <r>
          <rPr>
            <sz val="9"/>
            <color indexed="81"/>
            <rFont val="Tahoma"/>
            <family val="2"/>
          </rPr>
          <t xml:space="preserve">
John Swire &amp; Son</t>
        </r>
      </text>
    </comment>
    <comment ref="O95" authorId="5" shapeId="0" xr:uid="{00000000-0006-0000-0800-000085000000}">
      <text>
        <r>
          <rPr>
            <b/>
            <sz val="9"/>
            <color indexed="81"/>
            <rFont val="Tahoma"/>
            <family val="2"/>
          </rPr>
          <t>CBRE:</t>
        </r>
        <r>
          <rPr>
            <sz val="9"/>
            <color indexed="81"/>
            <rFont val="Tahoma"/>
            <family val="2"/>
          </rPr>
          <t xml:space="preserve">
2 retail podium flrs</t>
        </r>
      </text>
    </comment>
    <comment ref="Z95" authorId="7" shapeId="0" xr:uid="{00000000-0006-0000-0800-000086000000}">
      <text>
        <r>
          <rPr>
            <b/>
            <sz val="9"/>
            <color indexed="81"/>
            <rFont val="Tahoma"/>
            <family val="2"/>
          </rPr>
          <t>Leung, Peter @ Hong Kong:</t>
        </r>
        <r>
          <rPr>
            <sz val="9"/>
            <color indexed="81"/>
            <rFont val="Tahoma"/>
            <family val="2"/>
          </rPr>
          <t xml:space="preserve">
Bupa (45k), KPMG 3floors circa 45k. Fleet Management 3 floors</t>
        </r>
      </text>
    </comment>
    <comment ref="K97" authorId="5" shapeId="0" xr:uid="{00000000-0006-0000-0800-00008B000000}">
      <text>
        <r>
          <rPr>
            <b/>
            <sz val="9"/>
            <color indexed="81"/>
            <rFont val="Tahoma"/>
            <family val="2"/>
          </rPr>
          <t>CBRE:</t>
        </r>
        <r>
          <rPr>
            <sz val="9"/>
            <color indexed="81"/>
            <rFont val="Tahoma"/>
            <family val="2"/>
          </rPr>
          <t xml:space="preserve">
Alan Lok</t>
        </r>
      </text>
    </comment>
    <comment ref="O97" authorId="0" shapeId="0" xr:uid="{00000000-0006-0000-0800-00008C000000}">
      <text>
        <r>
          <rPr>
            <b/>
            <sz val="8"/>
            <color indexed="81"/>
            <rFont val="Tahoma"/>
            <family val="2"/>
          </rPr>
          <t>Ng, Roy @ Hong Kong:</t>
        </r>
        <r>
          <rPr>
            <sz val="8"/>
            <color indexed="81"/>
            <rFont val="Tahoma"/>
            <family val="2"/>
          </rPr>
          <t xml:space="preserve">
Office: 21 storeys
Retail: 3 storeys</t>
        </r>
      </text>
    </comment>
    <comment ref="Z97" authorId="7" shapeId="0" xr:uid="{00000000-0006-0000-0800-00008D000000}">
      <text>
        <r>
          <rPr>
            <b/>
            <sz val="9"/>
            <color indexed="81"/>
            <rFont val="Tahoma"/>
            <family val="2"/>
          </rPr>
          <t>Leung, Peter @ Hong Kong:</t>
        </r>
        <r>
          <rPr>
            <sz val="9"/>
            <color indexed="81"/>
            <rFont val="Tahoma"/>
            <family val="2"/>
          </rPr>
          <t xml:space="preserve">
Kr Space (89,467sf); Shanghai Pudong Development Bank (102,352sf); Tullett Prebon &amp; Icap (25,588sf)</t>
        </r>
      </text>
    </comment>
    <comment ref="Z98" authorId="7" shapeId="0" xr:uid="{DED9BBBE-1A4A-4A86-AB23-0EAC6E426D39}">
      <text>
        <r>
          <rPr>
            <b/>
            <sz val="9"/>
            <color indexed="81"/>
            <rFont val="Tahoma"/>
            <family val="2"/>
          </rPr>
          <t>Leung, Peter @ Hong Kong:</t>
        </r>
        <r>
          <rPr>
            <sz val="9"/>
            <color indexed="81"/>
            <rFont val="Tahoma"/>
            <family val="2"/>
          </rPr>
          <t xml:space="preserve">
- Multiple floor tenant has just agreed terms for 2 low zone and 2 high zone floors (not counted as leased)
- Landlord will be self using 25/F with the right to expand on the 23/F (It is reserved for them)
- 22/F is also reserved for a “friend” of the Boss (not take into account yet untile this is confirmed) 
- 5/F leased (mentioned by Troy Wu)
LL reserved 20-25/F</t>
        </r>
      </text>
    </comment>
    <comment ref="T101" authorId="7" shapeId="0" xr:uid="{50A20437-2CA7-4029-8003-8C3CBA2BCBC5}">
      <text>
        <r>
          <rPr>
            <b/>
            <sz val="9"/>
            <color indexed="81"/>
            <rFont val="Tahoma"/>
            <family val="2"/>
          </rPr>
          <t>Leung, Peter @ Hong Kong:</t>
        </r>
        <r>
          <rPr>
            <sz val="9"/>
            <color indexed="81"/>
            <rFont val="Tahoma"/>
            <family val="2"/>
          </rPr>
          <t xml:space="preserve">
45739.1 in BD</t>
        </r>
      </text>
    </comment>
    <comment ref="V101" authorId="4" shapeId="0" xr:uid="{00000000-0006-0000-0800-000091000000}">
      <text>
        <r>
          <rPr>
            <b/>
            <sz val="9"/>
            <color indexed="81"/>
            <rFont val="Tahoma"/>
            <family val="2"/>
          </rPr>
          <t>Ng, Jerry @ Hong Kong:</t>
        </r>
        <r>
          <rPr>
            <sz val="9"/>
            <color indexed="81"/>
            <rFont val="Tahoma"/>
            <family val="2"/>
          </rPr>
          <t xml:space="preserve">
Feb 2017 BD: 45535
Sino: 92% will be office
From Bronchure</t>
        </r>
      </text>
    </comment>
    <comment ref="AA101" authorId="7" shapeId="0" xr:uid="{00000000-0006-0000-0800-000092000000}">
      <text>
        <r>
          <rPr>
            <b/>
            <sz val="9"/>
            <color indexed="81"/>
            <rFont val="Tahoma"/>
            <family val="2"/>
          </rPr>
          <t>Leung, Peter @ Hong Kong:</t>
        </r>
        <r>
          <rPr>
            <sz val="9"/>
            <color indexed="81"/>
            <rFont val="Tahoma"/>
            <family val="2"/>
          </rPr>
          <t xml:space="preserve">
Refer to the supply info file - 5-Jul-18
Refer to the supply info file - 23-Apr-19</t>
        </r>
      </text>
    </comment>
    <comment ref="W102" authorId="0" shapeId="0" xr:uid="{00000000-0006-0000-0800-00007C000000}">
      <text>
        <r>
          <rPr>
            <b/>
            <sz val="8"/>
            <color indexed="81"/>
            <rFont val="Tahoma"/>
            <family val="2"/>
          </rPr>
          <t>Ng, Roy @ Hong Kong:</t>
        </r>
        <r>
          <rPr>
            <sz val="8"/>
            <color indexed="81"/>
            <rFont val="Tahoma"/>
            <family val="2"/>
          </rPr>
          <t xml:space="preserve">
Office: was 803,000 sf but changed to 797,998sf after Valuation Evangeline's confirmation
Retail: 81,000 sf</t>
        </r>
      </text>
    </comment>
    <comment ref="Z102" authorId="4" shapeId="0" xr:uid="{00000000-0006-0000-0800-00007D000000}">
      <text>
        <r>
          <rPr>
            <b/>
            <sz val="9"/>
            <color indexed="81"/>
            <rFont val="Tahoma"/>
            <family val="2"/>
          </rPr>
          <t>Ng, Jerry @ Hong Kong:</t>
        </r>
        <r>
          <rPr>
            <sz val="9"/>
            <color indexed="81"/>
            <rFont val="Tahoma"/>
            <family val="2"/>
          </rPr>
          <t xml:space="preserve">
12 Jan 2017: Confirmed:-
• Whole of 12/F, 15/F, 16/F
• Half of 17/F, 18/F, 19/F
Expansion rights (to be exercised by end 2017):-
• Remaining portion of 17/F, 18/F &amp; 19/F
First Right of Refusal:-
• Whole of 20/F
JP Morgan has got signage rights on one of the towers only, and there is a non-competitor clause which prevents ANY bank from having signage on the other tower. The name of the building will be brand neutral and the Landlord will not grant naming rights to anyone.
Link Asset Management Limited and Nan Fung Development announced the pre-leasing of about 225,000 square feet of office floor area at 77 Hoi Bun Road, now under construction in the heart of Kowloon East, to J.P. Morgan. The complex is expected to be completed in 2019.
Jan-18: JP Moragn to take 300,000sf
Link REIT 100,000sf self-use
Jun-18: JP Morgan to exercise option to take another 50,000sf
Jul-18: WeWork 50,000sf (5/F &amp; 6/F)
Mar-19: Gammon 49,875sf (23/F)</t>
        </r>
      </text>
    </comment>
    <comment ref="Q104" authorId="7" shapeId="0" xr:uid="{5EA2AE7A-E14B-45E5-A9CB-0AC1F5538D30}">
      <text>
        <r>
          <rPr>
            <b/>
            <sz val="9"/>
            <color indexed="81"/>
            <rFont val="Tahoma"/>
            <family val="2"/>
          </rPr>
          <t>Leung, Peter @ Hong Kong:</t>
        </r>
        <r>
          <rPr>
            <sz val="9"/>
            <color indexed="81"/>
            <rFont val="Tahoma"/>
            <family val="2"/>
          </rPr>
          <t xml:space="preserve">
Lettable</t>
        </r>
      </text>
    </comment>
    <comment ref="U104" authorId="7" shapeId="0" xr:uid="{C1351333-C899-4597-97F0-01B911E27510}">
      <text>
        <r>
          <rPr>
            <b/>
            <sz val="9"/>
            <color indexed="81"/>
            <rFont val="Tahoma"/>
            <family val="2"/>
          </rPr>
          <t>Leung, Peter @ Hong Kong:</t>
        </r>
        <r>
          <rPr>
            <sz val="9"/>
            <color indexed="81"/>
            <rFont val="Tahoma"/>
            <family val="2"/>
          </rPr>
          <t xml:space="preserve">
gross</t>
        </r>
      </text>
    </comment>
    <comment ref="W104" authorId="7" shapeId="0" xr:uid="{0ECEDFA6-76BA-44A6-AA22-A6B52FAD908B}">
      <text>
        <r>
          <rPr>
            <b/>
            <sz val="9"/>
            <color indexed="81"/>
            <rFont val="Tahoma"/>
            <family val="2"/>
          </rPr>
          <t>Leung, Peter @ Hong Kong:</t>
        </r>
        <r>
          <rPr>
            <sz val="9"/>
            <color indexed="81"/>
            <rFont val="Tahoma"/>
            <family val="2"/>
          </rPr>
          <t xml:space="preserve">
Lettable</t>
        </r>
      </text>
    </comment>
    <comment ref="O105" authorId="5" shapeId="0" xr:uid="{00000000-0006-0000-0800-00007E000000}">
      <text>
        <r>
          <rPr>
            <b/>
            <sz val="9"/>
            <color indexed="81"/>
            <rFont val="Tahoma"/>
            <family val="2"/>
          </rPr>
          <t>CBRE:</t>
        </r>
        <r>
          <rPr>
            <sz val="9"/>
            <color indexed="81"/>
            <rFont val="Tahoma"/>
            <family val="2"/>
          </rPr>
          <t xml:space="preserve">
23/F to 39/F</t>
        </r>
      </text>
    </comment>
    <comment ref="Z105" authorId="7" shapeId="0" xr:uid="{3F1AECDE-E6BE-4EE6-BAD3-18B531FDA353}">
      <text>
        <r>
          <rPr>
            <b/>
            <sz val="9"/>
            <color indexed="81"/>
            <rFont val="Tahoma"/>
            <family val="2"/>
          </rPr>
          <t>Leung, Peter @ Hong Kong:</t>
        </r>
        <r>
          <rPr>
            <sz val="9"/>
            <color indexed="81"/>
            <rFont val="Tahoma"/>
            <family val="2"/>
          </rPr>
          <t xml:space="preserve">
WeWork (200,000sf)</t>
        </r>
      </text>
    </comment>
    <comment ref="C106" authorId="8" shapeId="0" xr:uid="{889F3E4C-887D-405F-9278-99AA48E9D3BD}">
      <text>
        <r>
          <rPr>
            <b/>
            <sz val="9"/>
            <color indexed="81"/>
            <rFont val="Tahoma"/>
            <family val="2"/>
          </rPr>
          <t>Tang, Zac @ Hong Kong:</t>
        </r>
        <r>
          <rPr>
            <sz val="9"/>
            <color indexed="81"/>
            <rFont val="Tahoma"/>
            <family val="2"/>
          </rPr>
          <t xml:space="preserve">
704-730 King's Road &amp; 201-227 Tsat Tsz Mui Road</t>
        </r>
      </text>
    </comment>
    <comment ref="V106" authorId="7" shapeId="0" xr:uid="{00000000-0006-0000-0800-000081000000}">
      <text>
        <r>
          <rPr>
            <b/>
            <sz val="9"/>
            <color indexed="81"/>
            <rFont val="Tahoma"/>
            <family val="2"/>
          </rPr>
          <t>Leung, Peter @ Hong Kong:</t>
        </r>
        <r>
          <rPr>
            <sz val="9"/>
            <color indexed="81"/>
            <rFont val="Tahoma"/>
            <family val="2"/>
          </rPr>
          <t xml:space="preserve">
Site Coverage: 65% for the tower
22 floors for office from planning application</t>
        </r>
      </text>
    </comment>
    <comment ref="W106" authorId="7" shapeId="0" xr:uid="{00000000-0006-0000-0800-000082000000}">
      <text>
        <r>
          <rPr>
            <b/>
            <sz val="9"/>
            <color indexed="81"/>
            <rFont val="Tahoma"/>
            <family val="2"/>
          </rPr>
          <t>Leung, Peter @ Hong Kong:</t>
        </r>
        <r>
          <rPr>
            <sz val="9"/>
            <color indexed="81"/>
            <rFont val="Tahoma"/>
            <family val="2"/>
          </rPr>
          <t xml:space="preserve">
From the brochure</t>
        </r>
      </text>
    </comment>
    <comment ref="X106" authorId="7" shapeId="0" xr:uid="{00000000-0006-0000-0800-000083000000}">
      <text>
        <r>
          <rPr>
            <b/>
            <sz val="9"/>
            <color indexed="81"/>
            <rFont val="Tahoma"/>
            <family val="2"/>
          </rPr>
          <t>Leung, Peter @ Hong Kong:</t>
        </r>
        <r>
          <rPr>
            <sz val="9"/>
            <color indexed="81"/>
            <rFont val="Tahoma"/>
            <family val="2"/>
          </rPr>
          <t xml:space="preserve">
High zone: 88-91%
Low zone: 85-87%</t>
        </r>
      </text>
    </comment>
    <comment ref="Z106" authorId="7" shapeId="0" xr:uid="{CFB38DE5-4D52-4F75-82C4-493266AB342E}">
      <text>
        <r>
          <rPr>
            <b/>
            <sz val="9"/>
            <color indexed="81"/>
            <rFont val="Tahoma"/>
            <family val="2"/>
          </rPr>
          <t>Leung, Peter @ Hong Kong:</t>
        </r>
        <r>
          <rPr>
            <sz val="9"/>
            <color indexed="81"/>
            <rFont val="Tahoma"/>
            <family val="2"/>
          </rPr>
          <t xml:space="preserve">
L'Occitane: 1.5 floors</t>
        </r>
      </text>
    </comment>
    <comment ref="M110" authorId="7" shapeId="0" xr:uid="{00000000-0006-0000-0800-00007F000000}">
      <text>
        <r>
          <rPr>
            <b/>
            <sz val="9"/>
            <color indexed="81"/>
            <rFont val="Tahoma"/>
            <family val="2"/>
          </rPr>
          <t>Leung, Peter @ Hong Kong:</t>
        </r>
        <r>
          <rPr>
            <sz val="9"/>
            <color indexed="81"/>
            <rFont val="Tahoma"/>
            <family val="2"/>
          </rPr>
          <t xml:space="preserve">
Data Centre</t>
        </r>
      </text>
    </comment>
    <comment ref="W111" authorId="8" shapeId="0" xr:uid="{E6F59A10-76D8-457C-B12E-13CD926128F7}">
      <text>
        <r>
          <rPr>
            <b/>
            <sz val="9"/>
            <color indexed="81"/>
            <rFont val="Tahoma"/>
            <family val="2"/>
          </rPr>
          <t>Tang, Zac @ Hong Kong:</t>
        </r>
        <r>
          <rPr>
            <sz val="9"/>
            <color indexed="81"/>
            <rFont val="Tahoma"/>
            <family val="2"/>
          </rPr>
          <t xml:space="preserve">
stacking plan</t>
        </r>
      </text>
    </comment>
    <comment ref="Z112" authorId="7" shapeId="0" xr:uid="{358CD815-37F8-4D3C-8288-918A822B6B58}">
      <text>
        <r>
          <rPr>
            <b/>
            <sz val="9"/>
            <color indexed="81"/>
            <rFont val="Tahoma"/>
            <family val="2"/>
          </rPr>
          <t>Leung, Peter @ Hong Kong:</t>
        </r>
        <r>
          <rPr>
            <sz val="9"/>
            <color indexed="81"/>
            <rFont val="Tahoma"/>
            <family val="2"/>
          </rPr>
          <t xml:space="preserve">
Bird &amp; Bird</t>
        </r>
      </text>
    </comment>
    <comment ref="O115" authorId="4" shapeId="0" xr:uid="{00000000-0006-0000-0800-000084000000}">
      <text>
        <r>
          <rPr>
            <b/>
            <sz val="9"/>
            <color indexed="81"/>
            <rFont val="Tahoma"/>
            <family val="2"/>
          </rPr>
          <t>Ng, Jerry @ Hong Kong:</t>
        </r>
        <r>
          <rPr>
            <sz val="9"/>
            <color indexed="81"/>
            <rFont val="Tahoma"/>
            <family val="2"/>
          </rPr>
          <t xml:space="preserve">
non-domestic GFA: 61255sm
office GFA: 29475sm
total non-domestic floor: 37</t>
        </r>
      </text>
    </comment>
    <comment ref="U116" authorId="7" shapeId="0" xr:uid="{71E77C38-459A-4019-880E-55B4FE89B9EE}">
      <text>
        <r>
          <rPr>
            <b/>
            <sz val="9"/>
            <color indexed="81"/>
            <rFont val="Tahoma"/>
            <family val="2"/>
          </rPr>
          <t>Leung, Peter @ Hong Kong:</t>
        </r>
        <r>
          <rPr>
            <sz val="9"/>
            <color indexed="81"/>
            <rFont val="Tahoma"/>
            <family val="2"/>
          </rPr>
          <t xml:space="preserve">
Marketing GFA</t>
        </r>
      </text>
    </comment>
    <comment ref="M119" authorId="7" shapeId="0" xr:uid="{B751C30E-E58A-414D-8B1B-5A601C634B76}">
      <text>
        <r>
          <rPr>
            <b/>
            <sz val="9"/>
            <color indexed="81"/>
            <rFont val="Tahoma"/>
            <family val="2"/>
          </rPr>
          <t>Leung, Peter @ Hong Kong:</t>
        </r>
        <r>
          <rPr>
            <sz val="9"/>
            <color indexed="81"/>
            <rFont val="Tahoma"/>
            <family val="2"/>
          </rPr>
          <t xml:space="preserve">
Long lease to a tenant</t>
        </r>
      </text>
    </comment>
    <comment ref="W120" authorId="7" shapeId="0" xr:uid="{4B3390D9-FC36-4106-94A2-B3136E0CF0B6}">
      <text>
        <r>
          <rPr>
            <b/>
            <sz val="9"/>
            <color indexed="81"/>
            <rFont val="Tahoma"/>
            <family val="2"/>
          </rPr>
          <t>Leung, Peter @ Hong Kong:</t>
        </r>
        <r>
          <rPr>
            <sz val="9"/>
            <color indexed="81"/>
            <rFont val="Tahoma"/>
            <family val="2"/>
          </rPr>
          <t xml:space="preserve">
Landlord
Unicorn</t>
        </r>
      </text>
    </comment>
    <comment ref="Y120" authorId="7" shapeId="0" xr:uid="{B760C1A7-FC4A-46A0-B6AE-2107814652D1}">
      <text>
        <r>
          <rPr>
            <b/>
            <sz val="9"/>
            <color indexed="81"/>
            <rFont val="Tahoma"/>
            <family val="2"/>
          </rPr>
          <t>Leung, Peter @ Hong Kong:</t>
        </r>
        <r>
          <rPr>
            <sz val="9"/>
            <color indexed="81"/>
            <rFont val="Tahoma"/>
            <family val="2"/>
          </rPr>
          <t xml:space="preserve">
Unicorn</t>
        </r>
      </text>
    </comment>
    <comment ref="U122" authorId="7" shapeId="0" xr:uid="{B8880B62-3A11-441B-9EE2-C390404D6A18}">
      <text>
        <r>
          <rPr>
            <b/>
            <sz val="9"/>
            <color indexed="81"/>
            <rFont val="Tahoma"/>
            <family val="2"/>
          </rPr>
          <t>Leung, Peter @ Hong Kong:</t>
        </r>
        <r>
          <rPr>
            <sz val="9"/>
            <color indexed="81"/>
            <rFont val="Tahoma"/>
            <family val="2"/>
          </rPr>
          <t xml:space="preserve">
Building Plan</t>
        </r>
      </text>
    </comment>
    <comment ref="W122" authorId="7" shapeId="0" xr:uid="{4A53FA65-0404-4315-94FF-12C94A38F2B1}">
      <text>
        <r>
          <rPr>
            <b/>
            <sz val="9"/>
            <color indexed="81"/>
            <rFont val="Tahoma"/>
            <family val="2"/>
          </rPr>
          <t>Leung, Peter @ Hong Kong:</t>
        </r>
        <r>
          <rPr>
            <sz val="9"/>
            <color indexed="81"/>
            <rFont val="Tahoma"/>
            <family val="2"/>
          </rPr>
          <t xml:space="preserve">
quoted by the developer</t>
        </r>
      </text>
    </comment>
    <comment ref="I123" authorId="8" shapeId="0" xr:uid="{82612910-30F7-4AF9-B0F2-E7BEAA441038}">
      <text>
        <r>
          <rPr>
            <b/>
            <sz val="9"/>
            <color indexed="81"/>
            <rFont val="Tahoma"/>
            <family val="2"/>
          </rPr>
          <t>Tang, Zac @ Hong Kong:</t>
        </r>
        <r>
          <rPr>
            <sz val="9"/>
            <color indexed="81"/>
            <rFont val="Tahoma"/>
            <family val="2"/>
          </rPr>
          <t xml:space="preserve">
was 2021 Q4</t>
        </r>
      </text>
    </comment>
    <comment ref="U123" authorId="7" shapeId="0" xr:uid="{32849875-4C47-4D30-8713-75D42222A73C}">
      <text>
        <r>
          <rPr>
            <b/>
            <sz val="9"/>
            <color indexed="81"/>
            <rFont val="Tahoma"/>
            <family val="2"/>
          </rPr>
          <t>Leung, Peter @ Hong Kong:</t>
        </r>
        <r>
          <rPr>
            <sz val="9"/>
            <color indexed="81"/>
            <rFont val="Tahoma"/>
            <family val="2"/>
          </rPr>
          <t xml:space="preserve">
Retail: 152sf
Govt Accommodation: 13993sf</t>
        </r>
      </text>
    </comment>
    <comment ref="V123" authorId="7" shapeId="0" xr:uid="{33EA4A58-1E31-4A1F-B7EA-448AA74E2365}">
      <text>
        <r>
          <rPr>
            <b/>
            <sz val="9"/>
            <color indexed="81"/>
            <rFont val="Tahoma"/>
            <family val="2"/>
          </rPr>
          <t>Leung, Peter @ Hong Kong:</t>
        </r>
        <r>
          <rPr>
            <sz val="9"/>
            <color indexed="81"/>
            <rFont val="Tahoma"/>
            <family val="2"/>
          </rPr>
          <t xml:space="preserve">
From Brochure</t>
        </r>
      </text>
    </comment>
    <comment ref="W127" authorId="7" shapeId="0" xr:uid="{C094A18C-E1A0-40EC-B672-0A56B77B2BD1}">
      <text>
        <r>
          <rPr>
            <b/>
            <sz val="9"/>
            <color indexed="81"/>
            <rFont val="Tahoma"/>
            <family val="2"/>
          </rPr>
          <t>Leung, Peter @ Hong Kong:</t>
        </r>
        <r>
          <rPr>
            <sz val="9"/>
            <color indexed="81"/>
            <rFont val="Tahoma"/>
            <family val="2"/>
          </rPr>
          <t xml:space="preserve">
Landlord </t>
        </r>
      </text>
    </comment>
    <comment ref="Y127" authorId="7" shapeId="0" xr:uid="{857494B1-9F00-4711-8C4A-6A6D8BF5BCFE}">
      <text>
        <r>
          <rPr>
            <b/>
            <sz val="9"/>
            <color indexed="81"/>
            <rFont val="Tahoma"/>
            <family val="2"/>
          </rPr>
          <t>Leung, Peter @ Hong Kong:</t>
        </r>
        <r>
          <rPr>
            <sz val="9"/>
            <color indexed="81"/>
            <rFont val="Tahoma"/>
            <family val="2"/>
          </rPr>
          <t xml:space="preserve">
Landlord</t>
        </r>
      </text>
    </comment>
    <comment ref="I128" authorId="8" shapeId="0" xr:uid="{EC78ABDB-C24D-457A-A939-4BAE296ECDD5}">
      <text>
        <r>
          <rPr>
            <b/>
            <sz val="9"/>
            <color indexed="81"/>
            <rFont val="Tahoma"/>
            <family val="2"/>
          </rPr>
          <t>Tang, Zac @ Hong Kong:</t>
        </r>
        <r>
          <rPr>
            <sz val="9"/>
            <color indexed="81"/>
            <rFont val="Tahoma"/>
            <family val="2"/>
          </rPr>
          <t xml:space="preserve">
was 2022 Q4</t>
        </r>
      </text>
    </comment>
    <comment ref="T128" authorId="8" shapeId="0" xr:uid="{EE5B7FD1-D666-4C50-A13A-12815DF68D09}">
      <text>
        <r>
          <rPr>
            <b/>
            <sz val="9"/>
            <color indexed="81"/>
            <rFont val="Tahoma"/>
            <family val="2"/>
          </rPr>
          <t>Tang, Zac @ Hong Kong:</t>
        </r>
        <r>
          <rPr>
            <sz val="9"/>
            <color indexed="81"/>
            <rFont val="Tahoma"/>
            <family val="2"/>
          </rPr>
          <t xml:space="preserve">
Nov 20: was 347185.5</t>
        </r>
      </text>
    </comment>
    <comment ref="J130" authorId="8" shapeId="0" xr:uid="{2A95F77A-D53F-47AE-A191-CAC754627172}">
      <text>
        <r>
          <rPr>
            <b/>
            <sz val="9"/>
            <color indexed="81"/>
            <rFont val="Tahoma"/>
            <family val="2"/>
          </rPr>
          <t>Tang, Zac @ Hong Kong:</t>
        </r>
        <r>
          <rPr>
            <sz val="9"/>
            <color indexed="81"/>
            <rFont val="Tahoma"/>
            <family val="2"/>
          </rPr>
          <t xml:space="preserve">
19 Jul: change to Jul 2022
was Q1
Q3 22 Completed</t>
        </r>
      </text>
    </comment>
    <comment ref="Q130" authorId="7" shapeId="0" xr:uid="{1EE836EA-C717-4E49-AD3F-F9B58D8F7BD9}">
      <text>
        <r>
          <rPr>
            <b/>
            <sz val="9"/>
            <color indexed="81"/>
            <rFont val="Tahoma"/>
            <family val="2"/>
          </rPr>
          <t>Leung, Peter @ Hong Kong:</t>
        </r>
        <r>
          <rPr>
            <sz val="9"/>
            <color indexed="81"/>
            <rFont val="Tahoma"/>
            <family val="2"/>
          </rPr>
          <t xml:space="preserve">
by Ken Lau</t>
        </r>
      </text>
    </comment>
    <comment ref="W130" authorId="7" shapeId="0" xr:uid="{1BE54E85-FDDB-4A3D-813D-ADFA87C0CDF1}">
      <text>
        <r>
          <rPr>
            <b/>
            <sz val="9"/>
            <color indexed="81"/>
            <rFont val="Tahoma"/>
            <family val="2"/>
          </rPr>
          <t>Leung, Peter @ Hong Kong:</t>
        </r>
        <r>
          <rPr>
            <sz val="9"/>
            <color indexed="81"/>
            <rFont val="Tahoma"/>
            <family val="2"/>
          </rPr>
          <t xml:space="preserve">
By Ken Lau</t>
        </r>
      </text>
    </comment>
    <comment ref="T132" authorId="8" shapeId="0" xr:uid="{356AD8EC-1B7B-4589-8989-0DF62AEBCCD9}">
      <text>
        <r>
          <rPr>
            <b/>
            <sz val="9"/>
            <color indexed="81"/>
            <rFont val="Tahoma"/>
            <family val="2"/>
          </rPr>
          <t>Tang, Zac @ Hong Kong:</t>
        </r>
        <r>
          <rPr>
            <sz val="9"/>
            <color indexed="81"/>
            <rFont val="Tahoma"/>
            <family val="2"/>
          </rPr>
          <t xml:space="preserve">
was 26470</t>
        </r>
      </text>
    </comment>
    <comment ref="U132" authorId="8" shapeId="0" xr:uid="{E9C0910F-6F3A-4FBE-BC9F-9CB77C7BAE88}">
      <text>
        <r>
          <rPr>
            <b/>
            <sz val="9"/>
            <color indexed="81"/>
            <rFont val="Tahoma"/>
            <family val="2"/>
          </rPr>
          <t>Tang, Zac @ Hong Kong:</t>
        </r>
        <r>
          <rPr>
            <sz val="9"/>
            <color indexed="81"/>
            <rFont val="Tahoma"/>
            <family val="2"/>
          </rPr>
          <t xml:space="preserve">
Brochure</t>
        </r>
      </text>
    </comment>
    <comment ref="W132" authorId="4" shapeId="0" xr:uid="{00000000-0006-0000-0800-00008F000000}">
      <text>
        <r>
          <rPr>
            <b/>
            <sz val="9"/>
            <color indexed="81"/>
            <rFont val="Tahoma"/>
            <family val="2"/>
          </rPr>
          <t xml:space="preserve">Tang, Zac @ Hong Kong:
</t>
        </r>
        <r>
          <rPr>
            <sz val="9"/>
            <color indexed="81"/>
            <rFont val="Tahoma"/>
            <family val="2"/>
          </rPr>
          <t>brochuer</t>
        </r>
        <r>
          <rPr>
            <b/>
            <sz val="9"/>
            <color indexed="81"/>
            <rFont val="Tahoma"/>
            <family val="2"/>
          </rPr>
          <t xml:space="preserve">
Ng, Jerry @ Hong Kong:</t>
        </r>
        <r>
          <rPr>
            <sz val="9"/>
            <color indexed="81"/>
            <rFont val="Tahoma"/>
            <family val="2"/>
          </rPr>
          <t xml:space="preserve">
Feb BD 2019</t>
        </r>
      </text>
    </comment>
    <comment ref="T133" authorId="4" shapeId="0" xr:uid="{1C69A4E5-2198-4B7C-8924-37FA86F5FD76}">
      <text>
        <r>
          <rPr>
            <b/>
            <sz val="9"/>
            <color indexed="81"/>
            <rFont val="Tahoma"/>
            <family val="2"/>
          </rPr>
          <t>Ng, Jerry @ Hong Kong:</t>
        </r>
        <r>
          <rPr>
            <sz val="9"/>
            <color indexed="81"/>
            <rFont val="Tahoma"/>
            <family val="2"/>
          </rPr>
          <t xml:space="preserve">
Carol Chu @ Consulting: 64312.797 sqm</t>
        </r>
      </text>
    </comment>
    <comment ref="V133" authorId="4" shapeId="0" xr:uid="{00000000-0006-0000-0800-0000A8000000}">
      <text>
        <r>
          <rPr>
            <b/>
            <sz val="9"/>
            <color indexed="81"/>
            <rFont val="Tahoma"/>
            <family val="2"/>
          </rPr>
          <t>Ng, Jerry @ Hong Kong:</t>
        </r>
        <r>
          <rPr>
            <sz val="9"/>
            <color indexed="81"/>
            <rFont val="Tahoma"/>
            <family val="2"/>
          </rPr>
          <t xml:space="preserve">
Site area: 19044sm
Max Hotel GFA: 15000sm
Min PTU GFA: 3800sm
GFA distribution according to Consulting estimates
Planning Application: A/K22/20
Planning Application: A/K22/24</t>
        </r>
      </text>
    </comment>
    <comment ref="W133" authorId="4" shapeId="0" xr:uid="{00000000-0006-0000-0800-0000A9000000}">
      <text>
        <r>
          <rPr>
            <b/>
            <sz val="9"/>
            <color indexed="81"/>
            <rFont val="Tahoma"/>
            <family val="2"/>
          </rPr>
          <t>Ng, Jerry @ Hong Kong:</t>
        </r>
        <r>
          <rPr>
            <sz val="9"/>
            <color indexed="81"/>
            <rFont val="Tahoma"/>
            <family val="2"/>
          </rPr>
          <t xml:space="preserve">
revised from 1,130,102 sf
site area updated. Using the same office ratio assumption (1.13/1,89)
(1) the total gross 1100r area of any building
or buildings erected or to be erected on
the lot tor hotel purpose shall not exceed
15,000 square metres, of which the total
gross 1100r area of the building or
buildings erected or to be erected on the
lot for the purposes of ancillary
accommodation referred to in Special
Condition No. (40)(b)(v) hereof shall
not exceed 6,000 square metres; 
(2) the total gross Hoor area of any building
or buildings erected or to be erected on
the Retail Building Area for nonindustrial
(excluding residential, office,
hotel, godown, and petrol filling station)
purposes shall not be less than 1,777
square metres; and 
From Ivy info, 1,276,000 sf 
Revised to 1,288,000 from the stacking plan</t>
        </r>
      </text>
    </comment>
    <comment ref="Y133" authorId="7" shapeId="0" xr:uid="{9C7F4F4F-4E83-4F59-9872-733ADD2DECEC}">
      <text>
        <r>
          <rPr>
            <b/>
            <sz val="9"/>
            <color indexed="81"/>
            <rFont val="Tahoma"/>
            <family val="2"/>
          </rPr>
          <t xml:space="preserve">Tang, Zac @ Hong Kong:
</t>
        </r>
        <r>
          <rPr>
            <sz val="9"/>
            <color indexed="81"/>
            <rFont val="Tahoma"/>
            <family val="2"/>
          </rPr>
          <t>boss said 74% after visiting show suite (Nov 2020)</t>
        </r>
        <r>
          <rPr>
            <b/>
            <sz val="9"/>
            <color indexed="81"/>
            <rFont val="Tahoma"/>
            <family val="2"/>
          </rPr>
          <t xml:space="preserve">
Leung, Peter @ Hong Kong:</t>
        </r>
        <r>
          <rPr>
            <sz val="9"/>
            <color indexed="81"/>
            <rFont val="Tahoma"/>
            <family val="2"/>
          </rPr>
          <t xml:space="preserve">
As per the deck from Ivy, the efficiency is 72%</t>
        </r>
      </text>
    </comment>
    <comment ref="I134" authorId="8" shapeId="0" xr:uid="{DCBD7175-3135-47B5-8BB9-7E27E58409DB}">
      <text>
        <r>
          <rPr>
            <b/>
            <sz val="9"/>
            <color indexed="81"/>
            <rFont val="Tahoma"/>
            <family val="2"/>
          </rPr>
          <t>Tang, Zac @ Hong Kong:</t>
        </r>
        <r>
          <rPr>
            <sz val="9"/>
            <color indexed="81"/>
            <rFont val="Tahoma"/>
            <family val="2"/>
          </rPr>
          <t xml:space="preserve">
was 2022</t>
        </r>
      </text>
    </comment>
    <comment ref="W135" authorId="7" shapeId="0" xr:uid="{61CEE6B8-1BF9-4424-B065-3596DA8BD895}">
      <text>
        <r>
          <rPr>
            <b/>
            <sz val="9"/>
            <color indexed="81"/>
            <rFont val="Tahoma"/>
            <family val="2"/>
          </rPr>
          <t>Leung, Peter @ Hong Kong:</t>
        </r>
        <r>
          <rPr>
            <sz val="9"/>
            <color indexed="81"/>
            <rFont val="Tahoma"/>
            <family val="2"/>
          </rPr>
          <t xml:space="preserve">
Landlord</t>
        </r>
      </text>
    </comment>
    <comment ref="I136" authorId="7" shapeId="0" xr:uid="{765174C6-5597-42A4-BEFA-62681F9671E0}">
      <text>
        <r>
          <rPr>
            <b/>
            <sz val="9"/>
            <color indexed="81"/>
            <rFont val="Tahoma"/>
            <family val="2"/>
          </rPr>
          <t>Leung, Peter @ Hong Kong:</t>
        </r>
        <r>
          <rPr>
            <sz val="9"/>
            <color indexed="81"/>
            <rFont val="Tahoma"/>
            <family val="2"/>
          </rPr>
          <t xml:space="preserve">
From Rob</t>
        </r>
      </text>
    </comment>
    <comment ref="Q136" authorId="4" shapeId="0" xr:uid="{00000000-0006-0000-0800-000093000000}">
      <text>
        <r>
          <rPr>
            <b/>
            <sz val="9"/>
            <color indexed="81"/>
            <rFont val="Tahoma"/>
            <family val="2"/>
          </rPr>
          <t>Ng, Jerry @ Hong Kong:</t>
        </r>
        <r>
          <rPr>
            <sz val="9"/>
            <color indexed="81"/>
            <rFont val="Tahoma"/>
            <family val="2"/>
          </rPr>
          <t xml:space="preserve">
Site area 95,830sf</t>
        </r>
      </text>
    </comment>
    <comment ref="W136" authorId="4" shapeId="0" xr:uid="{00000000-0006-0000-0800-000094000000}">
      <text>
        <r>
          <rPr>
            <b/>
            <sz val="9"/>
            <color indexed="81"/>
            <rFont val="Tahoma"/>
            <family val="2"/>
          </rPr>
          <t>Ng, Jerry @ Hong Kong:</t>
        </r>
        <r>
          <rPr>
            <sz val="9"/>
            <color indexed="81"/>
            <rFont val="Tahoma"/>
            <family val="2"/>
          </rPr>
          <t xml:space="preserve">
Entire development: 1,149,972sf
in which, Retail: 345,600sf
was =400000+238068</t>
        </r>
      </text>
    </comment>
    <comment ref="V137" authorId="7" shapeId="0" xr:uid="{08E8839B-7582-4925-9D43-F41E0D4BF0B0}">
      <text>
        <r>
          <rPr>
            <b/>
            <sz val="9"/>
            <color indexed="81"/>
            <rFont val="Tahoma"/>
            <family val="2"/>
          </rPr>
          <t>Leung, Peter @ Hong Kong:</t>
        </r>
        <r>
          <rPr>
            <sz val="9"/>
            <color indexed="81"/>
            <rFont val="Tahoma"/>
            <family val="2"/>
          </rPr>
          <t xml:space="preserve">
A/K14/766</t>
        </r>
      </text>
    </comment>
    <comment ref="AM137" authorId="8" shapeId="0" xr:uid="{9C38BB1B-5A3C-4A41-997C-81AEC6539F9D}">
      <text>
        <r>
          <rPr>
            <b/>
            <sz val="9"/>
            <color indexed="81"/>
            <rFont val="Tahoma"/>
            <family val="2"/>
          </rPr>
          <t>Tang, Zac @ Hong Kong:</t>
        </r>
        <r>
          <rPr>
            <sz val="9"/>
            <color indexed="81"/>
            <rFont val="Tahoma"/>
            <family val="2"/>
          </rPr>
          <t xml:space="preserve">
Uni Trinity Development Ltd (Local investor Ma Ah Muk 馬亞木, Lin Tsz Fung 林子峰, Choi King Yeung 蔡經陽)</t>
        </r>
      </text>
    </comment>
    <comment ref="J138" authorId="7" shapeId="0" xr:uid="{AEDB5341-A683-4158-87FC-F40129581CF7}">
      <text>
        <r>
          <rPr>
            <b/>
            <sz val="9"/>
            <color indexed="81"/>
            <rFont val="Tahoma"/>
            <family val="2"/>
          </rPr>
          <t>Leung, Peter @ Hong Kong:</t>
        </r>
        <r>
          <rPr>
            <sz val="9"/>
            <color indexed="81"/>
            <rFont val="Tahoma"/>
            <family val="2"/>
          </rPr>
          <t xml:space="preserve">
OP in late Aug</t>
        </r>
      </text>
    </comment>
    <comment ref="U138" authorId="7" shapeId="0" xr:uid="{77F81CDE-75FF-4747-8E10-359BD46442B6}">
      <text>
        <r>
          <rPr>
            <b/>
            <sz val="9"/>
            <color indexed="81"/>
            <rFont val="Tahoma"/>
            <family val="2"/>
          </rPr>
          <t>Leung, Peter @ Hong Kong:</t>
        </r>
        <r>
          <rPr>
            <sz val="9"/>
            <color indexed="81"/>
            <rFont val="Tahoma"/>
            <family val="2"/>
          </rPr>
          <t xml:space="preserve">
One North用地是信置在2015年以16.9億元投得，該綜合項目鄰近港鐵屯馬線朗屏站，包含2座樓高14層的商廈部份，辦公室面積約44.5萬方呎；商場零售面積約11.3萬方呎；另外亦有2萬方呎的休憩園林。蔡碧林指出，商場部份亦料於明年底推出，整個項目的定位是融入該區環境，包括提供單車泊位，以及可予市民攜帶寵物進入。
Plot ratio GFA is 497,620sf</t>
        </r>
      </text>
    </comment>
    <comment ref="U139" authorId="8" shapeId="0" xr:uid="{3C194926-920F-4B99-B6C1-69D9DCBCBE9D}">
      <text>
        <r>
          <rPr>
            <b/>
            <sz val="9"/>
            <color indexed="81"/>
            <rFont val="Tahoma"/>
            <family val="2"/>
          </rPr>
          <t>Tang, Zac @ Hong Kong:</t>
        </r>
        <r>
          <rPr>
            <sz val="9"/>
            <color indexed="81"/>
            <rFont val="Tahoma"/>
            <family val="2"/>
          </rPr>
          <t xml:space="preserve">
was 132293.8656</t>
        </r>
      </text>
    </comment>
    <comment ref="B141" authorId="8" shapeId="0" xr:uid="{D6549351-5B79-454E-BF1B-A63B0C6EEAB4}">
      <text>
        <r>
          <rPr>
            <b/>
            <sz val="9"/>
            <color indexed="81"/>
            <rFont val="Tahoma"/>
            <family val="2"/>
          </rPr>
          <t>Tang, Zac @ Hong Kong:</t>
        </r>
        <r>
          <rPr>
            <sz val="9"/>
            <color indexed="81"/>
            <rFont val="Tahoma"/>
            <family val="2"/>
          </rPr>
          <t xml:space="preserve">
Ex-Kwong Loong Tai Building</t>
        </r>
      </text>
    </comment>
    <comment ref="M141" authorId="7" shapeId="0" xr:uid="{059FB0FA-C4C7-4619-8EDA-BA712E1CF992}">
      <text>
        <r>
          <rPr>
            <b/>
            <sz val="9"/>
            <color indexed="81"/>
            <rFont val="Tahoma"/>
            <family val="2"/>
          </rPr>
          <t>Leung, Peter @ Hong Kong:</t>
        </r>
        <r>
          <rPr>
            <sz val="9"/>
            <color indexed="81"/>
            <rFont val="Tahoma"/>
            <family val="2"/>
          </rPr>
          <t xml:space="preserve">
Applied Industrial Revitalisation 2.o</t>
        </r>
      </text>
    </comment>
    <comment ref="O141" authorId="7" shapeId="0" xr:uid="{A498EFBB-E83E-401B-BD6B-196F4801FDFA}">
      <text>
        <r>
          <rPr>
            <b/>
            <sz val="9"/>
            <color indexed="81"/>
            <rFont val="Tahoma"/>
            <family val="2"/>
          </rPr>
          <t>Leung, Peter @ Hong Kong:</t>
        </r>
        <r>
          <rPr>
            <sz val="9"/>
            <color indexed="81"/>
            <rFont val="Tahoma"/>
            <family val="2"/>
          </rPr>
          <t xml:space="preserve">
alternative scheme: 25 + 3 basement levels</t>
        </r>
      </text>
    </comment>
    <comment ref="T141" authorId="7" shapeId="0" xr:uid="{D4A83CFD-E354-48D8-9F71-277EF49BE320}">
      <text>
        <r>
          <rPr>
            <b/>
            <sz val="9"/>
            <color indexed="81"/>
            <rFont val="Tahoma"/>
            <family val="2"/>
          </rPr>
          <t>Leung, Peter @ Hong Kong:</t>
        </r>
        <r>
          <rPr>
            <sz val="9"/>
            <color indexed="81"/>
            <rFont val="Tahoma"/>
            <family val="2"/>
          </rPr>
          <t xml:space="preserve">
17607.1 alternative shceme</t>
        </r>
      </text>
    </comment>
    <comment ref="M142" authorId="7" shapeId="0" xr:uid="{369B4B0C-C989-4AE2-A8A2-D590E259C3E7}">
      <text>
        <r>
          <rPr>
            <b/>
            <sz val="9"/>
            <color indexed="81"/>
            <rFont val="Tahoma"/>
            <family val="2"/>
          </rPr>
          <t>Leung, Peter @ Hong Kong:</t>
        </r>
        <r>
          <rPr>
            <sz val="9"/>
            <color indexed="81"/>
            <rFont val="Tahoma"/>
            <family val="2"/>
          </rPr>
          <t xml:space="preserve">
A/K11/233 applied for redevelopment for non-polluting industrial use</t>
        </r>
      </text>
    </comment>
    <comment ref="Q143" authorId="4" shapeId="0" xr:uid="{3AF782F1-5674-465A-AD39-2A6630EB6B45}">
      <text>
        <r>
          <rPr>
            <b/>
            <sz val="9"/>
            <color indexed="81"/>
            <rFont val="Tahoma"/>
            <family val="2"/>
          </rPr>
          <t>Ng, Jerry @ Hong Kong:</t>
        </r>
        <r>
          <rPr>
            <sz val="9"/>
            <color indexed="81"/>
            <rFont val="Tahoma"/>
            <family val="2"/>
          </rPr>
          <t xml:space="preserve">
assume site coverage 60%
</t>
        </r>
      </text>
    </comment>
    <comment ref="AM144" authorId="8" shapeId="0" xr:uid="{F2D99314-ED15-42FE-B4D3-155D16CB321D}">
      <text>
        <r>
          <rPr>
            <b/>
            <sz val="9"/>
            <color indexed="81"/>
            <rFont val="Tahoma"/>
            <family val="2"/>
          </rPr>
          <t>Tang, Zac @ Hong Kong:</t>
        </r>
        <r>
          <rPr>
            <sz val="9"/>
            <color indexed="81"/>
            <rFont val="Tahoma"/>
            <family val="2"/>
          </rPr>
          <t xml:space="preserve">
牛仔褲大王劉漢松</t>
        </r>
      </text>
    </comment>
    <comment ref="C145" authorId="8" shapeId="0" xr:uid="{346A81A1-9206-4532-9533-95FCD8E89487}">
      <text>
        <r>
          <rPr>
            <b/>
            <sz val="9"/>
            <color indexed="81"/>
            <rFont val="Tahoma"/>
            <family val="2"/>
          </rPr>
          <t>Tang, Zac @ Hong Kong:</t>
        </r>
        <r>
          <rPr>
            <sz val="9"/>
            <color indexed="81"/>
            <rFont val="Tahoma"/>
            <family val="2"/>
          </rPr>
          <t xml:space="preserve">
Junction of Wing Hong Street, Yu Chau West Street and Wing Ming Street</t>
        </r>
      </text>
    </comment>
    <comment ref="V145" authorId="7" shapeId="0" xr:uid="{71942970-B05C-44BF-8CB2-3EB1DCDE6651}">
      <text>
        <r>
          <rPr>
            <b/>
            <sz val="9"/>
            <color indexed="81"/>
            <rFont val="Tahoma"/>
            <family val="2"/>
          </rPr>
          <t>Leung, Peter @ Hong Kong:</t>
        </r>
        <r>
          <rPr>
            <sz val="9"/>
            <color indexed="81"/>
            <rFont val="Tahoma"/>
            <family val="2"/>
          </rPr>
          <t xml:space="preserve">
7000sf for retail</t>
        </r>
      </text>
    </comment>
    <comment ref="W145" authorId="9" shapeId="0" xr:uid="{63F29C22-5B5C-4C48-8AF9-E9E39776E5D0}">
      <text>
        <r>
          <rPr>
            <b/>
            <sz val="9"/>
            <color indexed="81"/>
            <rFont val="Tahoma"/>
            <family val="2"/>
          </rPr>
          <t>Chen, Andrea @ Hong Kong:</t>
        </r>
        <r>
          <rPr>
            <sz val="9"/>
            <color indexed="81"/>
            <rFont val="Tahoma"/>
            <family val="2"/>
          </rPr>
          <t xml:space="preserve">
latest monthly file: 440,809 sf</t>
        </r>
      </text>
    </comment>
    <comment ref="V147" authorId="5" shapeId="0" xr:uid="{00000000-0006-0000-0800-000095000000}">
      <text>
        <r>
          <rPr>
            <b/>
            <sz val="9"/>
            <color indexed="81"/>
            <rFont val="Tahoma"/>
            <family val="2"/>
          </rPr>
          <t>CBRE:</t>
        </r>
        <r>
          <rPr>
            <sz val="9"/>
            <color indexed="81"/>
            <rFont val="Tahoma"/>
            <family val="2"/>
          </rPr>
          <t xml:space="preserve">
Assume 90% retail, 10% office
2025: Healthcare/medical floors in Tower 2 will be recognised as retail floors, only 5 self-use floors will be counted as office</t>
        </r>
      </text>
    </comment>
    <comment ref="I148" authorId="8" shapeId="0" xr:uid="{CAC980BF-DDB3-44D7-8CE6-9FF6F97881A3}">
      <text>
        <r>
          <rPr>
            <b/>
            <sz val="9"/>
            <color indexed="81"/>
            <rFont val="Tahoma"/>
            <family val="2"/>
          </rPr>
          <t>Tang, Zac @ Hong Kong:</t>
        </r>
        <r>
          <rPr>
            <sz val="9"/>
            <color indexed="81"/>
            <rFont val="Tahoma"/>
            <family val="2"/>
          </rPr>
          <t xml:space="preserve">
was 2022 Q4</t>
        </r>
      </text>
    </comment>
    <comment ref="J148" authorId="7" shapeId="0" xr:uid="{12AB8811-18DA-4829-8EAF-44BAD008E251}">
      <text>
        <r>
          <rPr>
            <b/>
            <sz val="9"/>
            <color indexed="81"/>
            <rFont val="Tahoma"/>
            <family val="2"/>
          </rPr>
          <t>Leung, Peter @ Hong Kong:</t>
        </r>
        <r>
          <rPr>
            <sz val="9"/>
            <color indexed="81"/>
            <rFont val="Tahoma"/>
            <family val="2"/>
          </rPr>
          <t xml:space="preserve">
May</t>
        </r>
      </text>
    </comment>
    <comment ref="U148" authorId="7" shapeId="0" xr:uid="{495B5208-38A4-4642-B9E7-E46C75482F04}">
      <text>
        <r>
          <rPr>
            <b/>
            <sz val="9"/>
            <color indexed="81"/>
            <rFont val="Tahoma"/>
            <family val="2"/>
          </rPr>
          <t>Leung, Peter @ Hong Kong:</t>
        </r>
        <r>
          <rPr>
            <sz val="9"/>
            <color indexed="81"/>
            <rFont val="Tahoma"/>
            <family val="2"/>
          </rPr>
          <t xml:space="preserve">
29478sf retail
15743sf Multipropose Hall</t>
        </r>
      </text>
    </comment>
    <comment ref="W148" authorId="8" shapeId="0" xr:uid="{160803B5-147A-42BD-97DE-E27DEB5BF3C8}">
      <text>
        <r>
          <rPr>
            <b/>
            <sz val="9"/>
            <color indexed="81"/>
            <rFont val="Tahoma"/>
            <family val="2"/>
          </rPr>
          <t>Tang, Zac @ Hong Kong:</t>
        </r>
        <r>
          <rPr>
            <sz val="9"/>
            <color indexed="81"/>
            <rFont val="Tahoma"/>
            <family val="2"/>
          </rPr>
          <t xml:space="preserve">
=729182+393620</t>
        </r>
      </text>
    </comment>
    <comment ref="V149" authorId="7" shapeId="0" xr:uid="{5BBC65DE-CBDC-4FA7-8974-067B3105C40A}">
      <text>
        <r>
          <rPr>
            <b/>
            <sz val="9"/>
            <color indexed="81"/>
            <rFont val="Tahoma"/>
            <family val="2"/>
          </rPr>
          <t>Leung, Peter @ Hong Kong:</t>
        </r>
        <r>
          <rPr>
            <sz val="9"/>
            <color indexed="81"/>
            <rFont val="Tahoma"/>
            <family val="2"/>
          </rPr>
          <t xml:space="preserve">
1550 retail
A/K22/28</t>
        </r>
      </text>
    </comment>
    <comment ref="B151" authorId="8" shapeId="0" xr:uid="{32AF516A-980B-4157-B1AC-BC3F75FD050C}">
      <text>
        <r>
          <rPr>
            <b/>
            <sz val="9"/>
            <color indexed="81"/>
            <rFont val="Tahoma"/>
            <family val="2"/>
          </rPr>
          <t>Tang, Zac @ Hong Kong:</t>
        </r>
        <r>
          <rPr>
            <sz val="9"/>
            <color indexed="81"/>
            <rFont val="Tahoma"/>
            <family val="2"/>
          </rPr>
          <t xml:space="preserve">
Ex-Wing Hing Lee Industrial Building</t>
        </r>
      </text>
    </comment>
    <comment ref="W151" authorId="7" shapeId="0" xr:uid="{ABAAADAE-48F3-4A71-8AF4-450C6FFD0C41}">
      <text>
        <r>
          <rPr>
            <b/>
            <sz val="9"/>
            <color indexed="81"/>
            <rFont val="Tahoma"/>
            <family val="2"/>
          </rPr>
          <t>Leung, Peter @ Hong Kong:</t>
        </r>
        <r>
          <rPr>
            <sz val="9"/>
            <color indexed="81"/>
            <rFont val="Tahoma"/>
            <family val="2"/>
          </rPr>
          <t xml:space="preserve">
A/K14/771</t>
        </r>
      </text>
    </comment>
    <comment ref="AM151" authorId="8" shapeId="0" xr:uid="{E9745F78-C1E9-4D70-9974-9E625633FFF4}">
      <text>
        <r>
          <rPr>
            <b/>
            <sz val="9"/>
            <color indexed="81"/>
            <rFont val="Tahoma"/>
            <family val="2"/>
          </rPr>
          <t>Tang, Zac @ Hong Kong:</t>
        </r>
        <r>
          <rPr>
            <sz val="9"/>
            <color indexed="81"/>
            <rFont val="Tahoma"/>
            <family val="2"/>
          </rPr>
          <t xml:space="preserve">
麒豐資本</t>
        </r>
      </text>
    </comment>
    <comment ref="Q152" authorId="7" shapeId="0" xr:uid="{00000000-0006-0000-0800-0000C0000000}">
      <text>
        <r>
          <rPr>
            <b/>
            <sz val="9"/>
            <color indexed="81"/>
            <rFont val="Tahoma"/>
            <family val="2"/>
          </rPr>
          <t>Leung, Peter @ Hong Kong:</t>
        </r>
        <r>
          <rPr>
            <sz val="9"/>
            <color indexed="81"/>
            <rFont val="Tahoma"/>
            <family val="2"/>
          </rPr>
          <t xml:space="preserve">
Estimated</t>
        </r>
      </text>
    </comment>
    <comment ref="Q153" authorId="7" shapeId="0" xr:uid="{00000000-0006-0000-0800-0000C1000000}">
      <text>
        <r>
          <rPr>
            <b/>
            <sz val="9"/>
            <color indexed="81"/>
            <rFont val="Tahoma"/>
            <family val="2"/>
          </rPr>
          <t>Leung, Peter @ Hong Kong:</t>
        </r>
        <r>
          <rPr>
            <sz val="9"/>
            <color indexed="81"/>
            <rFont val="Tahoma"/>
            <family val="2"/>
          </rPr>
          <t xml:space="preserve">
Site area: 10,000 sq. ft.
Assume 65% site coverage</t>
        </r>
      </text>
    </comment>
    <comment ref="AM153" authorId="8" shapeId="0" xr:uid="{5ECC7F7D-5197-4AF6-9048-41BC8DF8860F}">
      <text>
        <r>
          <rPr>
            <b/>
            <sz val="9"/>
            <color indexed="81"/>
            <rFont val="Tahoma"/>
            <family val="2"/>
          </rPr>
          <t>Tang, Zac @ Hong Kong:</t>
        </r>
        <r>
          <rPr>
            <sz val="9"/>
            <color indexed="81"/>
            <rFont val="Tahoma"/>
            <family val="2"/>
          </rPr>
          <t xml:space="preserve">
Prime 18 Development Ltd</t>
        </r>
      </text>
    </comment>
    <comment ref="K154" authorId="8" shapeId="0" xr:uid="{9A9741D5-A90B-4B98-8F79-CC09593B7E76}">
      <text>
        <r>
          <rPr>
            <b/>
            <sz val="9"/>
            <color indexed="81"/>
            <rFont val="Tahoma"/>
            <family val="2"/>
          </rPr>
          <t>Tang, Zac @ Hong Kong:</t>
        </r>
        <r>
          <rPr>
            <sz val="9"/>
            <color indexed="81"/>
            <rFont val="Tahoma"/>
            <family val="2"/>
          </rPr>
          <t xml:space="preserve">
Apr 2023 according to Marcos</t>
        </r>
      </text>
    </comment>
    <comment ref="O154" authorId="8" shapeId="0" xr:uid="{48CAD696-AF60-4F5A-BEE1-117F7A1433D5}">
      <text>
        <r>
          <rPr>
            <b/>
            <sz val="9"/>
            <color indexed="81"/>
            <rFont val="Tahoma"/>
            <family val="2"/>
          </rPr>
          <t>Tang, Zac @ Hong Kong:</t>
        </r>
        <r>
          <rPr>
            <sz val="9"/>
            <color indexed="81"/>
            <rFont val="Tahoma"/>
            <family val="2"/>
          </rPr>
          <t xml:space="preserve">
was 35 + 5 basement levels (May 2020)</t>
        </r>
      </text>
    </comment>
    <comment ref="P154" authorId="8" shapeId="0" xr:uid="{845CAF23-A5A5-4BCD-AFF9-25C7837B2A57}">
      <text>
        <r>
          <rPr>
            <b/>
            <sz val="9"/>
            <color indexed="81"/>
            <rFont val="Tahoma"/>
            <family val="2"/>
          </rPr>
          <t>Tang, Zac @ Hong Kong:</t>
        </r>
        <r>
          <rPr>
            <sz val="9"/>
            <color indexed="81"/>
            <rFont val="Tahoma"/>
            <family val="2"/>
          </rPr>
          <t xml:space="preserve">
was 34 (May 2020)
36 based on building plan (Jan 2021)</t>
        </r>
      </text>
    </comment>
    <comment ref="Q154" authorId="8" shapeId="0" xr:uid="{03ED4948-FECF-4F00-A954-21323F9B0770}">
      <text>
        <r>
          <rPr>
            <b/>
            <sz val="9"/>
            <color indexed="81"/>
            <rFont val="Tahoma"/>
            <family val="2"/>
          </rPr>
          <t>Tang, Zac @ Hong Kong:</t>
        </r>
        <r>
          <rPr>
            <sz val="9"/>
            <color indexed="81"/>
            <rFont val="Tahoma"/>
            <family val="2"/>
          </rPr>
          <t xml:space="preserve">
from Marcos</t>
        </r>
      </text>
    </comment>
    <comment ref="W154" authorId="8" shapeId="0" xr:uid="{BC3AA279-377E-453B-973E-79C283781A8A}">
      <text>
        <r>
          <rPr>
            <b/>
            <sz val="9"/>
            <color indexed="81"/>
            <rFont val="Tahoma"/>
            <family val="2"/>
          </rPr>
          <t>Tang, Zac @ Hong Kong:</t>
        </r>
        <r>
          <rPr>
            <sz val="9"/>
            <color indexed="81"/>
            <rFont val="Tahoma"/>
            <family val="2"/>
          </rPr>
          <t xml:space="preserve">
26-38/F 12 floors: 15k
6-25/F 11 floors: 14k
12/F: 11642
25/F: 11769</t>
        </r>
      </text>
    </comment>
    <comment ref="Q156" authorId="7" shapeId="0" xr:uid="{00000000-0006-0000-0800-0000B9000000}">
      <text>
        <r>
          <rPr>
            <b/>
            <sz val="9"/>
            <color indexed="81"/>
            <rFont val="Tahoma"/>
            <family val="2"/>
          </rPr>
          <t>Leung, Peter @ Hong Kong:</t>
        </r>
        <r>
          <rPr>
            <sz val="9"/>
            <color indexed="81"/>
            <rFont val="Tahoma"/>
            <family val="2"/>
          </rPr>
          <t xml:space="preserve">
65% site coverage,
1341sqm site area
7200-7700 by Judy</t>
        </r>
      </text>
    </comment>
    <comment ref="W157" authorId="7" shapeId="0" xr:uid="{B14BEFB6-4BC5-4A33-8811-F8B35B3DC381}">
      <text>
        <r>
          <rPr>
            <b/>
            <sz val="9"/>
            <color indexed="81"/>
            <rFont val="Tahoma"/>
            <family val="2"/>
          </rPr>
          <t>Leung, Peter @ Hong Kong:</t>
        </r>
        <r>
          <rPr>
            <sz val="9"/>
            <color indexed="81"/>
            <rFont val="Tahoma"/>
            <family val="2"/>
          </rPr>
          <t xml:space="preserve">
dec 23: quoted by landlord
updated according to Unicorn</t>
        </r>
      </text>
    </comment>
    <comment ref="J164" authorId="9" shapeId="0" xr:uid="{CBBA03A4-12B3-45EC-BBA7-1E34703331CA}">
      <text>
        <r>
          <rPr>
            <b/>
            <sz val="9"/>
            <color indexed="81"/>
            <rFont val="Tahoma"/>
            <family val="2"/>
          </rPr>
          <t>Chen, Andrea @ Hong Kong:</t>
        </r>
        <r>
          <rPr>
            <sz val="9"/>
            <color indexed="81"/>
            <rFont val="Tahoma"/>
            <family val="2"/>
          </rPr>
          <t xml:space="preserve">
From: Ken Lau on OS meeting (5th Feb 2025)</t>
        </r>
      </text>
    </comment>
    <comment ref="AB164" authorId="8" shapeId="0" xr:uid="{8331733F-33C3-4ECC-A372-4217DD905D04}">
      <text>
        <r>
          <rPr>
            <b/>
            <sz val="9"/>
            <color indexed="81"/>
            <rFont val="Tahoma"/>
            <family val="2"/>
          </rPr>
          <t>Tang, Zac @ Hong Kong:</t>
        </r>
        <r>
          <rPr>
            <sz val="9"/>
            <color indexed="81"/>
            <rFont val="Tahoma"/>
            <family val="2"/>
          </rPr>
          <t xml:space="preserve">
15/F-20/F</t>
        </r>
      </text>
    </comment>
    <comment ref="Q165" authorId="7" shapeId="0" xr:uid="{75768074-3A1E-45D3-8FBB-A8D57EC7468C}">
      <text>
        <r>
          <rPr>
            <b/>
            <sz val="9"/>
            <color indexed="81"/>
            <rFont val="Tahoma"/>
            <family val="2"/>
          </rPr>
          <t>Leung, Peter @ Hong Kong:</t>
        </r>
        <r>
          <rPr>
            <sz val="9"/>
            <color indexed="81"/>
            <rFont val="Tahoma"/>
            <family val="2"/>
          </rPr>
          <t xml:space="preserve">
Can connected to 62000sf</t>
        </r>
      </text>
    </comment>
    <comment ref="AB165" authorId="7" shapeId="0" xr:uid="{6001D008-8FC0-474E-8C2D-192960FD3A4F}">
      <text>
        <r>
          <rPr>
            <b/>
            <sz val="9"/>
            <color indexed="81"/>
            <rFont val="Tahoma"/>
            <family val="2"/>
          </rPr>
          <t>Leung, Peter @ Hong Kong:</t>
        </r>
        <r>
          <rPr>
            <sz val="9"/>
            <color indexed="81"/>
            <rFont val="Tahoma"/>
            <family val="2"/>
          </rPr>
          <t xml:space="preserve">
Mar-23: assume 100k sf first. No information yet</t>
        </r>
      </text>
    </comment>
    <comment ref="C166" authorId="8" shapeId="0" xr:uid="{645C333C-FA2D-443F-BAFE-84F141B07FE6}">
      <text>
        <r>
          <rPr>
            <b/>
            <sz val="9"/>
            <color indexed="81"/>
            <rFont val="Tahoma"/>
            <family val="2"/>
          </rPr>
          <t>Tang, Zac @ Hong Kong:</t>
        </r>
        <r>
          <rPr>
            <sz val="9"/>
            <color indexed="81"/>
            <rFont val="Tahoma"/>
            <family val="2"/>
          </rPr>
          <t xml:space="preserve">
7 Wang Tai Road</t>
        </r>
      </text>
    </comment>
    <comment ref="Q166" authorId="9" shapeId="0" xr:uid="{E65B74F8-E0E6-4960-A37D-0F920BDE0FF1}">
      <text>
        <r>
          <rPr>
            <b/>
            <sz val="9"/>
            <color indexed="81"/>
            <rFont val="Tahoma"/>
            <family val="2"/>
          </rPr>
          <t>Chen, Andrea @ Hong Kong:</t>
        </r>
        <r>
          <rPr>
            <sz val="9"/>
            <color indexed="81"/>
            <rFont val="Tahoma"/>
            <family val="2"/>
          </rPr>
          <t xml:space="preserve">
27,520-27,940 sf from their website</t>
        </r>
      </text>
    </comment>
    <comment ref="R166" authorId="9" shapeId="0" xr:uid="{10DA5177-8318-4A2B-B4DD-DFE0258F8B79}">
      <text>
        <r>
          <rPr>
            <b/>
            <sz val="9"/>
            <color indexed="81"/>
            <rFont val="Tahoma"/>
            <family val="2"/>
          </rPr>
          <t>Chen, Andrea @ Hong Kong:</t>
        </r>
        <r>
          <rPr>
            <sz val="9"/>
            <color indexed="81"/>
            <rFont val="Tahoma"/>
            <family val="2"/>
          </rPr>
          <t xml:space="preserve">
27,520-27,940 sf from their website</t>
        </r>
      </text>
    </comment>
    <comment ref="I167" authorId="7" shapeId="0" xr:uid="{CD538B24-5DC9-4914-875B-041D8A672592}">
      <text>
        <r>
          <rPr>
            <b/>
            <sz val="9"/>
            <color indexed="81"/>
            <rFont val="Tahoma"/>
            <family val="2"/>
          </rPr>
          <t>Leung, Peter @ Hong Kong:</t>
        </r>
        <r>
          <rPr>
            <sz val="9"/>
            <color indexed="81"/>
            <rFont val="Tahoma"/>
            <family val="2"/>
          </rPr>
          <t xml:space="preserve">
Q4 2024/ Q1 2025</t>
        </r>
      </text>
    </comment>
    <comment ref="Q167" authorId="7" shapeId="0" xr:uid="{A6C5934A-4673-4026-873B-EDDECD33C6CD}">
      <text>
        <r>
          <rPr>
            <b/>
            <sz val="9"/>
            <color indexed="81"/>
            <rFont val="Tahoma"/>
            <family val="2"/>
          </rPr>
          <t>Leung, Peter @ Hong Kong:</t>
        </r>
        <r>
          <rPr>
            <sz val="9"/>
            <color indexed="81"/>
            <rFont val="Tahoma"/>
            <family val="2"/>
          </rPr>
          <t xml:space="preserve">
Judy</t>
        </r>
      </text>
    </comment>
    <comment ref="T167" authorId="7" shapeId="0" xr:uid="{1FFF62C8-CD60-45B9-9356-B765561C367A}">
      <text>
        <r>
          <rPr>
            <b/>
            <sz val="9"/>
            <color indexed="81"/>
            <rFont val="Tahoma"/>
            <family val="2"/>
          </rPr>
          <t>Leung, Peter @ Hong Kong:</t>
        </r>
        <r>
          <rPr>
            <sz val="9"/>
            <color indexed="81"/>
            <rFont val="Tahoma"/>
            <family val="2"/>
          </rPr>
          <t xml:space="preserve">
From planning application</t>
        </r>
      </text>
    </comment>
    <comment ref="U167" authorId="7" shapeId="0" xr:uid="{09F385EC-23B2-4210-874C-DE3A2FEA40B1}">
      <text>
        <r>
          <rPr>
            <b/>
            <sz val="9"/>
            <color indexed="81"/>
            <rFont val="Tahoma"/>
            <family val="2"/>
          </rPr>
          <t>Leung, Peter @ Hong Kong:</t>
        </r>
        <r>
          <rPr>
            <sz val="9"/>
            <color indexed="81"/>
            <rFont val="Tahoma"/>
            <family val="2"/>
          </rPr>
          <t xml:space="preserve">
Quoted in TPB</t>
        </r>
      </text>
    </comment>
    <comment ref="V167" authorId="7" shapeId="0" xr:uid="{CE0AF60A-3476-4333-A0D6-C8438C35158E}">
      <text>
        <r>
          <rPr>
            <b/>
            <sz val="9"/>
            <color indexed="81"/>
            <rFont val="Tahoma"/>
            <family val="2"/>
          </rPr>
          <t>Leung, Peter @ Hong Kong:</t>
        </r>
        <r>
          <rPr>
            <sz val="9"/>
            <color indexed="81"/>
            <rFont val="Tahoma"/>
            <family val="2"/>
          </rPr>
          <t xml:space="preserve">
10727sqm for retail GFA
</t>
        </r>
      </text>
    </comment>
    <comment ref="AM167" authorId="8" shapeId="0" xr:uid="{2109942F-F8E7-4918-9DC0-1F92D0FB5E6E}">
      <text>
        <r>
          <rPr>
            <b/>
            <sz val="9"/>
            <color indexed="81"/>
            <rFont val="Tahoma"/>
            <family val="2"/>
          </rPr>
          <t>Tang, Zac @ Hong Kong:</t>
        </r>
        <r>
          <rPr>
            <sz val="9"/>
            <color indexed="81"/>
            <rFont val="Tahoma"/>
            <family val="2"/>
          </rPr>
          <t xml:space="preserve">
Excelsior Hotel (BVI) Ltd</t>
        </r>
      </text>
    </comment>
    <comment ref="B168" authorId="9" shapeId="0" xr:uid="{FB0B6BEB-EDDA-4C15-8D5A-F3DC57A1AD9C}">
      <text>
        <r>
          <rPr>
            <b/>
            <sz val="9"/>
            <color indexed="81"/>
            <rFont val="Tahoma"/>
            <family val="2"/>
          </rPr>
          <t>Chen, Andrea @ Hong Kong:</t>
        </r>
        <r>
          <rPr>
            <sz val="9"/>
            <color indexed="81"/>
            <rFont val="Tahoma"/>
            <family val="2"/>
          </rPr>
          <t xml:space="preserve">
Named Central Crossing, from MC (25 Feb 2025)</t>
        </r>
      </text>
    </comment>
    <comment ref="I168" authorId="0" shapeId="0" xr:uid="{00000000-0006-0000-0800-000096000000}">
      <text>
        <r>
          <rPr>
            <sz val="8"/>
            <color indexed="81"/>
            <rFont val="Tahoma"/>
            <family val="2"/>
          </rPr>
          <t>From Wing Tai</t>
        </r>
      </text>
    </comment>
    <comment ref="O168" authorId="8" shapeId="0" xr:uid="{8CC02471-FD3C-4BDD-9BEF-1661CC93753F}">
      <text>
        <r>
          <rPr>
            <b/>
            <sz val="9"/>
            <color indexed="81"/>
            <rFont val="Tahoma"/>
            <family val="2"/>
          </rPr>
          <t>Tang, Zac @ Hong Kong:</t>
        </r>
        <r>
          <rPr>
            <sz val="9"/>
            <color indexed="81"/>
            <rFont val="Tahoma"/>
            <family val="2"/>
          </rPr>
          <t xml:space="preserve">
32/27+4 podium levels/2 basement according to BD</t>
        </r>
      </text>
    </comment>
    <comment ref="V168" authorId="5" shapeId="0" xr:uid="{00000000-0006-0000-0800-000097000000}">
      <text>
        <r>
          <rPr>
            <b/>
            <sz val="9"/>
            <color indexed="81"/>
            <rFont val="Tahoma"/>
            <family val="2"/>
          </rPr>
          <t>CBRE:</t>
        </r>
        <r>
          <rPr>
            <sz val="9"/>
            <color indexed="81"/>
            <rFont val="Tahoma"/>
            <family val="2"/>
          </rPr>
          <t xml:space="preserve">
Town Planning Board</t>
        </r>
      </text>
    </comment>
    <comment ref="M169" authorId="7" shapeId="0" xr:uid="{5784DCAB-3D55-4C0A-8733-A4D4747FCCBE}">
      <text>
        <r>
          <rPr>
            <b/>
            <sz val="9"/>
            <color indexed="81"/>
            <rFont val="Tahoma"/>
            <family val="2"/>
          </rPr>
          <t>Leung, Peter @ Hong Kong:</t>
        </r>
        <r>
          <rPr>
            <sz val="9"/>
            <color indexed="81"/>
            <rFont val="Tahoma"/>
            <family val="2"/>
          </rPr>
          <t xml:space="preserve">
Change to Resi</t>
        </r>
      </text>
    </comment>
    <comment ref="V169" authorId="4" shapeId="0" xr:uid="{00000000-0006-0000-0800-0000B6000000}">
      <text>
        <r>
          <rPr>
            <b/>
            <sz val="9"/>
            <color indexed="81"/>
            <rFont val="Tahoma"/>
            <family val="2"/>
          </rPr>
          <t>Ng, Jerry @ Hong Kong:</t>
        </r>
        <r>
          <rPr>
            <sz val="9"/>
            <color indexed="81"/>
            <rFont val="Tahoma"/>
            <family val="2"/>
          </rPr>
          <t xml:space="preserve">
assume office plot ratio 6.1</t>
        </r>
      </text>
    </comment>
    <comment ref="O172" authorId="7" shapeId="0" xr:uid="{F3A39C5B-A902-4744-A074-33DF99F53BFE}">
      <text>
        <r>
          <rPr>
            <b/>
            <sz val="9"/>
            <color indexed="81"/>
            <rFont val="Tahoma"/>
            <family val="2"/>
          </rPr>
          <t>Leung, Peter @ Hong Kong:</t>
        </r>
        <r>
          <rPr>
            <sz val="9"/>
            <color indexed="81"/>
            <rFont val="Tahoma"/>
            <family val="2"/>
          </rPr>
          <t xml:space="preserve">
135mPD</t>
        </r>
      </text>
    </comment>
    <comment ref="V172" authorId="7" shapeId="0" xr:uid="{933C75B3-59D7-4899-97AF-00FBF163D32F}">
      <text>
        <r>
          <rPr>
            <b/>
            <sz val="9"/>
            <color indexed="81"/>
            <rFont val="Tahoma"/>
            <family val="2"/>
          </rPr>
          <t>Leung, Peter @ Hong Kong:</t>
        </r>
        <r>
          <rPr>
            <sz val="9"/>
            <color indexed="81"/>
            <rFont val="Tahoma"/>
            <family val="2"/>
          </rPr>
          <t xml:space="preserve">
Take our 10,000sqm for retail</t>
        </r>
      </text>
    </comment>
    <comment ref="Q173" authorId="7" shapeId="0" xr:uid="{49EE9D89-C2DB-433C-94D5-613D3865653C}">
      <text>
        <r>
          <rPr>
            <b/>
            <sz val="9"/>
            <color indexed="81"/>
            <rFont val="Tahoma"/>
            <family val="2"/>
          </rPr>
          <t>Leung, Peter @ Hong Kong:</t>
        </r>
        <r>
          <rPr>
            <sz val="9"/>
            <color indexed="81"/>
            <rFont val="Tahoma"/>
            <family val="2"/>
          </rPr>
          <t xml:space="preserve">
Above 61m: 65% site coverage
33m to 61m: 88% site coverage</t>
        </r>
      </text>
    </comment>
    <comment ref="C174" authorId="8" shapeId="0" xr:uid="{AE30A1D1-AD68-491A-9631-144FF5B15EE6}">
      <text>
        <r>
          <rPr>
            <b/>
            <sz val="9"/>
            <color indexed="81"/>
            <rFont val="Tahoma"/>
            <family val="2"/>
          </rPr>
          <t>Tang, Zac @ Hong Kong:</t>
        </r>
        <r>
          <rPr>
            <sz val="9"/>
            <color indexed="81"/>
            <rFont val="Tahoma"/>
            <family val="2"/>
          </rPr>
          <t xml:space="preserve">
was 71 How Ming Street</t>
        </r>
      </text>
    </comment>
    <comment ref="Q176" authorId="7" shapeId="0" xr:uid="{32647756-3086-4CA6-8A0E-25FC2F130AEA}">
      <text>
        <r>
          <rPr>
            <b/>
            <sz val="9"/>
            <color indexed="81"/>
            <rFont val="Tahoma"/>
            <family val="2"/>
          </rPr>
          <t>Leung, Peter @ Hong Kong:</t>
        </r>
        <r>
          <rPr>
            <sz val="9"/>
            <color indexed="81"/>
            <rFont val="Tahoma"/>
            <family val="2"/>
          </rPr>
          <t xml:space="preserve">
May combine to provide 12000 S.A.</t>
        </r>
      </text>
    </comment>
    <comment ref="Y176" authorId="7" shapeId="0" xr:uid="{92603416-2AAC-469E-B915-3F0AE0FD72C2}">
      <text>
        <r>
          <rPr>
            <b/>
            <sz val="9"/>
            <color indexed="81"/>
            <rFont val="Tahoma"/>
            <family val="2"/>
          </rPr>
          <t>Leung, Peter @ Hong Kong:</t>
        </r>
        <r>
          <rPr>
            <sz val="9"/>
            <color indexed="81"/>
            <rFont val="Tahoma"/>
            <family val="2"/>
          </rPr>
          <t xml:space="preserve">
May combine to provide 12000 S.A.</t>
        </r>
      </text>
    </comment>
    <comment ref="Q179" authorId="8" shapeId="0" xr:uid="{A8FA46AB-C3A5-4280-874D-59A8610D5189}">
      <text>
        <r>
          <rPr>
            <b/>
            <sz val="9"/>
            <color indexed="81"/>
            <rFont val="Tahoma"/>
            <family val="2"/>
          </rPr>
          <t>Tang, Zac @ Hong Kong:</t>
        </r>
        <r>
          <rPr>
            <sz val="9"/>
            <color indexed="81"/>
            <rFont val="Tahoma"/>
            <family val="2"/>
          </rPr>
          <t xml:space="preserve">
14,600 sqm GFA annual report</t>
        </r>
      </text>
    </comment>
    <comment ref="M180" authorId="7" shapeId="0" xr:uid="{B5A5E89B-AE43-4BBD-88B5-803E9CD5B674}">
      <text>
        <r>
          <rPr>
            <b/>
            <sz val="9"/>
            <color indexed="81"/>
            <rFont val="Tahoma"/>
            <family val="2"/>
          </rPr>
          <t>Leung, Peter @ Hong Kong:</t>
        </r>
      </text>
    </comment>
    <comment ref="W181" authorId="7" shapeId="0" xr:uid="{C2BA6CEE-D7F7-4C5E-B7DA-B93899789C1C}">
      <text>
        <r>
          <rPr>
            <b/>
            <sz val="9"/>
            <color indexed="81"/>
            <rFont val="Tahoma"/>
            <family val="2"/>
          </rPr>
          <t>Leung, Peter @ Hong Kong:</t>
        </r>
        <r>
          <rPr>
            <sz val="9"/>
            <color indexed="81"/>
            <rFont val="Tahoma"/>
            <family val="2"/>
          </rPr>
          <t xml:space="preserve">
Estimate 80% site coverage for the podium</t>
        </r>
      </text>
    </comment>
    <comment ref="B183" authorId="9" shapeId="0" xr:uid="{42626131-B846-46DB-8F4A-E86EAE0343AD}">
      <text>
        <r>
          <rPr>
            <b/>
            <sz val="9"/>
            <color indexed="81"/>
            <rFont val="Tahoma"/>
            <family val="2"/>
          </rPr>
          <t>Chen, Andrea @ Hong Kong:</t>
        </r>
        <r>
          <rPr>
            <sz val="9"/>
            <color indexed="81"/>
            <rFont val="Tahoma"/>
            <family val="2"/>
          </rPr>
          <t xml:space="preserve">
2025 complete
https://ps.hket.com/article/3647986/%E9%95%B7%E5%AF%A6%E6%93%B4%E5%BC%B5%E7%B4%85%E7%A3%A1%E5%8B%A2%E5%8A%9B%203%E9%87%8D%E5%BB%BA%E9%A0%85%E7%9B%AE%20%E6%8F%90%E4%BE%9B%E9%80%BE280%E8%90%AC%E5%B9%B3%E6%96%B9%E5%91%8E%E5%95%86%E4%BD%8F%E6%A8%93%E9%9D%A2</t>
        </r>
      </text>
    </comment>
    <comment ref="T184" authorId="7" shapeId="0" xr:uid="{F59A8B57-29BF-446B-A8CF-7C42F77CD9D1}">
      <text>
        <r>
          <rPr>
            <b/>
            <sz val="9"/>
            <color indexed="81"/>
            <rFont val="Tahoma"/>
            <family val="2"/>
          </rPr>
          <t>Leung, Peter @ Hong Kong:</t>
        </r>
        <r>
          <rPr>
            <sz val="9"/>
            <color indexed="81"/>
            <rFont val="Tahoma"/>
            <family val="2"/>
          </rPr>
          <t xml:space="preserve">
2500 sqm -  Retail / Dining / Entertainment (RDE) uses.</t>
        </r>
      </text>
    </comment>
    <comment ref="Q185" authorId="4" shapeId="0" xr:uid="{00000000-0006-0000-0800-000098000000}">
      <text>
        <r>
          <rPr>
            <b/>
            <sz val="9"/>
            <color indexed="81"/>
            <rFont val="Tahoma"/>
            <family val="2"/>
          </rPr>
          <t>Ng, Jerry @ Hong Kong:</t>
        </r>
        <r>
          <rPr>
            <sz val="9"/>
            <color indexed="81"/>
            <rFont val="Tahoma"/>
            <family val="2"/>
          </rPr>
          <t xml:space="preserve">
existing floorplate size beore redevelopment</t>
        </r>
      </text>
    </comment>
    <comment ref="C189" authorId="8" shapeId="0" xr:uid="{0D5AF794-C46F-429D-A94A-91B06512BA9A}">
      <text>
        <r>
          <rPr>
            <b/>
            <sz val="9"/>
            <color indexed="81"/>
            <rFont val="Tahoma"/>
            <family val="2"/>
          </rPr>
          <t>Tang, Zac @ Hong Kong:</t>
        </r>
        <r>
          <rPr>
            <sz val="9"/>
            <color indexed="81"/>
            <rFont val="Tahoma"/>
            <family val="2"/>
          </rPr>
          <t xml:space="preserve">
279-291 King's Road</t>
        </r>
      </text>
    </comment>
    <comment ref="V198" authorId="5" shapeId="0" xr:uid="{00000000-0006-0000-0800-0000B8000000}">
      <text>
        <r>
          <rPr>
            <b/>
            <sz val="9"/>
            <color indexed="81"/>
            <rFont val="Tahoma"/>
            <family val="2"/>
          </rPr>
          <t>CBRE:</t>
        </r>
        <r>
          <rPr>
            <sz val="9"/>
            <color indexed="81"/>
            <rFont val="Tahoma"/>
            <family val="2"/>
          </rPr>
          <t xml:space="preserve">
Mongkok District Council 150/2017 plan: 47 office flrs, 13 flrs retail</t>
        </r>
      </text>
    </comment>
    <comment ref="W198" authorId="8" shapeId="0" xr:uid="{3DA51BAE-51A4-44E8-AEDE-6A4B585E7EEE}">
      <text>
        <r>
          <rPr>
            <b/>
            <sz val="9"/>
            <color indexed="81"/>
            <rFont val="Tahoma"/>
            <family val="2"/>
          </rPr>
          <t>Tang, Zac @ Hong Kong:</t>
        </r>
        <r>
          <rPr>
            <sz val="9"/>
            <color indexed="81"/>
            <rFont val="Tahoma"/>
            <family val="2"/>
          </rPr>
          <t xml:space="preserve">
Feb 24: 200,000 retail</t>
        </r>
      </text>
    </comment>
    <comment ref="I200" authorId="7" shapeId="0" xr:uid="{391D9B24-D240-441C-B071-689A2D6A7BEF}">
      <text>
        <r>
          <rPr>
            <b/>
            <sz val="9"/>
            <color indexed="81"/>
            <rFont val="Tahoma"/>
            <family val="2"/>
          </rPr>
          <t>Leung, Peter @ Hong Kong:</t>
        </r>
        <r>
          <rPr>
            <sz val="9"/>
            <color indexed="81"/>
            <rFont val="Tahoma"/>
            <family val="2"/>
          </rPr>
          <t xml:space="preserve">
Judy</t>
        </r>
      </text>
    </comment>
    <comment ref="W202" authorId="0" shapeId="0" xr:uid="{00000000-0006-0000-0800-0000A1000000}">
      <text>
        <r>
          <rPr>
            <b/>
            <sz val="8"/>
            <color indexed="81"/>
            <rFont val="Tahoma"/>
            <family val="2"/>
          </rPr>
          <t>Ng, Roy @ Hong Kong:</t>
        </r>
        <r>
          <rPr>
            <sz val="8"/>
            <color indexed="81"/>
            <rFont val="Tahoma"/>
            <family val="2"/>
          </rPr>
          <t xml:space="preserve">
Office: 247,680
Retail: 18,120</t>
        </r>
      </text>
    </comment>
    <comment ref="N203" authorId="4" shapeId="0" xr:uid="{00000000-0006-0000-0800-00009E000000}">
      <text>
        <r>
          <rPr>
            <b/>
            <sz val="9"/>
            <color indexed="81"/>
            <rFont val="Tahoma"/>
            <family val="2"/>
          </rPr>
          <t>Ng, Jerry @ Hong Kong:</t>
        </r>
        <r>
          <rPr>
            <sz val="9"/>
            <color indexed="81"/>
            <rFont val="Tahoma"/>
            <family val="2"/>
          </rPr>
          <t xml:space="preserve">
no. of sites
sit 1, 2, 3, 4a, 4b, 5 &amp; 6
3 is not really a building</t>
        </r>
      </text>
    </comment>
    <comment ref="V203" authorId="4" shapeId="0" xr:uid="{00000000-0006-0000-0800-00009F000000}">
      <text>
        <r>
          <rPr>
            <b/>
            <sz val="9"/>
            <color indexed="81"/>
            <rFont val="Tahoma"/>
            <family val="2"/>
          </rPr>
          <t>Ng, Jerry @ Hong Kong:</t>
        </r>
        <r>
          <rPr>
            <sz val="9"/>
            <color indexed="81"/>
            <rFont val="Tahoma"/>
            <family val="2"/>
          </rPr>
          <t xml:space="preserve">
57.6% of the total GFA is designed for office</t>
        </r>
      </text>
    </comment>
    <comment ref="W203" authorId="4" shapeId="0" xr:uid="{00000000-0006-0000-0800-0000A0000000}">
      <text>
        <r>
          <rPr>
            <b/>
            <sz val="9"/>
            <color indexed="81"/>
            <rFont val="Tahoma"/>
            <family val="2"/>
          </rPr>
          <t>Ng, Jerry @ Hong Kong:</t>
        </r>
        <r>
          <rPr>
            <sz val="9"/>
            <color indexed="81"/>
            <rFont val="Tahoma"/>
            <family val="2"/>
          </rPr>
          <t xml:space="preserve">
2016 policy address, CY Leung: The commercial floor area that can be provided by the two action areas in Kwun Tong and Kowloon Bay will increase from 500 000 or so square metres to about 560 000 square metres. Assume half in Action Area 1 half in Action Area 2</t>
        </r>
      </text>
    </comment>
    <comment ref="N206" authorId="0" shapeId="0" xr:uid="{00000000-0006-0000-0800-0000A3000000}">
      <text>
        <r>
          <rPr>
            <b/>
            <sz val="8"/>
            <color indexed="81"/>
            <rFont val="Tahoma"/>
            <family val="2"/>
          </rPr>
          <t>Ng, Roy @ Hong Kong:</t>
        </r>
        <r>
          <rPr>
            <sz val="8"/>
            <color indexed="81"/>
            <rFont val="Tahoma"/>
            <family val="2"/>
          </rPr>
          <t xml:space="preserve">
1 Office tower + 1 Hotel tower</t>
        </r>
      </text>
    </comment>
    <comment ref="W207" authorId="0" shapeId="0" xr:uid="{00000000-0006-0000-0800-0000B1000000}">
      <text>
        <r>
          <rPr>
            <b/>
            <sz val="8"/>
            <color indexed="81"/>
            <rFont val="Tahoma"/>
            <family val="2"/>
          </rPr>
          <t>Ng, Roy @ Hong Kong:</t>
        </r>
        <r>
          <rPr>
            <sz val="8"/>
            <color indexed="81"/>
            <rFont val="Tahoma"/>
            <family val="2"/>
          </rPr>
          <t xml:space="preserve">
Office: 18,423
Car Park: 4,564.81</t>
        </r>
      </text>
    </comment>
    <comment ref="K208" authorId="4" shapeId="0" xr:uid="{00000000-0006-0000-0800-00009A000000}">
      <text>
        <r>
          <rPr>
            <b/>
            <sz val="9"/>
            <color indexed="81"/>
            <rFont val="Tahoma"/>
            <family val="2"/>
          </rPr>
          <t>Ng, Jerry @ Hong Kong:</t>
        </r>
        <r>
          <rPr>
            <sz val="9"/>
            <color indexed="81"/>
            <rFont val="Tahoma"/>
            <family val="2"/>
          </rPr>
          <t xml:space="preserve">
Changed from May to Aug according to Rocky</t>
        </r>
      </text>
    </comment>
    <comment ref="Q208" authorId="4" shapeId="0" xr:uid="{00000000-0006-0000-0800-00009B000000}">
      <text>
        <r>
          <rPr>
            <b/>
            <sz val="9"/>
            <color indexed="81"/>
            <rFont val="Tahoma"/>
            <family val="2"/>
          </rPr>
          <t>Ng, Jerry @ Hong Kong:</t>
        </r>
        <r>
          <rPr>
            <sz val="9"/>
            <color indexed="81"/>
            <rFont val="Tahoma"/>
            <family val="2"/>
          </rPr>
          <t xml:space="preserve">
Class A 120mPD site coverage = 33.3%</t>
        </r>
      </text>
    </comment>
    <comment ref="W208" authorId="4" shapeId="0" xr:uid="{00000000-0006-0000-0800-00009C000000}">
      <text>
        <r>
          <rPr>
            <b/>
            <sz val="9"/>
            <color indexed="81"/>
            <rFont val="Tahoma"/>
            <family val="2"/>
          </rPr>
          <t>Ng, Jerry @ Hong Kong:</t>
        </r>
        <r>
          <rPr>
            <sz val="9"/>
            <color indexed="81"/>
            <rFont val="Tahoma"/>
            <family val="2"/>
          </rPr>
          <t xml:space="preserve">
Class A site 120mPD plot ratio=15</t>
        </r>
      </text>
    </comment>
    <comment ref="M211" authorId="7" shapeId="0" xr:uid="{1BFD74F4-4058-4A87-9B7E-3AA8CDB8DD38}">
      <text>
        <r>
          <rPr>
            <b/>
            <sz val="9"/>
            <color indexed="81"/>
            <rFont val="Tahoma"/>
            <family val="2"/>
          </rPr>
          <t>Leung, Peter @ Hong Kong:</t>
        </r>
        <r>
          <rPr>
            <sz val="9"/>
            <color indexed="81"/>
            <rFont val="Tahoma"/>
            <family val="2"/>
          </rPr>
          <t xml:space="preserve">
Change to Resi</t>
        </r>
      </text>
    </comment>
    <comment ref="M212" authorId="7" shapeId="0" xr:uid="{4D67D2B4-D217-4FAC-B540-E5D7D7CCDE6E}">
      <text>
        <r>
          <rPr>
            <b/>
            <sz val="9"/>
            <color indexed="81"/>
            <rFont val="Tahoma"/>
            <family val="2"/>
          </rPr>
          <t>Leung, Peter @ Hong Kong:</t>
        </r>
        <r>
          <rPr>
            <sz val="9"/>
            <color indexed="81"/>
            <rFont val="Tahoma"/>
            <family val="2"/>
          </rPr>
          <t xml:space="preserve">
Change to Resi</t>
        </r>
      </text>
    </comment>
    <comment ref="M213" authorId="7" shapeId="0" xr:uid="{3031A570-EA35-4C83-8174-8F1A4409FDBB}">
      <text>
        <r>
          <rPr>
            <b/>
            <sz val="9"/>
            <color indexed="81"/>
            <rFont val="Tahoma"/>
            <family val="2"/>
          </rPr>
          <t>Leung, Peter @ Hong Kong:</t>
        </r>
        <r>
          <rPr>
            <sz val="9"/>
            <color indexed="81"/>
            <rFont val="Tahoma"/>
            <family val="2"/>
          </rPr>
          <t xml:space="preserve">
Combined with SA site 2</t>
        </r>
      </text>
    </comment>
    <comment ref="W214" authorId="4" shapeId="0" xr:uid="{00000000-0006-0000-0800-00009D000000}">
      <text>
        <r>
          <rPr>
            <b/>
            <sz val="9"/>
            <color indexed="81"/>
            <rFont val="Tahoma"/>
            <family val="2"/>
          </rPr>
          <t>Ng, Jerry @ Hong Kong:</t>
        </r>
        <r>
          <rPr>
            <sz val="9"/>
            <color indexed="81"/>
            <rFont val="Tahoma"/>
            <family val="2"/>
          </rPr>
          <t xml:space="preserve">
assume 16% as  retail (proxy by Action Area site 2)
Peter: Assume 85% for office </t>
        </r>
      </text>
    </comment>
    <comment ref="W215" authorId="4" shapeId="0" xr:uid="{162F12F9-0EC7-46D6-B12B-CA74875F5395}">
      <text>
        <r>
          <rPr>
            <b/>
            <sz val="9"/>
            <color indexed="81"/>
            <rFont val="Tahoma"/>
            <family val="2"/>
          </rPr>
          <t>Ng, Jerry @ Hong Kong:</t>
        </r>
        <r>
          <rPr>
            <sz val="9"/>
            <color indexed="81"/>
            <rFont val="Tahoma"/>
            <family val="2"/>
          </rPr>
          <t xml:space="preserve">
assume 16% as  retail (proxy by Action Area site 2)
Peter: Assume 85% for office </t>
        </r>
      </text>
    </comment>
    <comment ref="W216" authorId="4" shapeId="0" xr:uid="{308438F3-C169-4392-90D1-6FCA21287278}">
      <text>
        <r>
          <rPr>
            <b/>
            <sz val="9"/>
            <color indexed="81"/>
            <rFont val="Tahoma"/>
            <family val="2"/>
          </rPr>
          <t>Ng, Jerry @ Hong Kong:</t>
        </r>
        <r>
          <rPr>
            <sz val="9"/>
            <color indexed="81"/>
            <rFont val="Tahoma"/>
            <family val="2"/>
          </rPr>
          <t xml:space="preserve">
assume 16% as  retail (proxy by Action Area site 2)
Peter: Assume 85% for office </t>
        </r>
      </text>
    </comment>
    <comment ref="M218" authorId="7" shapeId="0" xr:uid="{03F0FCC1-D44C-4021-9D9D-F43BB461F8AD}">
      <text>
        <r>
          <rPr>
            <b/>
            <sz val="9"/>
            <color indexed="81"/>
            <rFont val="Tahoma"/>
            <family val="2"/>
          </rPr>
          <t>Leung, Peter @ Hong Kong:</t>
        </r>
        <r>
          <rPr>
            <sz val="9"/>
            <color indexed="81"/>
            <rFont val="Tahoma"/>
            <family val="2"/>
          </rPr>
          <t xml:space="preserve">
Combined with SA site 2</t>
        </r>
      </text>
    </comment>
    <comment ref="Q221" authorId="4" shapeId="0" xr:uid="{00000000-0006-0000-0800-0000AD000000}">
      <text>
        <r>
          <rPr>
            <b/>
            <sz val="9"/>
            <color indexed="81"/>
            <rFont val="Tahoma"/>
            <family val="2"/>
          </rPr>
          <t>Ng, Jerry @ Hong Kong:</t>
        </r>
        <r>
          <rPr>
            <sz val="9"/>
            <color indexed="81"/>
            <rFont val="Tahoma"/>
            <family val="2"/>
          </rPr>
          <t xml:space="preserve">
source: TPB S16; see server supply info</t>
        </r>
      </text>
    </comment>
    <comment ref="W221" authorId="4" shapeId="0" xr:uid="{00000000-0006-0000-0800-0000AE000000}">
      <text>
        <r>
          <rPr>
            <b/>
            <sz val="9"/>
            <color indexed="81"/>
            <rFont val="Tahoma"/>
            <family val="2"/>
          </rPr>
          <t>Ng, Jerry @ Hong Kong:</t>
        </r>
        <r>
          <rPr>
            <sz val="9"/>
            <color indexed="81"/>
            <rFont val="Tahoma"/>
            <family val="2"/>
          </rPr>
          <t xml:space="preserve">
Site 2&amp;3 non-domestic GFA 357,580sf
Source: Mar17 BD</t>
        </r>
      </text>
    </comment>
    <comment ref="O224" authorId="0" shapeId="0" xr:uid="{00000000-0006-0000-0800-0000A2000000}">
      <text>
        <r>
          <rPr>
            <b/>
            <sz val="8"/>
            <color indexed="81"/>
            <rFont val="Tahoma"/>
            <family val="2"/>
          </rPr>
          <t>Ng, Roy @ Hong Kong:</t>
        </r>
        <r>
          <rPr>
            <sz val="8"/>
            <color indexed="81"/>
            <rFont val="Tahoma"/>
            <family val="2"/>
          </rPr>
          <t xml:space="preserve">
Basement 1-5: car park
G/F: retail
1/F-4/F: retail
5/F-22/F: office
23/F: refuge floor
24/F-42/F: office</t>
        </r>
      </text>
    </comment>
    <comment ref="T228" authorId="4" shapeId="0" xr:uid="{560B3FBF-0D3A-4203-B14C-E65F8783FC23}">
      <text>
        <r>
          <rPr>
            <b/>
            <sz val="9"/>
            <color indexed="81"/>
            <rFont val="Tahoma"/>
            <family val="2"/>
          </rPr>
          <t>Ng, Jerry @ Hong Kong:</t>
        </r>
        <r>
          <rPr>
            <sz val="9"/>
            <color indexed="81"/>
            <rFont val="Tahoma"/>
            <family val="2"/>
          </rPr>
          <t xml:space="preserve">
OZP: max GFA: 57,000sm</t>
        </r>
      </text>
    </comment>
    <comment ref="T229" authorId="4" shapeId="0" xr:uid="{97528CA1-7CD6-446B-805D-8D4AB067FD04}">
      <text>
        <r>
          <rPr>
            <b/>
            <sz val="9"/>
            <color indexed="81"/>
            <rFont val="Tahoma"/>
            <family val="2"/>
          </rPr>
          <t>Ng, Jerry @ Hong Kong:</t>
        </r>
        <r>
          <rPr>
            <sz val="9"/>
            <color indexed="81"/>
            <rFont val="Tahoma"/>
            <family val="2"/>
          </rPr>
          <t xml:space="preserve">
OZP: max GFA: 57,000sm</t>
        </r>
      </text>
    </comment>
    <comment ref="V233" authorId="4" shapeId="0" xr:uid="{00000000-0006-0000-0800-0000AB000000}">
      <text>
        <r>
          <rPr>
            <b/>
            <sz val="9"/>
            <color indexed="81"/>
            <rFont val="Tahoma"/>
            <family val="2"/>
          </rPr>
          <t>Ng, Jerry @ Hong Kong:</t>
        </r>
        <r>
          <rPr>
            <sz val="9"/>
            <color indexed="81"/>
            <rFont val="Tahoma"/>
            <family val="2"/>
          </rPr>
          <t xml:space="preserve">
plot ratio 8</t>
        </r>
      </text>
    </comment>
    <comment ref="T237" authorId="7" shapeId="0" xr:uid="{8223F453-A761-4C8C-85E7-87859BBA0E04}">
      <text>
        <r>
          <rPr>
            <b/>
            <sz val="9"/>
            <color indexed="81"/>
            <rFont val="Tahoma"/>
            <family val="2"/>
          </rPr>
          <t>Leung, Peter @ Hong Kong:</t>
        </r>
        <r>
          <rPr>
            <sz val="9"/>
            <color indexed="81"/>
            <rFont val="Tahoma"/>
            <family val="2"/>
          </rPr>
          <t xml:space="preserve">
Residential: 924,264
Office: 292,025
Retail: 95,207
Trade Mart: 121,471
Elderly home/kindergarden/others: 40,482</t>
        </r>
      </text>
    </comment>
    <comment ref="O238" authorId="4" shapeId="0" xr:uid="{00000000-0006-0000-0800-0000A4000000}">
      <text>
        <r>
          <rPr>
            <b/>
            <sz val="9"/>
            <color indexed="81"/>
            <rFont val="Tahoma"/>
            <family val="2"/>
          </rPr>
          <t>Ng, Jerry @ Hong Kong:</t>
        </r>
        <r>
          <rPr>
            <sz val="9"/>
            <color indexed="81"/>
            <rFont val="Tahoma"/>
            <family val="2"/>
          </rPr>
          <t xml:space="preserve">
height restriction: 50mPD &amp; 150mPD</t>
        </r>
      </text>
    </comment>
    <comment ref="V238" authorId="8" shapeId="0" xr:uid="{B42AE69E-91CD-4288-96ED-BF8A625679D1}">
      <text>
        <r>
          <rPr>
            <b/>
            <sz val="9"/>
            <color indexed="81"/>
            <rFont val="Tahoma"/>
            <family val="2"/>
          </rPr>
          <t>Tang, Zac @ Hong Kong:</t>
        </r>
        <r>
          <rPr>
            <sz val="9"/>
            <color indexed="81"/>
            <rFont val="Tahoma"/>
            <family val="2"/>
          </rPr>
          <t xml:space="preserve">
Oct 21: was 111,000</t>
        </r>
      </text>
    </comment>
    <comment ref="W238" authorId="4" shapeId="0" xr:uid="{00000000-0006-0000-0800-0000A5000000}">
      <text>
        <r>
          <rPr>
            <b/>
            <sz val="9"/>
            <color indexed="81"/>
            <rFont val="Tahoma"/>
            <family val="2"/>
          </rPr>
          <t>Ng, Jerry @ Hong Kong:</t>
        </r>
        <r>
          <rPr>
            <sz val="9"/>
            <color indexed="81"/>
            <rFont val="Tahoma"/>
            <family val="2"/>
          </rPr>
          <t xml:space="preserve">
height restriction: 50mPD &amp; 150mPD
Peter: By assumption. See the excel in supply info</t>
        </r>
      </text>
    </comment>
    <comment ref="O239" authorId="4" shapeId="0" xr:uid="{00000000-0006-0000-0800-0000A6000000}">
      <text>
        <r>
          <rPr>
            <b/>
            <sz val="9"/>
            <color indexed="81"/>
            <rFont val="Tahoma"/>
            <family val="2"/>
          </rPr>
          <t>Ng, Jerry @ Hong Kong:</t>
        </r>
        <r>
          <rPr>
            <sz val="9"/>
            <color indexed="81"/>
            <rFont val="Tahoma"/>
            <family val="2"/>
          </rPr>
          <t xml:space="preserve">
height restriction: 50mPD, 120mPD &amp; 135mPD</t>
        </r>
      </text>
    </comment>
    <comment ref="V239" authorId="8" shapeId="0" xr:uid="{D7B59D6D-871D-4BF3-A329-00499D13606E}">
      <text>
        <r>
          <rPr>
            <b/>
            <sz val="9"/>
            <color indexed="81"/>
            <rFont val="Tahoma"/>
            <family val="2"/>
          </rPr>
          <t>Tang, Zac @ Hong Kong:</t>
        </r>
        <r>
          <rPr>
            <sz val="9"/>
            <color indexed="81"/>
            <rFont val="Tahoma"/>
            <family val="2"/>
          </rPr>
          <t xml:space="preserve">
Oct 21: was 48900</t>
        </r>
      </text>
    </comment>
    <comment ref="W239" authorId="4" shapeId="0" xr:uid="{00000000-0006-0000-0800-0000A7000000}">
      <text>
        <r>
          <rPr>
            <b/>
            <sz val="9"/>
            <color indexed="81"/>
            <rFont val="Tahoma"/>
            <family val="2"/>
          </rPr>
          <t>Ng, Jerry @ Hong Kong:</t>
        </r>
        <r>
          <rPr>
            <sz val="9"/>
            <color indexed="81"/>
            <rFont val="Tahoma"/>
            <family val="2"/>
          </rPr>
          <t xml:space="preserve">
height restriction: 50mPD, 120mPD &amp; 135mPD
Peter: By assumption. See the excel in supply info</t>
        </r>
      </text>
    </comment>
    <comment ref="M241" authorId="7" shapeId="0" xr:uid="{95F7C6A7-DFEA-43AE-9B18-B75BEA2108A8}">
      <text>
        <r>
          <rPr>
            <b/>
            <sz val="9"/>
            <color indexed="81"/>
            <rFont val="Tahoma"/>
            <family val="2"/>
          </rPr>
          <t>Leung, Peter @ Hong Kong:</t>
        </r>
        <r>
          <rPr>
            <sz val="9"/>
            <color indexed="81"/>
            <rFont val="Tahoma"/>
            <family val="2"/>
          </rPr>
          <t xml:space="preserve">
Aug 2020: Applied Revitalisation 2.0</t>
        </r>
      </text>
    </comment>
    <comment ref="U241" authorId="7" shapeId="0" xr:uid="{AFDD7F1F-1F8C-4043-BB68-3F3711B1B83C}">
      <text>
        <r>
          <rPr>
            <b/>
            <sz val="9"/>
            <color indexed="81"/>
            <rFont val="Tahoma"/>
            <family val="2"/>
          </rPr>
          <t>Leung, Peter @ Hong Kong:</t>
        </r>
        <r>
          <rPr>
            <sz val="9"/>
            <color indexed="81"/>
            <rFont val="Tahoma"/>
            <family val="2"/>
          </rPr>
          <t xml:space="preserve">
Entire project</t>
        </r>
      </text>
    </comment>
    <comment ref="M242" authorId="7" shapeId="0" xr:uid="{50D57901-11CB-4F1F-814E-9349A8307CD4}">
      <text>
        <r>
          <rPr>
            <b/>
            <sz val="9"/>
            <color indexed="81"/>
            <rFont val="Tahoma"/>
            <family val="2"/>
          </rPr>
          <t>Leung, Peter @ Hong Kong:</t>
        </r>
        <r>
          <rPr>
            <sz val="9"/>
            <color indexed="81"/>
            <rFont val="Tahoma"/>
            <family val="2"/>
          </rPr>
          <t xml:space="preserve">
Aug 2020: Applied Revitalisation 2.0</t>
        </r>
      </text>
    </comment>
    <comment ref="U242" authorId="7" shapeId="0" xr:uid="{9A1EA578-B20B-411E-9D6D-A5259C81D7F9}">
      <text>
        <r>
          <rPr>
            <b/>
            <sz val="9"/>
            <color indexed="81"/>
            <rFont val="Tahoma"/>
            <family val="2"/>
          </rPr>
          <t>Leung, Peter @ Hong Kong:</t>
        </r>
        <r>
          <rPr>
            <sz val="9"/>
            <color indexed="81"/>
            <rFont val="Tahoma"/>
            <family val="2"/>
          </rPr>
          <t xml:space="preserve">
Entire project</t>
        </r>
      </text>
    </comment>
    <comment ref="I244" authorId="8" shapeId="0" xr:uid="{02BEF0CC-590A-45EA-A6DF-F41EF71B2A4C}">
      <text>
        <r>
          <rPr>
            <b/>
            <sz val="9"/>
            <color indexed="81"/>
            <rFont val="Tahoma"/>
            <family val="2"/>
          </rPr>
          <t>Tang, Zac @ Hong Kong:</t>
        </r>
        <r>
          <rPr>
            <sz val="9"/>
            <color indexed="81"/>
            <rFont val="Tahoma"/>
            <family val="2"/>
          </rPr>
          <t xml:space="preserve">
was 2021</t>
        </r>
      </text>
    </comment>
    <comment ref="T245" authorId="7" shapeId="0" xr:uid="{4ED1BBFF-2479-4372-81B6-3B7F67C56234}">
      <text>
        <r>
          <rPr>
            <b/>
            <sz val="9"/>
            <color indexed="81"/>
            <rFont val="Tahoma"/>
            <family val="2"/>
          </rPr>
          <t>Leung, Peter @ Hong Kong:</t>
        </r>
        <r>
          <rPr>
            <sz val="9"/>
            <color indexed="81"/>
            <rFont val="Tahoma"/>
            <family val="2"/>
          </rPr>
          <t xml:space="preserve">
17,000 sqm for retail</t>
        </r>
      </text>
    </comment>
    <comment ref="V246" authorId="4" shapeId="0" xr:uid="{00000000-0006-0000-0800-0000AF000000}">
      <text>
        <r>
          <rPr>
            <b/>
            <sz val="9"/>
            <color indexed="81"/>
            <rFont val="Tahoma"/>
            <family val="2"/>
          </rPr>
          <t>Ng, Jerry @ Hong Kong:</t>
        </r>
        <r>
          <rPr>
            <sz val="9"/>
            <color indexed="81"/>
            <rFont val="Tahoma"/>
            <family val="2"/>
          </rPr>
          <t xml:space="preserve">
Assume </t>
        </r>
        <r>
          <rPr>
            <b/>
            <sz val="9"/>
            <color indexed="81"/>
            <rFont val="Tahoma"/>
            <family val="2"/>
          </rPr>
          <t>70%</t>
        </r>
        <r>
          <rPr>
            <sz val="9"/>
            <color indexed="81"/>
            <rFont val="Tahoma"/>
            <family val="2"/>
          </rPr>
          <t xml:space="preserve"> are office
20%-25% of Max GFA of the whole area are designated for Hotel/Office</t>
        </r>
      </text>
    </comment>
    <comment ref="W246" authorId="3" shapeId="0" xr:uid="{00000000-0006-0000-0800-0000B0000000}">
      <text>
        <r>
          <rPr>
            <b/>
            <sz val="9"/>
            <color indexed="81"/>
            <rFont val="Tahoma"/>
            <family val="2"/>
          </rPr>
          <t>Tang, Rosanna @ Hong Kong:</t>
        </r>
        <r>
          <rPr>
            <sz val="9"/>
            <color indexed="81"/>
            <rFont val="Tahoma"/>
            <family val="2"/>
          </rPr>
          <t xml:space="preserve">
0riginally 3.1 mil;
changed per discussion with MC</t>
        </r>
      </text>
    </comment>
    <comment ref="V252" authorId="7" shapeId="0" xr:uid="{1849F65E-D6DA-4FA4-8D28-58DA83A9FE9B}">
      <text>
        <r>
          <rPr>
            <b/>
            <sz val="9"/>
            <color indexed="81"/>
            <rFont val="Tahoma"/>
            <family val="2"/>
          </rPr>
          <t>Leung, Peter @ Hong Kong:</t>
        </r>
        <r>
          <rPr>
            <sz val="9"/>
            <color indexed="81"/>
            <rFont val="Tahoma"/>
            <family val="2"/>
          </rPr>
          <t xml:space="preserve">
Hotel/ Office: 81,066 sqm
Min hotel: 21,000 sqm</t>
        </r>
      </text>
    </comment>
    <comment ref="W252" authorId="4" shapeId="0" xr:uid="{00000000-0006-0000-0800-0000B3000000}">
      <text>
        <r>
          <rPr>
            <b/>
            <sz val="9"/>
            <color indexed="81"/>
            <rFont val="Tahoma"/>
            <family val="2"/>
          </rPr>
          <t>Ng, Jerry @ Hong Kong:</t>
        </r>
        <r>
          <rPr>
            <sz val="9"/>
            <color indexed="81"/>
            <rFont val="Tahoma"/>
            <family val="2"/>
          </rPr>
          <t xml:space="preserve">
WKCDO</t>
        </r>
      </text>
    </comment>
    <comment ref="M254" authorId="7" shapeId="0" xr:uid="{989DFB94-3D8B-41AD-A9E0-84B0A314C5BF}">
      <text>
        <r>
          <rPr>
            <b/>
            <sz val="9"/>
            <color indexed="81"/>
            <rFont val="Tahoma"/>
            <family val="2"/>
          </rPr>
          <t>Leung, Peter @ Hong Kong:</t>
        </r>
        <r>
          <rPr>
            <sz val="9"/>
            <color indexed="81"/>
            <rFont val="Tahoma"/>
            <family val="2"/>
          </rPr>
          <t xml:space="preserve">
Combined with SA site 2</t>
        </r>
      </text>
    </comment>
    <comment ref="V254" authorId="4" shapeId="0" xr:uid="{00000000-0006-0000-0800-0000B7000000}">
      <text>
        <r>
          <rPr>
            <b/>
            <sz val="9"/>
            <color indexed="81"/>
            <rFont val="Tahoma"/>
            <family val="2"/>
          </rPr>
          <t>Ng, Jerry @ Hong Kong:</t>
        </r>
        <r>
          <rPr>
            <sz val="9"/>
            <color indexed="81"/>
            <rFont val="Tahoma"/>
            <family val="2"/>
          </rPr>
          <t xml:space="preserve">
assums same composition as PP
34.2% as office</t>
        </r>
      </text>
    </comment>
    <comment ref="O263" authorId="4" shapeId="0" xr:uid="{00000000-0006-0000-0800-0000BC000000}">
      <text>
        <r>
          <rPr>
            <b/>
            <sz val="9"/>
            <color indexed="81"/>
            <rFont val="Tahoma"/>
            <family val="2"/>
          </rPr>
          <t>Ng, Jerry @ Hong Kong:</t>
        </r>
        <r>
          <rPr>
            <sz val="9"/>
            <color indexed="81"/>
            <rFont val="Tahoma"/>
            <family val="2"/>
          </rPr>
          <t xml:space="preserve">
Max height 130mPD</t>
        </r>
      </text>
    </comment>
    <comment ref="P263" authorId="4" shapeId="0" xr:uid="{00000000-0006-0000-0800-0000BD000000}">
      <text>
        <r>
          <rPr>
            <b/>
            <sz val="9"/>
            <color indexed="81"/>
            <rFont val="Tahoma"/>
            <family val="2"/>
          </rPr>
          <t>Ng, Jerry @ Hong Kong:</t>
        </r>
        <r>
          <rPr>
            <sz val="9"/>
            <color indexed="81"/>
            <rFont val="Tahoma"/>
            <family val="2"/>
          </rPr>
          <t xml:space="preserve">
assume lowest 3 floors for F&amp;B and lobby</t>
        </r>
      </text>
    </comment>
    <comment ref="W263" authorId="4" shapeId="0" xr:uid="{00000000-0006-0000-0800-0000BE000000}">
      <text>
        <r>
          <rPr>
            <b/>
            <sz val="9"/>
            <color indexed="81"/>
            <rFont val="Tahoma"/>
            <family val="2"/>
          </rPr>
          <t>Ng, Jerry @ Hong Kong:</t>
        </r>
        <r>
          <rPr>
            <sz val="9"/>
            <color indexed="81"/>
            <rFont val="Tahoma"/>
            <family val="2"/>
          </rPr>
          <t xml:space="preserve">
Site area*max plot ratio
</t>
        </r>
      </text>
    </comment>
    <comment ref="Q264" authorId="4" shapeId="0" xr:uid="{00000000-0006-0000-0800-0000BA000000}">
      <text>
        <r>
          <rPr>
            <b/>
            <sz val="9"/>
            <color indexed="81"/>
            <rFont val="Tahoma"/>
            <family val="2"/>
          </rPr>
          <t>Ng, Jerry @ Hong Kong:</t>
        </r>
        <r>
          <rPr>
            <sz val="9"/>
            <color indexed="81"/>
            <rFont val="Tahoma"/>
            <family val="2"/>
          </rPr>
          <t xml:space="preserve">
Site Area</t>
        </r>
      </text>
    </comment>
    <comment ref="W264" authorId="0" shapeId="0" xr:uid="{00000000-0006-0000-0800-0000BB000000}">
      <text>
        <r>
          <rPr>
            <b/>
            <sz val="8"/>
            <color indexed="81"/>
            <rFont val="Tahoma"/>
            <family val="2"/>
          </rPr>
          <t>Ng, Roy @ Hong Kong:</t>
        </r>
        <r>
          <rPr>
            <sz val="8"/>
            <color indexed="81"/>
            <rFont val="Tahoma"/>
            <family val="2"/>
          </rPr>
          <t xml:space="preserve">
Office: 247,680
Retail: 18,120</t>
        </r>
      </text>
    </comment>
    <comment ref="V268" authorId="4" shapeId="0" xr:uid="{00000000-0006-0000-0800-0000B4000000}">
      <text>
        <r>
          <rPr>
            <b/>
            <sz val="9"/>
            <color indexed="81"/>
            <rFont val="Tahoma"/>
            <family val="2"/>
          </rPr>
          <t>Ng, Jerry @ Hong Kong:</t>
        </r>
        <r>
          <rPr>
            <sz val="9"/>
            <color indexed="81"/>
            <rFont val="Tahoma"/>
            <family val="2"/>
          </rPr>
          <t xml:space="preserve">
23,000sf - Convention
Half of the remaining - Hotel
=(175000-23000)/2</t>
        </r>
      </text>
    </comment>
    <comment ref="V269" authorId="4" shapeId="0" xr:uid="{00000000-0006-0000-0800-0000AA000000}">
      <text>
        <r>
          <rPr>
            <b/>
            <sz val="9"/>
            <color indexed="81"/>
            <rFont val="Tahoma"/>
            <family val="2"/>
          </rPr>
          <t>Ng, Jerry @ Hong Kong:</t>
        </r>
        <r>
          <rPr>
            <sz val="9"/>
            <color indexed="81"/>
            <rFont val="Tahoma"/>
            <family val="2"/>
          </rPr>
          <t xml:space="preserve">
assume office plot ratio 2</t>
        </r>
      </text>
    </comment>
    <comment ref="V270" authorId="4" shapeId="0" xr:uid="{00000000-0006-0000-0800-0000B5000000}">
      <text>
        <r>
          <rPr>
            <b/>
            <sz val="9"/>
            <color indexed="81"/>
            <rFont val="Tahoma"/>
            <family val="2"/>
          </rPr>
          <t>Ng, Jerry @ Hong Kong:</t>
        </r>
        <r>
          <rPr>
            <sz val="9"/>
            <color indexed="81"/>
            <rFont val="Tahoma"/>
            <family val="2"/>
          </rPr>
          <t xml:space="preserve">
assume office plot ratio 6.1</t>
        </r>
      </text>
    </comment>
    <comment ref="V276" authorId="4" shapeId="0" xr:uid="{00000000-0006-0000-0800-0000AC000000}">
      <text>
        <r>
          <rPr>
            <b/>
            <sz val="9"/>
            <color indexed="81"/>
            <rFont val="Tahoma"/>
            <family val="2"/>
          </rPr>
          <t>Ng, Jerry @ Hong Kong:</t>
        </r>
        <r>
          <rPr>
            <sz val="9"/>
            <color indexed="81"/>
            <rFont val="Tahoma"/>
            <family val="2"/>
          </rPr>
          <t xml:space="preserve">
site area 59297sm
retail: 0.5 plot ratio
hotel: 0.8 plot ratio
office: 0.83 plot ratio
PTI: 11470sm
Entertainment: 91760sm
Zac: Office/ Retail portion 55-65% of total GFA
assuming 60%, and 60% of which to be office</t>
        </r>
      </text>
    </comment>
    <comment ref="P282" authorId="7" shapeId="0" xr:uid="{0D503296-282B-4E72-A778-755CC968D293}">
      <text>
        <r>
          <rPr>
            <b/>
            <sz val="9"/>
            <color indexed="81"/>
            <rFont val="Tahoma"/>
            <family val="2"/>
          </rPr>
          <t>Leung, Peter @ Hong Kong:</t>
        </r>
        <r>
          <rPr>
            <sz val="9"/>
            <color indexed="81"/>
            <rFont val="Tahoma"/>
            <family val="2"/>
          </rPr>
          <t xml:space="preserve">
Est.</t>
        </r>
      </text>
    </comment>
    <comment ref="V283" authorId="7" shapeId="0" xr:uid="{4E24F771-9455-46FA-8FB3-5CA377BEED9E}">
      <text>
        <r>
          <rPr>
            <b/>
            <sz val="9"/>
            <color indexed="81"/>
            <rFont val="Tahoma"/>
            <family val="2"/>
          </rPr>
          <t>Leung, Peter @ Hong Kong:</t>
        </r>
        <r>
          <rPr>
            <sz val="9"/>
            <color indexed="81"/>
            <rFont val="Tahoma"/>
            <family val="2"/>
          </rPr>
          <t xml:space="preserve">
Deducted from Chinachem project</t>
        </r>
      </text>
    </comment>
    <comment ref="W284" authorId="7" shapeId="0" xr:uid="{3B29F2EE-896E-41C7-B3FC-053FA00B6FA2}">
      <text>
        <r>
          <rPr>
            <b/>
            <sz val="9"/>
            <color indexed="81"/>
            <rFont val="Tahoma"/>
            <family val="2"/>
          </rPr>
          <t>Leung, Peter @ Hong Kong:</t>
        </r>
        <r>
          <rPr>
            <sz val="9"/>
            <color indexed="81"/>
            <rFont val="Tahoma"/>
            <family val="2"/>
          </rPr>
          <t xml:space="preserve">
Assume 2/3 for office</t>
        </r>
      </text>
    </comment>
    <comment ref="Q286" authorId="7" shapeId="0" xr:uid="{CF8854C6-4435-42B0-A42C-EF485AB2E133}">
      <text>
        <r>
          <rPr>
            <b/>
            <sz val="9"/>
            <color indexed="81"/>
            <rFont val="Tahoma"/>
            <family val="2"/>
          </rPr>
          <t>Leung, Peter @ Hong Kong:</t>
        </r>
        <r>
          <rPr>
            <sz val="9"/>
            <color indexed="81"/>
            <rFont val="Tahoma"/>
            <family val="2"/>
          </rPr>
          <t xml:space="preserve">
60% site coverage</t>
        </r>
      </text>
    </comment>
    <comment ref="V289" authorId="8" shapeId="0" xr:uid="{A45E6CBD-7026-4734-A584-B2557A15A2E0}">
      <text>
        <r>
          <rPr>
            <b/>
            <sz val="9"/>
            <color indexed="81"/>
            <rFont val="Tahoma"/>
            <family val="2"/>
          </rPr>
          <t>Tang, Zac @ Hong Kong:</t>
        </r>
        <r>
          <rPr>
            <sz val="9"/>
            <color indexed="81"/>
            <rFont val="Tahoma"/>
            <family val="2"/>
          </rPr>
          <t xml:space="preserve">
Site coverage:
G/F - 96%
1-2/F - 93%
3-25/F - 61%
26/F: 44%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 Roy @ Hong Kong</author>
    <author>roy.ng</author>
    <author>amleung</author>
    <author>joyce.wu</author>
    <author>Fong, Jason @ Hong Kong</author>
    <author>Administrator</author>
    <author>CB Richard Ellis</author>
    <author>Tang, Rosanna @ Hong Kong</author>
  </authors>
  <commentList>
    <comment ref="AM1" authorId="0" shapeId="0" xr:uid="{00000000-0006-0000-0C00-000001000000}">
      <text>
        <r>
          <rPr>
            <b/>
            <sz val="9"/>
            <color indexed="81"/>
            <rFont val="Tahoma"/>
            <family val="2"/>
          </rPr>
          <t>Ng, Roy @ Hong Kong:</t>
        </r>
        <r>
          <rPr>
            <sz val="9"/>
            <color indexed="81"/>
            <rFont val="Tahoma"/>
            <family val="2"/>
          </rPr>
          <t xml:space="preserve">
&lt;100,000 = 1
100,000 - 300,000 = 2
300,000 - 500,000 = 3
500,000 - 1,000,000 = 4
&gt;1,000,000 = 5</t>
        </r>
      </text>
    </comment>
    <comment ref="X12" authorId="1" shapeId="0" xr:uid="{00000000-0006-0000-0C00-000002000000}">
      <text>
        <r>
          <rPr>
            <b/>
            <sz val="8"/>
            <color indexed="81"/>
            <rFont val="Tahoma"/>
            <family val="2"/>
          </rPr>
          <t>roy.ng:</t>
        </r>
        <r>
          <rPr>
            <sz val="8"/>
            <color indexed="81"/>
            <rFont val="Tahoma"/>
            <family val="2"/>
          </rPr>
          <t xml:space="preserve">
Sep2011: 75% is assumed until further official information.</t>
        </r>
      </text>
    </comment>
    <comment ref="X20" authorId="2" shapeId="0" xr:uid="{00000000-0006-0000-0C00-000003000000}">
      <text>
        <r>
          <rPr>
            <b/>
            <sz val="8"/>
            <color indexed="81"/>
            <rFont val="Tahoma"/>
            <family val="2"/>
          </rPr>
          <t>amleung:</t>
        </r>
        <r>
          <rPr>
            <sz val="8"/>
            <color indexed="81"/>
            <rFont val="Tahoma"/>
            <family val="2"/>
          </rPr>
          <t xml:space="preserve">
75% is assumed until further official information.3-6-2011</t>
        </r>
      </text>
    </comment>
    <comment ref="X21" authorId="2" shapeId="0" xr:uid="{00000000-0006-0000-0C00-000004000000}">
      <text>
        <r>
          <rPr>
            <b/>
            <sz val="8"/>
            <color indexed="81"/>
            <rFont val="Tahoma"/>
            <family val="2"/>
          </rPr>
          <t>amleung:</t>
        </r>
        <r>
          <rPr>
            <sz val="8"/>
            <color indexed="81"/>
            <rFont val="Tahoma"/>
            <family val="2"/>
          </rPr>
          <t xml:space="preserve">
75% is assumed until further official information.3-6-2011</t>
        </r>
      </text>
    </comment>
    <comment ref="X22" authorId="2" shapeId="0" xr:uid="{00000000-0006-0000-0C00-000005000000}">
      <text>
        <r>
          <rPr>
            <b/>
            <sz val="8"/>
            <color indexed="81"/>
            <rFont val="Tahoma"/>
            <family val="2"/>
          </rPr>
          <t>amleung:</t>
        </r>
        <r>
          <rPr>
            <sz val="8"/>
            <color indexed="81"/>
            <rFont val="Tahoma"/>
            <family val="2"/>
          </rPr>
          <t xml:space="preserve">
75% is assumed until further official information.3-6-2011</t>
        </r>
      </text>
    </comment>
    <comment ref="X27" authorId="2" shapeId="0" xr:uid="{00000000-0006-0000-0C00-000006000000}">
      <text>
        <r>
          <rPr>
            <b/>
            <sz val="8"/>
            <color indexed="81"/>
            <rFont val="Tahoma"/>
            <family val="2"/>
          </rPr>
          <t>amleung:</t>
        </r>
        <r>
          <rPr>
            <sz val="8"/>
            <color indexed="81"/>
            <rFont val="Tahoma"/>
            <family val="2"/>
          </rPr>
          <t xml:space="preserve">
75% is assumed until further official information.3-6-2011</t>
        </r>
      </text>
    </comment>
    <comment ref="X31" authorId="2" shapeId="0" xr:uid="{00000000-0006-0000-0C00-000007000000}">
      <text>
        <r>
          <rPr>
            <b/>
            <sz val="8"/>
            <color indexed="81"/>
            <rFont val="Tahoma"/>
            <family val="2"/>
          </rPr>
          <t>amleung:</t>
        </r>
        <r>
          <rPr>
            <sz val="8"/>
            <color indexed="81"/>
            <rFont val="Tahoma"/>
            <family val="2"/>
          </rPr>
          <t xml:space="preserve">
75% is assumed until further official information.3-6-2011</t>
        </r>
      </text>
    </comment>
    <comment ref="X33" authorId="2" shapeId="0" xr:uid="{00000000-0006-0000-0C00-000008000000}">
      <text>
        <r>
          <rPr>
            <b/>
            <sz val="8"/>
            <color indexed="81"/>
            <rFont val="Tahoma"/>
            <family val="2"/>
          </rPr>
          <t>amleung:</t>
        </r>
        <r>
          <rPr>
            <sz val="8"/>
            <color indexed="81"/>
            <rFont val="Tahoma"/>
            <family val="2"/>
          </rPr>
          <t xml:space="preserve">
75% is assumed until further official information.3-6-2011</t>
        </r>
      </text>
    </comment>
    <comment ref="X35" authorId="2" shapeId="0" xr:uid="{00000000-0006-0000-0C00-000009000000}">
      <text>
        <r>
          <rPr>
            <b/>
            <sz val="8"/>
            <color indexed="81"/>
            <rFont val="Tahoma"/>
            <family val="2"/>
          </rPr>
          <t>amleung:</t>
        </r>
        <r>
          <rPr>
            <sz val="8"/>
            <color indexed="81"/>
            <rFont val="Tahoma"/>
            <family val="2"/>
          </rPr>
          <t xml:space="preserve">
75% is assumed until further official information.3-6-2011</t>
        </r>
      </text>
    </comment>
    <comment ref="V37" authorId="3" shapeId="0" xr:uid="{00000000-0006-0000-0C00-00000A000000}">
      <text>
        <r>
          <rPr>
            <b/>
            <sz val="8"/>
            <color indexed="81"/>
            <rFont val="Tahoma"/>
            <family val="2"/>
          </rPr>
          <t>joyce.wu:</t>
        </r>
        <r>
          <rPr>
            <sz val="8"/>
            <color indexed="81"/>
            <rFont val="Tahoma"/>
            <family val="2"/>
          </rPr>
          <t xml:space="preserve">
Kln OS estimate existing GFA: 128,418 sf
Sing Tao / 成報: existing GFA 96,900 sf
http://www.manyw.com/article/misc/article_content.php?sectionid=27&amp;ref_id=9564</t>
        </r>
      </text>
    </comment>
    <comment ref="X37" authorId="2" shapeId="0" xr:uid="{00000000-0006-0000-0C00-00000B000000}">
      <text>
        <r>
          <rPr>
            <b/>
            <sz val="8"/>
            <color indexed="81"/>
            <rFont val="Tahoma"/>
            <family val="2"/>
          </rPr>
          <t>amleung:</t>
        </r>
        <r>
          <rPr>
            <sz val="8"/>
            <color indexed="81"/>
            <rFont val="Tahoma"/>
            <family val="2"/>
          </rPr>
          <t xml:space="preserve">
75% is assumed until further official information.3-6-2011</t>
        </r>
      </text>
    </comment>
    <comment ref="X44" authorId="2" shapeId="0" xr:uid="{00000000-0006-0000-0C00-00000C000000}">
      <text>
        <r>
          <rPr>
            <b/>
            <sz val="8"/>
            <color indexed="81"/>
            <rFont val="Tahoma"/>
            <family val="2"/>
          </rPr>
          <t>amleung:</t>
        </r>
        <r>
          <rPr>
            <sz val="8"/>
            <color indexed="81"/>
            <rFont val="Tahoma"/>
            <family val="2"/>
          </rPr>
          <t xml:space="preserve">
75% is assumed until further official information.3-6-2011</t>
        </r>
      </text>
    </comment>
    <comment ref="X45" authorId="2" shapeId="0" xr:uid="{00000000-0006-0000-0C00-00000D000000}">
      <text>
        <r>
          <rPr>
            <b/>
            <sz val="8"/>
            <color indexed="81"/>
            <rFont val="Tahoma"/>
            <family val="2"/>
          </rPr>
          <t>amleung:</t>
        </r>
        <r>
          <rPr>
            <sz val="8"/>
            <color indexed="81"/>
            <rFont val="Tahoma"/>
            <family val="2"/>
          </rPr>
          <t xml:space="preserve">
75% is assumed until further official information.3-6-2011</t>
        </r>
      </text>
    </comment>
    <comment ref="U48" authorId="1" shapeId="0" xr:uid="{00000000-0006-0000-0C00-00000E000000}">
      <text>
        <r>
          <rPr>
            <b/>
            <sz val="8"/>
            <color indexed="81"/>
            <rFont val="Tahoma"/>
            <family val="2"/>
          </rPr>
          <t>roy.ng:</t>
        </r>
        <r>
          <rPr>
            <sz val="8"/>
            <color indexed="81"/>
            <rFont val="Tahoma"/>
            <family val="2"/>
          </rPr>
          <t xml:space="preserve">
BD: 9,556</t>
        </r>
      </text>
    </comment>
    <comment ref="X50" authorId="2" shapeId="0" xr:uid="{00000000-0006-0000-0C00-00000F000000}">
      <text>
        <r>
          <rPr>
            <b/>
            <sz val="8"/>
            <color indexed="81"/>
            <rFont val="Tahoma"/>
            <family val="2"/>
          </rPr>
          <t>amleung:</t>
        </r>
        <r>
          <rPr>
            <sz val="8"/>
            <color indexed="81"/>
            <rFont val="Tahoma"/>
            <family val="2"/>
          </rPr>
          <t xml:space="preserve">
Assume plot ratio to be 12 for GFA calculation and 75% efficiency
3-6-2011</t>
        </r>
      </text>
    </comment>
    <comment ref="X57" authorId="2" shapeId="0" xr:uid="{00000000-0006-0000-0C00-000010000000}">
      <text>
        <r>
          <rPr>
            <b/>
            <sz val="8"/>
            <color indexed="81"/>
            <rFont val="Tahoma"/>
            <family val="2"/>
          </rPr>
          <t>amleung:</t>
        </r>
        <r>
          <rPr>
            <sz val="8"/>
            <color indexed="81"/>
            <rFont val="Tahoma"/>
            <family val="2"/>
          </rPr>
          <t xml:space="preserve">
75% is assumed until further official information.3-6-2011</t>
        </r>
      </text>
    </comment>
    <comment ref="X61" authorId="2" shapeId="0" xr:uid="{00000000-0006-0000-0C00-000011000000}">
      <text>
        <r>
          <rPr>
            <b/>
            <sz val="8"/>
            <color indexed="81"/>
            <rFont val="Tahoma"/>
            <family val="2"/>
          </rPr>
          <t>amleung:</t>
        </r>
        <r>
          <rPr>
            <sz val="8"/>
            <color indexed="81"/>
            <rFont val="Tahoma"/>
            <family val="2"/>
          </rPr>
          <t xml:space="preserve">
75% is assumed until further official information.3-6-2011</t>
        </r>
      </text>
    </comment>
    <comment ref="S63" authorId="1" shapeId="0" xr:uid="{00000000-0006-0000-0C00-000012000000}">
      <text>
        <r>
          <rPr>
            <b/>
            <sz val="8"/>
            <color indexed="81"/>
            <rFont val="Tahoma"/>
            <family val="2"/>
          </rPr>
          <t>roy.ng:</t>
        </r>
        <r>
          <rPr>
            <sz val="8"/>
            <color indexed="81"/>
            <rFont val="Tahoma"/>
            <family val="2"/>
          </rPr>
          <t xml:space="preserve">
Sep2011: Cynthia (OS)</t>
        </r>
      </text>
    </comment>
    <comment ref="X64" authorId="2" shapeId="0" xr:uid="{00000000-0006-0000-0C00-000013000000}">
      <text>
        <r>
          <rPr>
            <b/>
            <sz val="8"/>
            <color indexed="81"/>
            <rFont val="Tahoma"/>
            <family val="2"/>
          </rPr>
          <t>amleung:</t>
        </r>
        <r>
          <rPr>
            <sz val="8"/>
            <color indexed="81"/>
            <rFont val="Tahoma"/>
            <family val="2"/>
          </rPr>
          <t xml:space="preserve">
75% is assumed until further official information.3-6-2011</t>
        </r>
      </text>
    </comment>
    <comment ref="L65" authorId="4" shapeId="0" xr:uid="{00000000-0006-0000-0C00-000014000000}">
      <text>
        <r>
          <rPr>
            <b/>
            <sz val="9"/>
            <color indexed="81"/>
            <rFont val="Tahoma"/>
            <family val="2"/>
          </rPr>
          <t>Fong, Jason @ Hong Kong:</t>
        </r>
        <r>
          <rPr>
            <sz val="9"/>
            <color indexed="81"/>
            <rFont val="Tahoma"/>
            <family val="2"/>
          </rPr>
          <t xml:space="preserve">
Available second half of 2014/15</t>
        </r>
      </text>
    </comment>
    <comment ref="V65" authorId="1" shapeId="0" xr:uid="{00000000-0006-0000-0C00-000015000000}">
      <text>
        <r>
          <rPr>
            <b/>
            <sz val="8"/>
            <color indexed="81"/>
            <rFont val="Tahoma"/>
            <family val="2"/>
          </rPr>
          <t>roy.ng:</t>
        </r>
        <r>
          <rPr>
            <sz val="8"/>
            <color indexed="81"/>
            <rFont val="Tahoma"/>
            <family val="2"/>
          </rPr>
          <t xml:space="preserve">
site for tender GFA (from Lands Dept): 40,989sf</t>
        </r>
      </text>
    </comment>
    <comment ref="V67" authorId="1" shapeId="0" xr:uid="{00000000-0006-0000-0C00-000016000000}">
      <text>
        <r>
          <rPr>
            <b/>
            <sz val="8"/>
            <color indexed="81"/>
            <rFont val="Tahoma"/>
            <family val="2"/>
          </rPr>
          <t>roy.ng:</t>
        </r>
        <r>
          <rPr>
            <sz val="8"/>
            <color indexed="81"/>
            <rFont val="Tahoma"/>
            <family val="2"/>
          </rPr>
          <t xml:space="preserve">
plot ratio of 12</t>
        </r>
      </text>
    </comment>
    <comment ref="V70" authorId="5" shapeId="0" xr:uid="{00000000-0006-0000-0C00-000017000000}">
      <text>
        <r>
          <rPr>
            <b/>
            <sz val="8"/>
            <color indexed="81"/>
            <rFont val="Tahoma"/>
            <family val="2"/>
          </rPr>
          <t>Administrator:</t>
        </r>
        <r>
          <rPr>
            <sz val="8"/>
            <color indexed="81"/>
            <rFont val="Tahoma"/>
            <family val="2"/>
          </rPr>
          <t xml:space="preserve">
office portion (lettable)
and also 26,400 sf (2 storey for retail)</t>
        </r>
      </text>
    </comment>
    <comment ref="S71" authorId="5" shapeId="0" xr:uid="{00000000-0006-0000-0C00-000018000000}">
      <text>
        <r>
          <rPr>
            <b/>
            <sz val="8"/>
            <color indexed="81"/>
            <rFont val="Tahoma"/>
            <family val="2"/>
          </rPr>
          <t>Administrator:</t>
        </r>
        <r>
          <rPr>
            <sz val="8"/>
            <color indexed="81"/>
            <rFont val="Tahoma"/>
            <family val="2"/>
          </rPr>
          <t xml:space="preserve">
purely estimation</t>
        </r>
      </text>
    </comment>
    <comment ref="V71" authorId="5" shapeId="0" xr:uid="{00000000-0006-0000-0C00-000019000000}">
      <text>
        <r>
          <rPr>
            <b/>
            <sz val="8"/>
            <color indexed="81"/>
            <rFont val="Tahoma"/>
            <family val="2"/>
          </rPr>
          <t>Administrator:</t>
        </r>
        <r>
          <rPr>
            <sz val="8"/>
            <color indexed="81"/>
            <rFont val="Tahoma"/>
            <family val="2"/>
          </rPr>
          <t xml:space="preserve">
estimated by the max allowed office area</t>
        </r>
      </text>
    </comment>
    <comment ref="X74" authorId="2" shapeId="0" xr:uid="{00000000-0006-0000-0C00-00001A000000}">
      <text>
        <r>
          <rPr>
            <b/>
            <sz val="8"/>
            <color indexed="81"/>
            <rFont val="Tahoma"/>
            <family val="2"/>
          </rPr>
          <t>amleung:</t>
        </r>
        <r>
          <rPr>
            <sz val="8"/>
            <color indexed="81"/>
            <rFont val="Tahoma"/>
            <family val="2"/>
          </rPr>
          <t xml:space="preserve">
75% is assumed until further official information.3-6-2011</t>
        </r>
      </text>
    </comment>
    <comment ref="X75" authorId="2" shapeId="0" xr:uid="{00000000-0006-0000-0C00-00001B000000}">
      <text>
        <r>
          <rPr>
            <b/>
            <sz val="8"/>
            <color indexed="81"/>
            <rFont val="Tahoma"/>
            <family val="2"/>
          </rPr>
          <t>amleung:</t>
        </r>
        <r>
          <rPr>
            <sz val="8"/>
            <color indexed="81"/>
            <rFont val="Tahoma"/>
            <family val="2"/>
          </rPr>
          <t xml:space="preserve">
75% is assumed until further official information.3-6-2011</t>
        </r>
      </text>
    </comment>
    <comment ref="X77" authorId="2" shapeId="0" xr:uid="{00000000-0006-0000-0C00-00001C000000}">
      <text>
        <r>
          <rPr>
            <b/>
            <sz val="8"/>
            <color indexed="81"/>
            <rFont val="Tahoma"/>
            <family val="2"/>
          </rPr>
          <t>amleung:</t>
        </r>
        <r>
          <rPr>
            <sz val="8"/>
            <color indexed="81"/>
            <rFont val="Tahoma"/>
            <family val="2"/>
          </rPr>
          <t xml:space="preserve">
Assume plot ratio to be 12 for GFA calculation and 75% efficiency
3-6-2011</t>
        </r>
      </text>
    </comment>
    <comment ref="X78" authorId="2" shapeId="0" xr:uid="{00000000-0006-0000-0C00-00001D000000}">
      <text>
        <r>
          <rPr>
            <b/>
            <sz val="8"/>
            <color indexed="81"/>
            <rFont val="Tahoma"/>
            <family val="2"/>
          </rPr>
          <t>amleung:</t>
        </r>
        <r>
          <rPr>
            <sz val="8"/>
            <color indexed="81"/>
            <rFont val="Tahoma"/>
            <family val="2"/>
          </rPr>
          <t xml:space="preserve">
Assume plot ratio to be 12 for GFA calculation and 75% efficiency
3-6-2011</t>
        </r>
      </text>
    </comment>
    <comment ref="X85" authorId="2" shapeId="0" xr:uid="{00000000-0006-0000-0C00-00001E000000}">
      <text>
        <r>
          <rPr>
            <b/>
            <sz val="8"/>
            <color indexed="81"/>
            <rFont val="Tahoma"/>
            <family val="2"/>
          </rPr>
          <t>amleung:</t>
        </r>
        <r>
          <rPr>
            <sz val="8"/>
            <color indexed="81"/>
            <rFont val="Tahoma"/>
            <family val="2"/>
          </rPr>
          <t xml:space="preserve">
75% is assumed until further official information.3-6-2011</t>
        </r>
      </text>
    </comment>
    <comment ref="V87" authorId="6" shapeId="0" xr:uid="{00000000-0006-0000-0C00-00001F000000}">
      <text>
        <r>
          <rPr>
            <b/>
            <sz val="8"/>
            <color indexed="81"/>
            <rFont val="Tahoma"/>
            <family val="2"/>
          </rPr>
          <t>Revised as per Swire 2003 Annual Report</t>
        </r>
        <r>
          <rPr>
            <sz val="8"/>
            <color indexed="81"/>
            <rFont val="Tahoma"/>
            <family val="2"/>
          </rPr>
          <t xml:space="preserve">
</t>
        </r>
      </text>
    </comment>
    <comment ref="V88" authorId="1" shapeId="0" xr:uid="{00000000-0006-0000-0C00-000020000000}">
      <text>
        <r>
          <rPr>
            <b/>
            <sz val="8"/>
            <color indexed="81"/>
            <rFont val="Tahoma"/>
            <family val="2"/>
          </rPr>
          <t>roy.ng:</t>
        </r>
        <r>
          <rPr>
            <sz val="8"/>
            <color indexed="81"/>
            <rFont val="Tahoma"/>
            <family val="2"/>
          </rPr>
          <t xml:space="preserve">
existing; site area around 10,000 sf</t>
        </r>
      </text>
    </comment>
    <comment ref="B96" authorId="7" shapeId="0" xr:uid="{00000000-0006-0000-0C00-000021000000}">
      <text>
        <r>
          <rPr>
            <b/>
            <sz val="9"/>
            <color indexed="81"/>
            <rFont val="Tahoma"/>
            <family val="2"/>
          </rPr>
          <t>Tang, Rosanna @ Hong Kong:</t>
        </r>
        <r>
          <rPr>
            <sz val="9"/>
            <color indexed="81"/>
            <rFont val="Tahoma"/>
            <family val="2"/>
          </rPr>
          <t xml:space="preserve">
previously named 696 Castle Peak Road</t>
        </r>
      </text>
    </comment>
  </commentList>
</comments>
</file>

<file path=xl/sharedStrings.xml><?xml version="1.0" encoding="utf-8"?>
<sst xmlns="http://schemas.openxmlformats.org/spreadsheetml/2006/main" count="7094" uniqueCount="2504">
  <si>
    <t>CBRE District</t>
  </si>
  <si>
    <t>Central</t>
  </si>
  <si>
    <t>Sheung Wan</t>
  </si>
  <si>
    <t>Admiralty</t>
  </si>
  <si>
    <t>Wan Chai</t>
  </si>
  <si>
    <t>Causeway Bay</t>
  </si>
  <si>
    <t>North Point</t>
  </si>
  <si>
    <t>Hong Kong East</t>
  </si>
  <si>
    <t>Tsim Sha Tsui</t>
  </si>
  <si>
    <t>Jordan</t>
  </si>
  <si>
    <t>Mongkok</t>
  </si>
  <si>
    <t>San Po Kong</t>
  </si>
  <si>
    <t>Cheung Sha Wan</t>
  </si>
  <si>
    <t>Kowloon Tong</t>
  </si>
  <si>
    <t>Kowloon East</t>
  </si>
  <si>
    <t>Kwai Chung &amp; Tsuen Wan</t>
  </si>
  <si>
    <t>Shatin</t>
  </si>
  <si>
    <t>Sheung Shui</t>
  </si>
  <si>
    <t>Tung Chung</t>
  </si>
  <si>
    <t>Type</t>
  </si>
  <si>
    <t>A Office</t>
  </si>
  <si>
    <t>B Office</t>
  </si>
  <si>
    <t>Other</t>
  </si>
  <si>
    <t>Completion Year</t>
  </si>
  <si>
    <t>Qtr</t>
  </si>
  <si>
    <t>Quarter</t>
  </si>
  <si>
    <t>CBRE EDC</t>
  </si>
  <si>
    <t>Chinese Name</t>
  </si>
  <si>
    <t>Building Name</t>
  </si>
  <si>
    <t>Site</t>
  </si>
  <si>
    <t>Redevelopment</t>
  </si>
  <si>
    <t>Refurbisment</t>
  </si>
  <si>
    <t>Redevelopment &amp; Site</t>
  </si>
  <si>
    <t>Street No.</t>
  </si>
  <si>
    <t>Street Name</t>
  </si>
  <si>
    <t>Street Name &amp; No.</t>
  </si>
  <si>
    <t>Lot No.</t>
  </si>
  <si>
    <t>Sub-district</t>
  </si>
  <si>
    <t>District</t>
  </si>
  <si>
    <t>Area</t>
  </si>
  <si>
    <t>Hong Kong Island</t>
  </si>
  <si>
    <t>Kowloon</t>
  </si>
  <si>
    <t>New Territories</t>
  </si>
  <si>
    <t>Central &amp; Western</t>
  </si>
  <si>
    <t>Eastern</t>
  </si>
  <si>
    <t>Southern</t>
  </si>
  <si>
    <t>Yau Tsim Mong</t>
  </si>
  <si>
    <t>Sham Shui Po</t>
  </si>
  <si>
    <t>Kowloon City</t>
  </si>
  <si>
    <t>Wong Tai Sin</t>
  </si>
  <si>
    <t>Kwun Tong</t>
  </si>
  <si>
    <t>Kwai Tsing</t>
  </si>
  <si>
    <t>Tsuen Wan</t>
  </si>
  <si>
    <t>Tuen Mun</t>
  </si>
  <si>
    <t>Yuen Long</t>
  </si>
  <si>
    <t>North</t>
  </si>
  <si>
    <t>Tai Po</t>
  </si>
  <si>
    <t>Sha Tin</t>
  </si>
  <si>
    <t>Sai Kung</t>
  </si>
  <si>
    <t>Islands</t>
  </si>
  <si>
    <t>No. of Blocks</t>
  </si>
  <si>
    <t>No. of Storeys</t>
  </si>
  <si>
    <t>Building Type</t>
  </si>
  <si>
    <t>BD Status</t>
  </si>
  <si>
    <t>Development</t>
  </si>
  <si>
    <t>Usable Floor Area (sm)</t>
  </si>
  <si>
    <t>Floor Plate (GFA) (sf)</t>
  </si>
  <si>
    <t>GFA (sm)</t>
  </si>
  <si>
    <t>GFA (sf)</t>
  </si>
  <si>
    <t>Usable Floor Area (sf)</t>
  </si>
  <si>
    <t>Floor Plate &gt; 10,000 sf (GFA)</t>
  </si>
  <si>
    <t>Developer</t>
  </si>
  <si>
    <t>Private / Public Sector</t>
  </si>
  <si>
    <t>Private Sector</t>
  </si>
  <si>
    <t>Government Site</t>
  </si>
  <si>
    <t>Source of Information</t>
  </si>
  <si>
    <t>Date of Source</t>
  </si>
  <si>
    <t>Date of Entry</t>
  </si>
  <si>
    <t>Status</t>
  </si>
  <si>
    <t>Remarks</t>
  </si>
  <si>
    <t>Ownership Structure</t>
  </si>
  <si>
    <t>Single owner</t>
  </si>
  <si>
    <t>Strata-title</t>
  </si>
  <si>
    <t>Valid</t>
  </si>
  <si>
    <t>Completed</t>
  </si>
  <si>
    <t>Potential</t>
  </si>
  <si>
    <t>Taken out</t>
  </si>
  <si>
    <t>Connaught Road Central</t>
  </si>
  <si>
    <t>27+4 basement</t>
  </si>
  <si>
    <t>Commercial</t>
  </si>
  <si>
    <t>Work Received</t>
  </si>
  <si>
    <t>Lai Sun Development / China Construction Bank (50/50)</t>
  </si>
  <si>
    <t>BD Monthly Digest</t>
  </si>
  <si>
    <t>希慎廣場</t>
  </si>
  <si>
    <t>Hennessy Road</t>
  </si>
  <si>
    <t>37+4 basement</t>
  </si>
  <si>
    <t>Consent Given</t>
  </si>
  <si>
    <t>Hysan Development Co Ltd</t>
  </si>
  <si>
    <t>29+1 basement</t>
  </si>
  <si>
    <t>Swire Properties</t>
  </si>
  <si>
    <t>29+4 basement</t>
  </si>
  <si>
    <t>陸海通大廈</t>
  </si>
  <si>
    <t>28+1 basement</t>
  </si>
  <si>
    <t>OP Issued</t>
  </si>
  <si>
    <t>The Luk Hoi Tong Corporation Ltd</t>
  </si>
  <si>
    <t>Century Land Ltd (Citi Group/Apollo) / National Properties</t>
  </si>
  <si>
    <t>Pak Shek Kok</t>
  </si>
  <si>
    <t>TPTL 182</t>
  </si>
  <si>
    <t>8+1 basement</t>
  </si>
  <si>
    <t>Hong Kong Science and Technology Parks Corporation</t>
  </si>
  <si>
    <t>九龍貿易中心二期</t>
  </si>
  <si>
    <t>KCTL 215</t>
  </si>
  <si>
    <t>Kwai Chung</t>
  </si>
  <si>
    <t>N/A</t>
  </si>
  <si>
    <t>Sun Hung Kai Properties</t>
  </si>
  <si>
    <t>Billion Enterprises</t>
  </si>
  <si>
    <t>49 King Yip Street</t>
  </si>
  <si>
    <t>King Yip Street</t>
  </si>
  <si>
    <t>Sep 2011: Sam (OS) - building rumoured to have sold to a bank (en-bloc), should know more in 1-2 months time.
Between Billion's 24 Hing Yip Street and Manulife Financial Centre</t>
  </si>
  <si>
    <t>俊匯中心</t>
  </si>
  <si>
    <t>Elite Centre</t>
  </si>
  <si>
    <t>Hung To Road</t>
  </si>
  <si>
    <t>Sep 2011: Sam (OS) - Majority of building sold on strata basis. 7/F (restaurant) for sale, askinh HK$9,000 psf; 29/F (top floor) for sale, subject to offer. Maybe 2012 Q3 completion.
According to BOAML report May 27, 2011, the building will be sold off strata-title, with ASP at HK$5.3K psf. Sam Li (7 Jun 2011):70% sold (end May 11)</t>
  </si>
  <si>
    <t>Industrial</t>
  </si>
  <si>
    <t>Chai Wan</t>
  </si>
  <si>
    <t>東貿廣場</t>
  </si>
  <si>
    <t>E-Trade Plaza (24 Lee Chung Street)</t>
  </si>
  <si>
    <t>24</t>
  </si>
  <si>
    <t>Lee Chung Street</t>
  </si>
  <si>
    <t>Henderson Land</t>
  </si>
  <si>
    <t>Wong Chuk Hang</t>
  </si>
  <si>
    <t>Unknown</t>
  </si>
  <si>
    <t>Wong Chuk Hang Road</t>
  </si>
  <si>
    <t>Old Database</t>
  </si>
  <si>
    <t>5-29 Tang Lung Street &amp; 38 Russell Street</t>
  </si>
  <si>
    <t>5-29</t>
  </si>
  <si>
    <t>Tang Lung Street &amp; 38 Russell Street</t>
  </si>
  <si>
    <t>14+2 basement</t>
  </si>
  <si>
    <t>Plans Approved</t>
  </si>
  <si>
    <t>Soundwill Holdings Ltd</t>
  </si>
  <si>
    <t>Soundwill Co hp: It is intended to be developed into a trendy dining and entertainment complex as a mecca for gourmets and trendsetters in town. The hall of fame in the fashion world will be invited to move in to add to the appeal of the complex, which is expected to offer a total gross floor area of around 110,000 square feet.</t>
  </si>
  <si>
    <t>龍子行大廈</t>
  </si>
  <si>
    <t>Prosperity Tower (Dragon Seed Building redevelopment)</t>
  </si>
  <si>
    <t>30+1 basement</t>
  </si>
  <si>
    <t>New World</t>
  </si>
  <si>
    <t>Sep 2011: OP yet to be issued.  Exp Oct 2011.
Urban Group contact: Ken Wong (6543 6221)
New World bought the building in 1999 for 136 million.</t>
  </si>
  <si>
    <t>2-6 Bowring Street</t>
  </si>
  <si>
    <t>2-6</t>
  </si>
  <si>
    <t>Bowring Street</t>
  </si>
  <si>
    <t>Alpha Fortune Properties Ltd</t>
  </si>
  <si>
    <t>Sep 2011: under construction. Retail? (JD to check)
Just next to Jordan MTR station Exit C2</t>
  </si>
  <si>
    <t>Des Voeux Road Central</t>
  </si>
  <si>
    <t>The Bank of East Asia Ltd</t>
  </si>
  <si>
    <t>J/O On Yiu Street, On Kwan Street &amp; On Lai Street (STTL 433)</t>
  </si>
  <si>
    <t>J/O On Yiu Street, On Kwan Street &amp; On Lai Street</t>
  </si>
  <si>
    <t>STTL 433</t>
  </si>
  <si>
    <t>Office</t>
  </si>
  <si>
    <t>The Honghong and Shanghai Banking Corporation Ltd</t>
  </si>
  <si>
    <t>Feb 2012: will be data centre for HSBC</t>
  </si>
  <si>
    <t>創紀之城7</t>
  </si>
  <si>
    <t>25+1 basement</t>
  </si>
  <si>
    <t>億利達工業大廈 (existing)</t>
  </si>
  <si>
    <t>Ngau Tau Kok</t>
  </si>
  <si>
    <t>Hotel</t>
  </si>
  <si>
    <t>15-19 Luk Hop Street</t>
  </si>
  <si>
    <t>15-19</t>
  </si>
  <si>
    <t>Luk Hop Street</t>
  </si>
  <si>
    <t>32+1 basement</t>
  </si>
  <si>
    <t>Sep 2011: Sam (OS) - building up to podium.
Also submitted plan for hotel</t>
  </si>
  <si>
    <t>Tsun Yip Street</t>
  </si>
  <si>
    <t>廣新行貨倉有限公司第三倉 (ext.)</t>
  </si>
  <si>
    <t>Kowloon Bay</t>
  </si>
  <si>
    <t>億京中心 II</t>
  </si>
  <si>
    <t xml:space="preserve">Billion Plaza II (Lee Hang Building redevelopment) </t>
  </si>
  <si>
    <t>Residential</t>
  </si>
  <si>
    <t>+</t>
  </si>
  <si>
    <t>Lai Chi Kok</t>
  </si>
  <si>
    <t>41</t>
  </si>
  <si>
    <t>Heung Yip Road</t>
  </si>
  <si>
    <t>Commercial (major revision)</t>
  </si>
  <si>
    <t>20 Wong Chuk Hang Road</t>
  </si>
  <si>
    <t>20</t>
  </si>
  <si>
    <t>Casey Co Ltd</t>
  </si>
  <si>
    <t>DUPLICATION (SEE 38 HEUNG YIP ROAD)</t>
  </si>
  <si>
    <t>38 Heung Yip Road (20 Wong Chuk Hang Road)</t>
  </si>
  <si>
    <t>38</t>
  </si>
  <si>
    <t>Sep2011 (Cynthia): After meeting Ken Ko (general manager) at Casey Co Ltd :- • Building is for lease (no intention to stratify / sell) • Currently at the stage of building the podium, expected completion is Q1/Q2 2013 • Window wall building, 30 storeys above ground in total (4 levels of 70 carpark spaces spread on ground and 3 basement levels) • All office, no retail. • 2.7m ceiling height clear • 6,000 sq ft gross floor plate • Casey will move their headquarter in Sheung Wan to take up 3 levels in this new building on Heung Yip Rd. • Their target tenants are international companies’ back office, eg: Morgan Stanley’s back office in Island East. • Current rental expectations around $15-18 psf (as per existing Southmark building) 
Sep 2011 (Cynthia) &amp; Marcus (OS): currently rebuilding on low zone, TBC Q4 2012 - Q1 2013.
Roy (Aug2011): construction began last month</t>
  </si>
  <si>
    <t>2-12 Observatory Road</t>
  </si>
  <si>
    <t>1-23 Tang Lung Street</t>
  </si>
  <si>
    <t>1-23</t>
  </si>
  <si>
    <t>Tang Lung Street</t>
  </si>
  <si>
    <t>26+1 basement</t>
  </si>
  <si>
    <t>48 Lung Sum Avenue</t>
  </si>
  <si>
    <t>48</t>
  </si>
  <si>
    <t>Lung Sum Avenue</t>
  </si>
  <si>
    <t>16+2 basement</t>
  </si>
  <si>
    <t>Karlin Consultants Ltd (「收樓大王」楊世杭 &amp; related parties)</t>
  </si>
  <si>
    <t>may be semi-retail
2010年3月補地價259M</t>
  </si>
  <si>
    <t>Retail</t>
  </si>
  <si>
    <t>聯泰工業大廈 (existing)</t>
  </si>
  <si>
    <t>72-76 Kwai Cheong Road (Luen Tai Industrial Building redevelopment)</t>
  </si>
  <si>
    <t>72-76</t>
  </si>
  <si>
    <t>Kwai Cheong Road</t>
  </si>
  <si>
    <t>Kln OS and newspaper</t>
  </si>
  <si>
    <t>21+2 basement</t>
  </si>
  <si>
    <t>Wharf</t>
  </si>
  <si>
    <t>43-45 Tsun Yip Street</t>
  </si>
  <si>
    <t>43-45</t>
  </si>
  <si>
    <t>23+1 basement</t>
  </si>
  <si>
    <t>Yau Lee Holdings (Best Ease Investment Ltd)</t>
  </si>
  <si>
    <t>Sep 2011: Sam (OS) - Yau Lee will occupy some space; some office space likely for sale/lease.</t>
  </si>
  <si>
    <t>68-72C Kimberley Road</t>
  </si>
  <si>
    <t>68-72C</t>
  </si>
  <si>
    <t>Kimberley Road</t>
  </si>
  <si>
    <t>13+2 basement</t>
  </si>
  <si>
    <t>Rumshing Investment Ltd</t>
  </si>
  <si>
    <t>Sep 2011: OS need to check</t>
  </si>
  <si>
    <t>21A, 21B &amp; 21C Granville Road</t>
  </si>
  <si>
    <t>21A, 21B &amp; 21C</t>
  </si>
  <si>
    <t>Granville Road</t>
  </si>
  <si>
    <t>Howing Investments Ltd</t>
  </si>
  <si>
    <t>236-242 Des Voeux Road Central (Yien Yieh Commercial Building redevelopment)</t>
  </si>
  <si>
    <t>236-242</t>
  </si>
  <si>
    <t>Continental Holdings Limited</t>
  </si>
  <si>
    <t>Developer Contact (Well Friendship Investment Limited): 2363 8882
Sep 2011 (Cynthia): CN liaised with Oscar to see if he has a contact that he could refer.
Aug 2011 (Cynthia): building foundation work.</t>
  </si>
  <si>
    <t>23-25 Queen's Road West &amp; 30 Bonham Strand West</t>
  </si>
  <si>
    <t>23-25</t>
  </si>
  <si>
    <t>Queen's Road West &amp; 30 Bonham Strand West</t>
  </si>
  <si>
    <t>Aji Ichiban Holdings Ltd</t>
  </si>
  <si>
    <t>47 Connaught Road Central (Southland Building redevelopment)</t>
  </si>
  <si>
    <t>47</t>
  </si>
  <si>
    <t>Demolition Issued</t>
  </si>
  <si>
    <t>Southland Co Ltd</t>
  </si>
  <si>
    <t>漢英大廈 (existing)</t>
  </si>
  <si>
    <t>724-726 Nathan Road (Hon Ying House redevelopment)</t>
  </si>
  <si>
    <t>724-726</t>
  </si>
  <si>
    <t>Nathan Road</t>
  </si>
  <si>
    <t>City Target Ltd</t>
  </si>
  <si>
    <t>Savills are sole agent</t>
  </si>
  <si>
    <t>459-461 Lockhart Road</t>
  </si>
  <si>
    <t>459-461</t>
  </si>
  <si>
    <t>Lockhart Road</t>
  </si>
  <si>
    <t>Giant Rich Investment Ltd</t>
  </si>
  <si>
    <t>Sep 2011 (Cynthia): Cynthia f/u with Oscar.
Sep 2011 (Cynthia): Building at foundation stage.
Owner: Henry Ng of Just Gold.  CN liaising with Oscar from IP who may be able to help and get more status of completion time.</t>
  </si>
  <si>
    <t>31 &amp; 31A Granville Road</t>
  </si>
  <si>
    <t>31 &amp; 31A</t>
  </si>
  <si>
    <t>20+1 basement</t>
  </si>
  <si>
    <t>Bridam Ltd</t>
  </si>
  <si>
    <t>235-239 Hennessy Road</t>
  </si>
  <si>
    <t>235-239</t>
  </si>
  <si>
    <t>Holy Power Ltd</t>
  </si>
  <si>
    <t>Sep 2011 (Cynthia):  new building at rebuilding stage, up to top zone, close to Lockart Street Market.  Unknown leasing strategy.  Have liaised with Industrial/Investment/Retail and no body knows of Holy Power which is bthe registered developer/LL.</t>
  </si>
  <si>
    <t>93-95 King's Road</t>
  </si>
  <si>
    <t>93-95</t>
  </si>
  <si>
    <t>King's Road</t>
  </si>
  <si>
    <t>Fortress Hill</t>
  </si>
  <si>
    <t>Kam Ping Properties &amp; Securities Ltd</t>
  </si>
  <si>
    <t>Sep 2011 (Cynthia): Cynthia left msg for Marina to call back.
Sep 2011 (Cynthia): Building getting rebuilt, on 1st floor.  Around end of 2013 completion.
Developer Contact: 2369 1936</t>
  </si>
  <si>
    <t>28 &amp; 28A Stanley Street</t>
  </si>
  <si>
    <t>28 &amp; 28A</t>
  </si>
  <si>
    <t>Stanley Street</t>
  </si>
  <si>
    <t>Eternal Bond Investment Ltd</t>
  </si>
  <si>
    <t>30-30A Stanley Street</t>
  </si>
  <si>
    <t>30-30A</t>
  </si>
  <si>
    <t>Kensie Holdings Ltd</t>
  </si>
  <si>
    <t>182 Queen's Road Central</t>
  </si>
  <si>
    <t>182</t>
  </si>
  <si>
    <t>Queen's Road Central</t>
  </si>
  <si>
    <t>Pacific Success Development Ltd</t>
  </si>
  <si>
    <t>萬兆豐中心</t>
  </si>
  <si>
    <t>MG Tower</t>
  </si>
  <si>
    <t>18 Kowloon East (Po Lung Centre redevelopment)</t>
  </si>
  <si>
    <t>Sino Land</t>
  </si>
  <si>
    <t>03Nov2010 (SamLi): Low zone for lease – landlord expects HK$21 effective, benchmarking ET recent transactions (HK$21 for a 5k sfg unit); High zone for sale – looking for over HK$6k psf.  Will be handled by different team from Sino Land/   With retail area, sky garden on 9/Fr Raised floor system, in-house caparking spaces.</t>
  </si>
  <si>
    <t>華潤大廈</t>
  </si>
  <si>
    <t>Refurbishment</t>
  </si>
  <si>
    <t>26</t>
  </si>
  <si>
    <t>Harbour Road</t>
  </si>
  <si>
    <t>21+3 basement</t>
  </si>
  <si>
    <t>China Resources (Holdings) Co Ltd</t>
  </si>
  <si>
    <t>Hongkong Land</t>
  </si>
  <si>
    <t>15-17 Chong Yip Street (Nanfung Industrial Building redevelopment)</t>
  </si>
  <si>
    <t>9 Cheung Yee Street (existing bldg: Kin Yip Plaza)</t>
  </si>
  <si>
    <t>9</t>
  </si>
  <si>
    <t>Cheung Yee Street</t>
  </si>
  <si>
    <t>Nisilk Ltd/Laws Commercial Group</t>
  </si>
  <si>
    <t>Sep 2011: Sam (OS) - Kin Yip Plaza still there, should be taken out.</t>
  </si>
  <si>
    <t>Henderson &amp; Hip Hing Hong</t>
  </si>
  <si>
    <t>京華中心 (existing)</t>
  </si>
  <si>
    <t>5-19 Jardine's Bazaar (Capital Centre redevelopment)</t>
  </si>
  <si>
    <t>5-19</t>
  </si>
  <si>
    <t>Jardine's Bazaar</t>
  </si>
  <si>
    <t>Capitol Centre Realty Ltd</t>
  </si>
  <si>
    <t xml:space="preserve">Industrial </t>
  </si>
  <si>
    <t>三井高科技工業大廈 (existing)</t>
  </si>
  <si>
    <t>35 Hung To Road (Mitsui High-tech Industrial Building redevelopment)</t>
  </si>
  <si>
    <t>35</t>
  </si>
  <si>
    <t>First Realty Development Co Ltd</t>
  </si>
  <si>
    <t>Sep 2011: JD (OS) - construction begun. / Titus to check with Rocky for more info about First Group's intention.
Demolition issued January 2011</t>
  </si>
  <si>
    <t>China Resources Building (Lower Block)</t>
  </si>
  <si>
    <t>18+4 podium+3 existing basement</t>
  </si>
  <si>
    <t>Commercial extension and A &amp; A works</t>
  </si>
  <si>
    <t>文匯報(16Dec2009):華潤集團斥資約20億元全面翻新灣仔旗艦物業，現時設於華潤大廈低座的香港展覽中心將會重建拆卸，改建22層高的展覽中心及精品酒店，提供120間套房，預期2016年啟用。至於華潤大廈高座將會改為玻璃幕牆式建築</t>
  </si>
  <si>
    <t>8-14 Tang Lung Street</t>
  </si>
  <si>
    <t>8-14</t>
  </si>
  <si>
    <t>Phoenix Property Investors</t>
  </si>
  <si>
    <t>1&amp;1A Yiu Wa Street &amp; 11-21 Sharp Street</t>
  </si>
  <si>
    <t>1 &amp; 1A</t>
  </si>
  <si>
    <t>Yiu Wa Street &amp; 11-21  Sharp Street East</t>
  </si>
  <si>
    <t>Billion Speard Ltd/ Excel Spirit Ltd/ Vast Honest Corporation Ltd/ Success Creation Ltd (Soundwill Holdings Ltd)</t>
  </si>
  <si>
    <t>1 Luen Fat Street</t>
  </si>
  <si>
    <t>1</t>
  </si>
  <si>
    <t>Luen Fat Street</t>
  </si>
  <si>
    <t>Fanling</t>
  </si>
  <si>
    <t>17+2 basement</t>
  </si>
  <si>
    <t>Triple Bonus Ltd</t>
  </si>
  <si>
    <t>譽發商業大廈 (existing)</t>
  </si>
  <si>
    <t>558-560 Nathan Road &amp; Hamilton Street (Hamilton Commercial Building redevelopment)</t>
  </si>
  <si>
    <t>558-560</t>
  </si>
  <si>
    <t>Nathan Road &amp; Hamilton Street</t>
  </si>
  <si>
    <t>Yau Ma Tei</t>
  </si>
  <si>
    <t>Champion Globe Development Ltd</t>
  </si>
  <si>
    <t>12-20 On Lan Street</t>
  </si>
  <si>
    <t>12-20</t>
  </si>
  <si>
    <t>On Lan Street</t>
  </si>
  <si>
    <t>27+2 basement</t>
  </si>
  <si>
    <t>Smart Ease Development Ltd Perfect Future Development Ltd</t>
  </si>
  <si>
    <t>41 King Yip Street</t>
  </si>
  <si>
    <t>Early Pioneer Ltd</t>
  </si>
  <si>
    <t xml:space="preserve">Sep 2011: JD (OS) - bare site now, site area around 12-15k sf. Sam (OS) - landlord likely yo be Espirit, but even local agencies don't know who the landlord is. Plan maybe to submiited as Industrial but should attract office type tenants.
Kln OS: the investor is Michael Ying </t>
  </si>
  <si>
    <t>3 Hoi Shing Street</t>
  </si>
  <si>
    <t>Hoi Shing Street</t>
  </si>
  <si>
    <t>1&amp;1A Yiu Wa Street &amp; 11 &amp; 13 Sharp Street</t>
  </si>
  <si>
    <t>Yiu Wa Street &amp; 11 &amp; 13  Sharp Street East</t>
  </si>
  <si>
    <t>1/1</t>
  </si>
  <si>
    <t>3+1 basement/32+1 basement</t>
  </si>
  <si>
    <t>22 &amp; 22A Des Voeux Road Central (Wing On Life Building redevelopment)</t>
  </si>
  <si>
    <t>24+1 basement</t>
  </si>
  <si>
    <t>Chinachem</t>
  </si>
  <si>
    <t>18-24 Salisbury Road (New World Centre/ Office East Wing/ New World Apartment/ Renaissance Hotel redevelopment)</t>
  </si>
  <si>
    <t>Hotel/ Commercial</t>
  </si>
  <si>
    <t>New World (K11)</t>
  </si>
  <si>
    <t>模漢大廈 (existing)</t>
  </si>
  <si>
    <t>14-16</t>
  </si>
  <si>
    <t>Hankow Road</t>
  </si>
  <si>
    <t>Prince Jewelry</t>
  </si>
  <si>
    <t>HKET</t>
  </si>
  <si>
    <t>HKET (Mar 2012): "Jimmy Tang, chairman of the Prince Jewelry, bought Mohan's Building on No 14 to 16 Hankow Road, for HK$1.38 billion last year. The company plans to build a commercial building with 17 to 20 storeys, which is expected to be completed in three years."</t>
  </si>
  <si>
    <t>17 Cheung Shun Street (Maxim's Food Factory redevelopment)</t>
  </si>
  <si>
    <t>Luk Yeung Restaurant Ltd (Maxim's)</t>
  </si>
  <si>
    <t>HKEJ</t>
  </si>
  <si>
    <t>環球貿易廣場3期</t>
  </si>
  <si>
    <t>International Commerce Centre Phase 3</t>
  </si>
  <si>
    <t>KIL 11080</t>
  </si>
  <si>
    <t>108+4basement (78-99/F Total 18 floors)</t>
  </si>
  <si>
    <t>Commercial/ Hotel</t>
  </si>
  <si>
    <t>Stacking Plan from OS-Kln</t>
  </si>
  <si>
    <t>OS-Kln SamLi (24Mar10): "It is highly likely that verbal confirmation of full OP of the building will be obtained by tomorrow (25 March) and formal OP certificate will be followed in a week time."
BD Mar 2010 Mthly Digest: GFA (incl Hotel) = 2,923,189 sf; UFA (incl Hotel) = 1,872,565 sf</t>
  </si>
  <si>
    <t>港島東中心</t>
  </si>
  <si>
    <t>One Island East</t>
  </si>
  <si>
    <t>Quarry Bay</t>
  </si>
  <si>
    <t>68+2 basement</t>
  </si>
  <si>
    <t>Completed.
Phase 1: 1,000,000 sf to be completed in 2008; Phase 2: 1,500,000 sf to be completed in 2010</t>
  </si>
  <si>
    <t/>
  </si>
  <si>
    <t>城東誌</t>
  </si>
  <si>
    <t>One &amp; Two Landmark East</t>
  </si>
  <si>
    <t>2/40/43+2 basement</t>
  </si>
  <si>
    <t>Winsor Properties</t>
  </si>
  <si>
    <t>One Island South</t>
  </si>
  <si>
    <t>Wheelock Properties</t>
  </si>
  <si>
    <t>Aug 2011 (Cynthia): Completed. Building both for sale and lease by landlord.</t>
  </si>
  <si>
    <t>Junction of Sam Chuk Street and Tsat Po Street</t>
  </si>
  <si>
    <t>KX 2700</t>
  </si>
  <si>
    <t>a fee-paying public carpark under short term tenancy by the Lands Department. Site area: 92,893 sf</t>
  </si>
  <si>
    <t>Tseung Kwan O Station</t>
  </si>
  <si>
    <t>Tseung Kwan O</t>
  </si>
  <si>
    <t>MTR</t>
  </si>
  <si>
    <t>Mostly hotel, Office GFA: 5,000 sf as per MTR website</t>
  </si>
  <si>
    <t>Junction of Sam Chuk Street and King Fuk Street</t>
  </si>
  <si>
    <t>KX 2705</t>
  </si>
  <si>
    <t>a fee-paying public carpark under short term tenancy by the Lands Department. Site area: 80,514 sf</t>
  </si>
  <si>
    <t>環球貿易廣場1期</t>
  </si>
  <si>
    <t>International Commerce Centre Phase 1</t>
  </si>
  <si>
    <t>108+4 basement (10-47/F Total 32 floors)</t>
  </si>
  <si>
    <t>POP Issued</t>
  </si>
  <si>
    <t>環球貿易廣場2期</t>
  </si>
  <si>
    <t>International Commerce Centre Phase 2</t>
  </si>
  <si>
    <t>108+4 basement (50-77/F Total 22 floors)</t>
  </si>
  <si>
    <t>OS-KLN Sam Li (May 2009): POP quoted by L/L</t>
  </si>
  <si>
    <t>Manhattan Place</t>
  </si>
  <si>
    <t>Manhattan Realty</t>
  </si>
  <si>
    <t>2 Feb 05 SCMP, EJ 11 Mar 05 Sam Li (7 Jun 2011):Fully leased</t>
  </si>
  <si>
    <t>Octa Tower</t>
  </si>
  <si>
    <t>Lam Chak Street</t>
  </si>
  <si>
    <t>23 floors of commercial use</t>
  </si>
  <si>
    <t>Commercial (previous record: Industrial/ Godown)</t>
  </si>
  <si>
    <t>Nan Fung</t>
  </si>
  <si>
    <t xml:space="preserve">(phase 1) Industrial/ Godown OP Issued on Sept 2008; land premium of HK$135m paid for modify the land use to commercial &amp; max GFA up to 63,186 sm (680,134 sf) / 02Nov2010 (SamLi): OP low zone granted; high zone to be granted in Nov; Asking rental HK$10-15
Efficiency: up to 80% 
OP End of 2010; Launch Date:Q1 of 2011 
Ceiling Height: 2.8m clear ceiling (raise floor &amp; metallic ceiling) 
Car parking space: 251 (private car); 30 (lorry) 
Electricity:G/F: 16.5 kPA; 1/F: 12 kPA; 3/F &amp; up:9 kPA
A/C: Fan-coil system
A/C hour:Mon – Fri: 08:30 – 19:00; Sat:  08:30 – 14:00 
Lifts: 4 passenger lift per zone; 2 fireman lifts
Amenities:20/F – swimming pool with garden view on two sides 
Shuttle bus service to Kowloon Bay MTR Station (Proposing: Ngau Tau Kok MTR Station &amp; Megabox during lunch time) 
Approx. 50,000 sq ft of retail on G/F &amp; 1/F </t>
  </si>
  <si>
    <t>國際交易中心</t>
  </si>
  <si>
    <t>Exchange Tower</t>
  </si>
  <si>
    <t>28+3 basement</t>
  </si>
  <si>
    <t>Land premium = $1,282 psf, 16 Mar 07. Sam Li (7 Jun 2011): almost fully leased</t>
  </si>
  <si>
    <t>中環街市</t>
  </si>
  <si>
    <t>Central Market</t>
  </si>
  <si>
    <t>Jubilee Street</t>
  </si>
  <si>
    <t>removed from the land sale application list as per the 2009-2010 policy addrress. Likely to become historical/retail/leisure/public facility</t>
  </si>
  <si>
    <t>億京中心</t>
  </si>
  <si>
    <t>Billion Centre</t>
  </si>
  <si>
    <t>originally was 星島大廈, bought in 2005 at HK$ 37Mn/ Apple Daily 6Oct09: has sold 70% but will keep 7 floors for leasing/Sam Li (7 Jun 2011):all Billion owned portion has been sold</t>
  </si>
  <si>
    <t>太古城中心二座</t>
  </si>
  <si>
    <t>Cityplaza Two (Mount Parker House Redevelopment)</t>
  </si>
  <si>
    <t>hotel project/ Mr. Wong of Cityplaza 25351548</t>
  </si>
  <si>
    <t>九龍貿易中心 1座</t>
  </si>
  <si>
    <t>26+7 podium+1 basement</t>
  </si>
  <si>
    <t>Almost fully leased</t>
  </si>
  <si>
    <t>NKIL 6269</t>
  </si>
  <si>
    <t>Budget 11/12 &amp; Application List 11/12</t>
  </si>
  <si>
    <t>嘉里中心</t>
  </si>
  <si>
    <t>Kerry Centre</t>
  </si>
  <si>
    <t>Kerry Properties</t>
  </si>
  <si>
    <t>Completed.
AR2008 (Cynthia): Kerry Properties owns 40% of the project; Office + Retail/ Rhodri: Kerry will reserve half of the building for their own use
OS-HKI, KT (23Mar10): "the OP is supposed to be completed earlier in Aug 2010 rather than Oct 2010. Expected effective rental for one whole floor is HK$30+."</t>
  </si>
  <si>
    <t>1 Hennessy Road &amp; 2 Arsenal Street (Asian House redevelopment)</t>
  </si>
  <si>
    <t>KIL 11111</t>
  </si>
  <si>
    <t>Application List 11/12</t>
  </si>
  <si>
    <t>Wai Yip Street</t>
  </si>
  <si>
    <t>25+2 basement</t>
  </si>
  <si>
    <t>NKIL 6314</t>
  </si>
  <si>
    <t>寧晉中心</t>
  </si>
  <si>
    <t>Legend Tower</t>
  </si>
  <si>
    <t>123 Gloucester Road and 219-227 Lockhart Road (Former Wan Chai Police Station cum Wan Chai Police Married Quarters)</t>
  </si>
  <si>
    <t>Gloucester Road and 219-227 Lockhart Road</t>
  </si>
  <si>
    <t>IL 8947</t>
  </si>
  <si>
    <t>Hotel/ Commercial/ Community and Cultural</t>
  </si>
  <si>
    <t>Government Property Agency</t>
  </si>
  <si>
    <t>Henderson</t>
  </si>
  <si>
    <t>Town Planning</t>
  </si>
  <si>
    <t>Area 3A, Tung Chung, Lantau</t>
  </si>
  <si>
    <t>TCTL 11</t>
  </si>
  <si>
    <t>10-12 Queen's Road Central (CNAC Bldg &amp; Shanghai Commercial Bank Building redevelopment)</t>
  </si>
  <si>
    <t>Shanghai Commercial Bank Ltd</t>
  </si>
  <si>
    <t>53, 55, 57 &amp; 59 Jervois Street</t>
  </si>
  <si>
    <t>53, 55, 57 &amp; 59</t>
  </si>
  <si>
    <t>Jervois Street</t>
  </si>
  <si>
    <t>Tung Lee Properties</t>
  </si>
  <si>
    <t>Mar 2012 (Roy): demoliton issued November 2011
Sep 2011 (Cynthia): Building unknocked yet.  Workers onsite indicated waiting for permit to knock down, expect to come in 2 months time.  CN liaising with Industrial and IP to get contacts.</t>
  </si>
  <si>
    <t>絲寶國際中心</t>
  </si>
  <si>
    <t>C-Bons International Centre (formerly: One Harbour East)</t>
  </si>
  <si>
    <t>Previously named as MC7/ [21Aug09 OS-Kln: 1) asking price HK$ 5,000 psf on average 2) asking price of carparking space is approx. HK$ 500,000 3) efficiency is 80% as quoted by the landlord 4) tentative OP at Q1 2010 5) presale consent was granted by the Government ]</t>
  </si>
  <si>
    <t>Junction of Wang Chiu Road and Lam Lee Street</t>
  </si>
  <si>
    <t>NKIL 6312</t>
  </si>
  <si>
    <t>Business</t>
  </si>
  <si>
    <t>Junction of Sheung Yuet Road, Wang Tai Road and Wang Yuen Street</t>
  </si>
  <si>
    <t>NKIL 6311</t>
  </si>
  <si>
    <t>Cha Kwo Ling Road</t>
  </si>
  <si>
    <t>NKIL 6195</t>
  </si>
  <si>
    <t>Sheung On Street and Wing Tai Road</t>
  </si>
  <si>
    <t>a fee-paying public carpark under short term tenancy by the Lands Department. Site area: 20,592 sf</t>
  </si>
  <si>
    <t>友邦九龍金融中心</t>
  </si>
  <si>
    <t>AIA Financial Centre</t>
  </si>
  <si>
    <t>Industrial/ Warehouse</t>
  </si>
  <si>
    <t>環薈中心</t>
  </si>
  <si>
    <t>CEO Tower</t>
  </si>
  <si>
    <t>Wing Hong Street</t>
  </si>
  <si>
    <t>Industrial Building. For sale. Source: JLL Industrial Report/ 香港經濟日報 3/9/9 一名廠商以約1億元, 購入三個相連層數的低層全層樓面, 建築面積共38141 sf, 呎價約近3000元. 成為項目首宗成交個案.</t>
  </si>
  <si>
    <t>NKIL 6313</t>
  </si>
  <si>
    <t>Area 108A, Tin Shui Wai</t>
  </si>
  <si>
    <t>Area 108 A, Tin Shui Wai</t>
  </si>
  <si>
    <t>TSWTL 26</t>
  </si>
  <si>
    <t>Tin Shui Wai</t>
  </si>
  <si>
    <t>Oil Street (Ex-Government Supplies Depot)</t>
  </si>
  <si>
    <t>Oil Street</t>
  </si>
  <si>
    <t>IL 8920</t>
  </si>
  <si>
    <t>Central Harbour Reclamation Site 2 (North of IFC2)</t>
  </si>
  <si>
    <t>Central Harbour Reclamation Site 2</t>
  </si>
  <si>
    <t>Central Reclamation website of Planning Department/ HKEJ &amp; HK Commercial Daily (4Nov09)</t>
  </si>
  <si>
    <t>Taikoo Place Phase 2A redevelopment (Somerset House)</t>
  </si>
  <si>
    <t>Yip On Factory Estate Block 2</t>
  </si>
  <si>
    <t>932 Cheung Sha Wan Road</t>
  </si>
  <si>
    <t>Cheung Sha Wan Road</t>
  </si>
  <si>
    <t>Yip On Factory Estate Block 1</t>
  </si>
  <si>
    <t>鱷魚恤中心</t>
  </si>
  <si>
    <t>Crocodile Centre</t>
  </si>
  <si>
    <t>23+2 basement</t>
  </si>
  <si>
    <t>Lai Sun Development / Crocodile KT Investment Ltd</t>
  </si>
  <si>
    <t>Total GFA: 240,000 sf for the entire building including the lower retail portion/ Feb 2009./Sam Li (7 Jun 2011):Fully leased</t>
  </si>
  <si>
    <t>14Oct2011: One of nine sites announced in CBD2-Kowloon East by Ms Carrie Lam. 18Oct2011: (HKET) - estimated price: 497 million ($4,004 psf)</t>
  </si>
  <si>
    <t>Central Reclamation website of Planning Department</t>
  </si>
  <si>
    <t>One Hysan Avenue redevelopment</t>
  </si>
  <si>
    <t>宏開工業大廈 (existing)</t>
  </si>
  <si>
    <t>58 Tsun Yip Street (Wider Industrial Building redevelopment)</t>
  </si>
  <si>
    <t>Oriental Daily</t>
  </si>
  <si>
    <t>Oriential Daily (24 March 2011): 市傳鄧成波購觀塘宏開工業大廈，涉資約3億元。</t>
  </si>
  <si>
    <t>Harbourfront Extension</t>
  </si>
  <si>
    <t>HHML 6 s. A &amp; Ext. s.B &amp; Ext and R.P. &amp; Ext</t>
  </si>
  <si>
    <t>Hutchison</t>
  </si>
  <si>
    <t>STTL 412</t>
  </si>
  <si>
    <t>卓匯中心</t>
  </si>
  <si>
    <t>Excel Centre</t>
  </si>
  <si>
    <t>Castle Peak Road</t>
  </si>
  <si>
    <t>OP received Dec 2010</t>
  </si>
  <si>
    <t>STTL 463</t>
  </si>
  <si>
    <t>Billion Development</t>
  </si>
  <si>
    <t>The Cameron</t>
  </si>
  <si>
    <t>Lammington Investment Holdings Ltd</t>
  </si>
  <si>
    <t>2.8m ceiling height, column free floor plate, ~4000 sf gross typical floor plate/Sam Li (7 Jun 2011):Fully leased</t>
  </si>
  <si>
    <t>The Hennessy</t>
  </si>
  <si>
    <t>256</t>
  </si>
  <si>
    <t>Completed.</t>
  </si>
  <si>
    <t>理智中心 (existing)</t>
  </si>
  <si>
    <t>14 Wong Tai Road (existing Niche Centre)</t>
  </si>
  <si>
    <t>Wong Tai Road</t>
  </si>
  <si>
    <t>First Commercial Centre Co Ltd</t>
  </si>
  <si>
    <t>2 Ng Fong Street (Unimix Industrial Centre redevelopment)</t>
  </si>
  <si>
    <t>7 Wang Tai Road (mperor International Square redevelopment)</t>
  </si>
  <si>
    <t>7</t>
  </si>
  <si>
    <t>Wang Tai Road</t>
  </si>
  <si>
    <t>14+3 basement</t>
  </si>
  <si>
    <t>Industrial/ Godown</t>
  </si>
  <si>
    <t>Blooming World Investment</t>
  </si>
  <si>
    <t>Sep 2011: Sam (OS) - Sold recently to Pan Su Tong (chairman of Goldin Financial). Completion to be 2020+. G/F due to be long leased by Porsche.</t>
  </si>
  <si>
    <t>Tui Min Hoi, Sai Kung</t>
  </si>
  <si>
    <t>Lot 1176 in DD 215</t>
  </si>
  <si>
    <t>Sep 2011: Sam (OS) - possibly sold 2-3 months ago, maybe retail.</t>
  </si>
  <si>
    <t>179-180 Connaught Road West &amp; 345 Des Voeux Road West (Cheung Ka Industrial Building redevelopment)</t>
  </si>
  <si>
    <t>179-180</t>
  </si>
  <si>
    <t>Connaught Road West &amp; 345 Des Voeux Road West</t>
  </si>
  <si>
    <t>Shek Tong Tsui</t>
  </si>
  <si>
    <t>30+4 carpark</t>
  </si>
  <si>
    <t>Emperor Investment Ltd</t>
  </si>
  <si>
    <t>Nov2011 (Roy): Demolition issued in October.
Aug 2011 (Cynthia):   Matt from Industrial has a good relationship with landlord contact Mike Fong (2836 6511).  The landlord has no immediate plans to knock down and redevelop, will update once further updates are available.  Located end of CRC.</t>
  </si>
  <si>
    <t>Site 11, Area 77, Ma On Shan, Sha Tin</t>
  </si>
  <si>
    <t>STTL 482</t>
  </si>
  <si>
    <t>Cubus</t>
  </si>
  <si>
    <t>1-3</t>
  </si>
  <si>
    <t>Hoi Ping Road</t>
  </si>
  <si>
    <t>CSI (55%) / Phoenix Property Investors (45%)</t>
  </si>
  <si>
    <t>Ginza style retail building</t>
  </si>
  <si>
    <t>6, 6A, 8 &amp; 8A Austin Avenue</t>
  </si>
  <si>
    <t>6, 6A, 8 &amp; 8A</t>
  </si>
  <si>
    <t>Austin Avenue</t>
  </si>
  <si>
    <t>14+1 basement</t>
  </si>
  <si>
    <t>Meridian International Holdings Ltd (Tseng Brother's Construction Company?)</t>
  </si>
  <si>
    <t>Sep 2011: OS to confirm the landlord (Tseng Brother's?) and to check whether it's retail or serviced apartment.</t>
  </si>
  <si>
    <t>Bigfoot Centre</t>
  </si>
  <si>
    <t>Yiu Wa Street</t>
  </si>
  <si>
    <t>Bigfoot Properties (HK) Ltd</t>
  </si>
  <si>
    <t>27+5 carpark</t>
  </si>
  <si>
    <t>K Wah Properties</t>
  </si>
  <si>
    <t>Aug 2011 (Cynthia): Matthew Hon (Industrial) has good contact with landlord, no plans to redevelop yet, just submit plans to save future waiver costs.
Inspection made: building unknocked yet.</t>
  </si>
  <si>
    <t>金寶大廈</t>
  </si>
  <si>
    <t>Yip Fat Street</t>
  </si>
  <si>
    <t>25+5 carpark</t>
  </si>
  <si>
    <t>50 Wong Chuk Hang Road</t>
  </si>
  <si>
    <t>啟華樓 &amp; 明發大廈 (existing)</t>
  </si>
  <si>
    <t>68-76 Wellington Street (Kai Wah Building &amp; Ming Fat Building redevelopment)</t>
  </si>
  <si>
    <t>68-76</t>
  </si>
  <si>
    <t>Wellington Street</t>
  </si>
  <si>
    <t>Top Bonus Enterprises Ltd</t>
  </si>
  <si>
    <t xml:space="preserve">Sep 2011 (Cynthia): CN asked Matthew Hon and Oscar to see if they have a contact at Top Bonus or know of another name or its subsidiary company as its listed as dissolved under company search.
Aug 2011 (Cynthia): Existing Ming Fat building unknocked yet, diagonally opp Tsui Wah local café, surrounded by fashion retailers, Existing tenants still occupying the building.  CN liaising with IP and Industrial to get a landlord contact. </t>
  </si>
  <si>
    <t>10</t>
  </si>
  <si>
    <t>H8</t>
  </si>
  <si>
    <t>8</t>
  </si>
  <si>
    <t>Hau Fook Street</t>
  </si>
  <si>
    <t>CSI Group</t>
  </si>
  <si>
    <t>"Ginza Style" multi-purpose commercial building, mostly retail (mainly F&amp;B)</t>
  </si>
  <si>
    <t>Contact: 2118 2118
Aug 2011 (Cynthia): No plans to knock down and rebuild for at least the next 3 years.</t>
  </si>
  <si>
    <t>26 Des Voeux Road Central (Wing On Central Building redevelopment)</t>
  </si>
  <si>
    <t>Kai Tak</t>
  </si>
  <si>
    <t>Planning Department</t>
  </si>
  <si>
    <t>218 Gloucester Road</t>
  </si>
  <si>
    <t>218</t>
  </si>
  <si>
    <t>Gloucester Road</t>
  </si>
  <si>
    <t>29+1 LG lv</t>
  </si>
  <si>
    <t>Wideland International Ltd</t>
  </si>
  <si>
    <t>very small/ Retail
J&amp;G Surveyor Ltd Tel:81044668</t>
  </si>
  <si>
    <t>103-107 Wellington Street &amp; 152 Queen's Road Central</t>
  </si>
  <si>
    <t>103-107</t>
  </si>
  <si>
    <t>Wellington Street &amp; 152 Queen's Road Central</t>
  </si>
  <si>
    <t>Fully HK Holdings Ltd</t>
  </si>
  <si>
    <t>Stanley 11</t>
  </si>
  <si>
    <t>5-11</t>
  </si>
  <si>
    <t>Tak Shing Investment Co Ltd</t>
  </si>
  <si>
    <t>Ginza-style retail building (mostly restaurant tenants)</t>
  </si>
  <si>
    <t>明發大廈 (existing)</t>
  </si>
  <si>
    <t>72-74 Wellington Street (Ming Fat Building redevelopment)</t>
  </si>
  <si>
    <t>72-74</t>
  </si>
  <si>
    <t>Philip Development Ltd</t>
  </si>
  <si>
    <t>16 Hart Avenue</t>
  </si>
  <si>
    <t>16</t>
  </si>
  <si>
    <t>Hart Avenue</t>
  </si>
  <si>
    <t>Cheong Ming Investment Co Ltd</t>
  </si>
  <si>
    <t>Sep 2011: OS to check whether it's office, retail, or serviced apartment
near the Masterpiece</t>
  </si>
  <si>
    <t>Serviced Apartment</t>
  </si>
  <si>
    <t>17-19 Ashley Road</t>
  </si>
  <si>
    <t>17-19</t>
  </si>
  <si>
    <t>Ashley Road</t>
  </si>
  <si>
    <t>Leung Lee Kwai Fong (CSI Group?)</t>
  </si>
  <si>
    <t>Sep 2011: Sam (OS) - it will be serviced apartment, should be CSI. CBRE to clarify the new landlord's intentions. Anything on Ashley Road should be serviced apartments/hotels/retail
(major revision)</t>
  </si>
  <si>
    <t>10 Prat</t>
  </si>
  <si>
    <t>Prat Avenue</t>
  </si>
  <si>
    <t>13+1 basement</t>
  </si>
  <si>
    <t>Thousand Policy Ltd</t>
  </si>
  <si>
    <t>semi-retail?</t>
  </si>
  <si>
    <t>昌盛大廈</t>
  </si>
  <si>
    <t>C S Tower</t>
  </si>
  <si>
    <t>50-54</t>
  </si>
  <si>
    <t>Wing Lok Street</t>
  </si>
  <si>
    <t>Cheong Shing Properties Ltd</t>
  </si>
  <si>
    <t>C Wisdom Centre</t>
  </si>
  <si>
    <t>35-37</t>
  </si>
  <si>
    <t>Hollywood Road</t>
  </si>
  <si>
    <t>Profit Surplus Ltd</t>
  </si>
  <si>
    <t>2008-09 (27/8/08) &amp; 2010-11 Budget Proposal (24/2/10)</t>
  </si>
  <si>
    <t>BLINK</t>
  </si>
  <si>
    <t>109-111</t>
  </si>
  <si>
    <t>Bonham Strand</t>
  </si>
  <si>
    <t>On Wealth Ltd (K. Wah Real Estates)</t>
  </si>
  <si>
    <t>Mody House</t>
  </si>
  <si>
    <t>30</t>
  </si>
  <si>
    <t>Mody Road</t>
  </si>
  <si>
    <t>Kingsburg International Development Ltd</t>
  </si>
  <si>
    <t>just opposite to the Masterpiece</t>
  </si>
  <si>
    <t>Central Harbour Reclamation Site 5 (North of Citic Tower)</t>
  </si>
  <si>
    <t>Central Harbour Reclamation Site 5</t>
  </si>
  <si>
    <t>Chung Kong Road</t>
  </si>
  <si>
    <t>IL 8998</t>
  </si>
  <si>
    <t>8-10 Wong Chuk Hang Road</t>
  </si>
  <si>
    <t>嘉雲中心 (existing)</t>
  </si>
  <si>
    <t>Cavendish Centre (existing)</t>
  </si>
  <si>
    <t>Yip Kan Street</t>
  </si>
  <si>
    <t>保濟工業大廈 (existing)</t>
  </si>
  <si>
    <t>Po Chai Industrial Building (existing)</t>
  </si>
  <si>
    <t>Aug 2011 (Cynthia): Potential only. No plans submitted.</t>
  </si>
  <si>
    <t>42+4 basement</t>
  </si>
  <si>
    <t>Hysan Place</t>
  </si>
  <si>
    <t>CCB Tower</t>
  </si>
  <si>
    <t>28 Hennessy Road</t>
  </si>
  <si>
    <t>LHT Tower</t>
  </si>
  <si>
    <t>50 Connaught Road Central</t>
  </si>
  <si>
    <t>May 2012: sold to Agricultural Bank of China for $4.88 billion. Deal done by Colliers.</t>
  </si>
  <si>
    <t>SHKP: http://202.85.145.73/en/scripts/about/about_upcoming40.php</t>
  </si>
  <si>
    <t>46 Tsun Yip Street (Choy Lee Industrial Building redevelopment)</t>
  </si>
  <si>
    <t>Ming Pao</t>
  </si>
  <si>
    <t>Glorious Sun Group</t>
  </si>
  <si>
    <t>King Palace Plaza (55 King Yip Street)</t>
  </si>
  <si>
    <t>27Sep2011 (HKET): "already sold around 210,000 sf (69%), worth around $1.3 billion, almost $7,000 psf"
Sep 2011: Sam (OS) - over 70% has been sold. "King of the King/王上王" bought 3 floors and will most likely get naming rights. 
The-Sun (17Aug2010): Billion pays HK$260.9Mn premium for converting the land use from industrial to commercial</t>
  </si>
  <si>
    <t>8 Queen's Road East</t>
  </si>
  <si>
    <t>May 2012 (Ian): "the Generali deal to take the whole of 8QRE is complete.  Rental HK$50 per sf effective, long lease term (apologies do not know exact).  C&amp;W advised Generali. The two other parties who were interested have now turned their attention to 28HR.  "
Feb 2012 (James): "8QRC is delayed and likely to be completed until Jan 2013"
Aug 2011 (Cynthia): Major refurb due for completion in Q3 2012. Building rename to 8 Queens Road East.</t>
  </si>
  <si>
    <t>One Pacific Centre (414 Kwun Tong Road)</t>
  </si>
  <si>
    <t>Sundart international Holdings</t>
  </si>
  <si>
    <t>Chung Kong Road (Sheung Wan Bus Terminus site adjacent to Shun Tak Centre)</t>
  </si>
  <si>
    <t>No Plans submitted, potential site only.  Bus station land between Shun Tak Ctr and Fire Station.
HKET/HKEJ (6May2010): The Planning Department recommend the plot ratio to revise down to 11x. The GFA after revision will be 722,264 sf, where portion for office &amp; retail will be 81%, ie 585,000 sf.</t>
  </si>
  <si>
    <t>招商局置業大廈 (existing)</t>
  </si>
  <si>
    <t>China Merchants Commercial Building (existing)</t>
  </si>
  <si>
    <t>Commercial and conversion works to existing building</t>
  </si>
  <si>
    <t>19+3 basement</t>
  </si>
  <si>
    <t>(All)</t>
  </si>
  <si>
    <t>Grand Total</t>
  </si>
  <si>
    <t>南源商業大廈 (existing)</t>
  </si>
  <si>
    <t>鹽業商業大廈 (former)</t>
  </si>
  <si>
    <t>15-16</t>
  </si>
  <si>
    <t>Connaught Road West &amp; 29-31 New Martket Street</t>
  </si>
  <si>
    <t>Aug 2011 (Cynthia): Retail section major refurb  including office lobby and washroom will be re-opened / completed by end of 2011, office section will not commence until at least 2015.
Leighton centre willl start renovations this year and the company is in negotiations with tenants there. Source: The Standard March 11,2010 / Aug2011: Renovation of the retail podium in progress</t>
  </si>
  <si>
    <t>Aug 2011 (Cynthia): Building just completed, leasing now. JLL appointed as leasing agent.
one block from Times Square</t>
  </si>
  <si>
    <t>Soundwill Contact: Gloria Kwok : 8202 2608
Dec 2011 (SCMP): Soundwill has a 148,800 sq ft "Ginza-style" commercial project in mind for its site at 1-29 Tang Lung Street, one block from Hysan Place. The project is due for completion in 2013. 
Sep 2011 (Cynthia): Gloria advised they are still deciding between retail and office.  At foundation stage now.
Aug 2011 (Cynthia):  At foundation stage, semi retail &amp; office.
Ginza Style Project (similar to Soundwill Plaza)
Soundwill Co hp: It is intended to be developed into a trendy dining and entertainment complex as a mecca for gourmets and trendsetters in town. The hall of fame in the fashion world will be invited to move in to add to the appeal of the complex, which is expected to offer a total gross floor area of around 110,000 square feet.</t>
  </si>
  <si>
    <t>Sep2011 (Cynthia): liaised with Oscar to see if he/his team has a contact to build relationship with the developer/LL.
Developer Contact: 2589 3691.
Sep 2011 (Cynthia): Bare site, building permit / notice to be issued in 2 months then commence works on site. 
semi-retail?
Demolition issued on June 2010</t>
  </si>
  <si>
    <t>This is where Forever 21 have opened flagship store.</t>
  </si>
  <si>
    <t>Developer Contact: 2810 7976
New planned was approved in Nov 2010 for 68-76 Wellington Street.</t>
  </si>
  <si>
    <t>Developer Contact: 2827 1778
Sep 2011 (Cynthia): At excavation stage.  Located on the first small lane to the left of the LKF slope from Marks &amp; Spencer.
Demolition Issued on May 2010</t>
  </si>
  <si>
    <t>Completed.
Developer Contact: 2868 2082
semi-retail?
Demolition issued on June 2010</t>
  </si>
  <si>
    <t>Sep2011: going to be more social/recreational area
Aug 2011 (Cynthia): No official programme indicated / announced.  Outisde GPO, in front of ferry pier.
See final report page 53: No office is planned. Site 2 Total Area: 58,000 sm (including 48,800 sm for office; 5,600 sm for retail, 3,600 sm for bus terminus)/ The Bldg Limit has been lowered from 132.7mPD to 65mPD in the Policy Address 2009, may only for retail &amp; recreation use and have no office</t>
  </si>
  <si>
    <t>Aug 2011 (Cynthia): Tender closing date was 21 Aug 2011.  
No official programme yet/ From the OZP S/H8/21, max office area is 18,180 sm
LandsD: Max total GFA: 70200sm; Hotel not less than 30000sm; not more than 3000sm for retail; not more than 18180 sm for office</t>
  </si>
  <si>
    <t>18Oct2011: - Henderson has sold a total of four floors of E-Trade Plaza (東貿廣場), its new grade A office project at Lee Chung Street (利眾街) in Chai Wan, for a total of HK$200m. 
- The transactions involve the top duplex floors (35 – 36/F) with total GFA of 13,656 sq.ft. being sold for HK$114m or HK$8,420/sq.ft. and set the highest per sq.ft. price record for the property.
- The project has 26 storeys (1/F – 5/F car parks, 6/F – 36/F office) and total GFA is 200,000 sq.ft. (each office floor is about 7,700 sq.ft.). It is expected to be completed in Q4 2012.
Sep 2011: Cynthia (OS) &amp; Matt (Industrial): Building exp to complete around Q4 2012,  building to be for sale. Currently building on 10th floor.
Developer Contact: 2908 8888</t>
  </si>
  <si>
    <t>Aug 2011 (Cynthia): Potential only. No plans submitted. 
Industrial building owned by Hutchison for lease</t>
  </si>
  <si>
    <t>Sep2011: no immediate plans, uncertain
Aug 2011 (Cynthia): No Plans submiited, potential only. Located next to Shun Tak Ctr.
GFA estimated by CBRE Research on 23 June 2011</t>
  </si>
  <si>
    <t>Sep 2011 (Cynthia): CN liaised with Oscar to see if he has a contact there.
Sep 2011 (Cynthia): Getting rebuilt, to be completed around Q1, 2013.
may be semi-retail</t>
  </si>
  <si>
    <t>Sep 2011 (Cynthia): CN liaised with Oscar to see if he has a contact with the developer/LL.
Sep 2011 (Cynthia):  At foundation building stage.  Located a block down from Cosco Tower. Neighbours include stamp shops, local chinese heritage furniture and design stalls.
(major revision)/ The site is very narrow</t>
  </si>
  <si>
    <t>嘉匯商業中心</t>
  </si>
  <si>
    <t>Skyline Commercial Centre refurbishment</t>
  </si>
  <si>
    <t>Wong Lok Street</t>
  </si>
  <si>
    <t>Pamfleet &amp; MT</t>
  </si>
  <si>
    <t>Pamfleet</t>
  </si>
  <si>
    <t>June2012: (Pamfleet Website) It is a 25-storey commercial building with gross area of approx. 47,819 square feet. There are 2 retail shops on the ground floor, and each typical office floor with flexible layout, while some provide stunning seaview.
Pamfleet Group was appointed in June 2011 to undertake the asset management of Skyline Commercial Centre.</t>
  </si>
  <si>
    <t>181 Hoi Bun Road</t>
  </si>
  <si>
    <t>Jun 2012: Retail
Sep 2011: JD (OS) - landlord tried to sell it previously, don’t think they would do anything with it.</t>
  </si>
  <si>
    <t>14-16 Hankow Road (Mohan's Building redevelopment)</t>
  </si>
  <si>
    <t>Hysan Contact: Stanley Leung: 2830 5755 / Yuki Sam: 6687 9501 / 2895 5777.
Jun 2012: They are still leasing space.
Aug 2011 (Cynthia): No immediate plans at this stage. 
No confirmed schedule yet (Sing Tao 22/5/2009)</t>
  </si>
  <si>
    <t>WONG King Yuen (China Merchants)</t>
  </si>
  <si>
    <t>Jun 2012: They are keen to redevelop building.</t>
  </si>
  <si>
    <t>Jun 2012: Hotel?
May 2012 (Ming Pao): related party of Glorious Sun Group bought 1-3/F ($66.3m) &amp; 4-5/F $40m to own over 80% of the building and eligible for redevelopment.</t>
  </si>
  <si>
    <t>Aug 2012 (James): Swire confirm that OP for 28 HR has now been granted (late July)
May 2012 (Ian): "the Generali deal to take the whole of 8QRE is complete. The two other parties who were interested have now turned their attention to 28HR.  Should know next month if either will proceed.  Would mean circa half the building is leased if one does. I believe the average targeting rental for the building is HK$66.66 psf"
Aug 2011:  Building to be completed around Q2 2012.  Low to Top zone levels are built.
Approval record of changing the land use at the Planning Department on November 2008 (http://www.ozp.tpb.gov.hk/doc/apply/H5_377_tc.pdf).
(Feb 09: Plan w/ 2-12 Anton Street,  1-11 Landale Street - GFA of 279202 sf)</t>
  </si>
  <si>
    <t>Space available for lease (Usable FA) (sf)</t>
  </si>
  <si>
    <t>180 Wai Yip Street (2nd phase of 181 Hoi Bun Road)</t>
  </si>
  <si>
    <t>Pre-leased/self-use space (Usable FA) (sf)</t>
  </si>
  <si>
    <t>Environment (1-5)</t>
  </si>
  <si>
    <t>Location (1-5)</t>
  </si>
  <si>
    <t>Size (1-5)</t>
  </si>
  <si>
    <t>Access (1-5)</t>
  </si>
  <si>
    <t>Services (1-5)</t>
  </si>
  <si>
    <t>Total Score (0-25)</t>
  </si>
  <si>
    <t>Rykaden Capital Tower (135 Hoi Bun Road)</t>
  </si>
  <si>
    <t>Oct 2012: Rocky - The landlord is still getting the presale consent from the Government. It is expected to be granted by end of this month. The initial asking for low and mid zone is ranging from HK$7,000psfg to HK$8,000psfg.
Oct 2011: Rocky (OS) - Sundart paid HK$386.5M (HK$1,867psf for 207,000sf) land premium to change it to office use.
Sep 2011: Sam (OS) - building demolished 1-2 months ago, now a bare site
May 2011: Demolition issued</t>
  </si>
  <si>
    <t>61+4 basement</t>
  </si>
  <si>
    <t>For Sale or For Lease?</t>
  </si>
  <si>
    <t>For Sale</t>
  </si>
  <si>
    <t>For Lease</t>
  </si>
  <si>
    <t>Hong Kong Pacific Investments Limited</t>
  </si>
  <si>
    <t>Dec 2012 (MP): OP issued
Dec2011 (JD) OP expected March 2012.
Oct 2011 (JD): mtg with LL completion expected CNY 2012.  Tenant mix will be similar to Crocodile Centre, ie. semi-retail; next to MC5
Apr 2011 (Mark Palmer): Likely to be majority retail like Crocodile Centre. Yet to be confirmed, most likely lease, possible sale.</t>
  </si>
  <si>
    <t>Jan 2013 (Ian): space totals 170,000 sq ft lettable.  The amount of space that was originally available for lease was 73,162 sq ft and there is currently 51,419 sq ft available.  Efficiency is approximately 87%.
Jul 2012: James (OS) - CCB, as the tenant would take up portions of the building for its own use and now, 15/F up to 27/F (excluding 17/F-Refuge Floor and 18/F-Mechanical Floor) would be put up on market for leasing. 
Mar 2012 (Ian): Floor plates 8 – 11,000 sq ft Gross; Quoted efficiency a little over 80%; Lift lobby located on 3rd floor; Banking Hall on the ground floor similar to Bank of China Building; 37 Car Parking Spaces; OP expected by end of August 2012; Connection to the MTR will open 2013 Q1
Sep2011: CCB have leased half of the building and have the option to lease rest of the building.
Contact: Julius Lau (2741 0391)</t>
  </si>
  <si>
    <t>Kowloon Commerce Centre Tower B</t>
  </si>
  <si>
    <t>25+7 podium</t>
  </si>
  <si>
    <t>Kowloon Commerce Centre Tower A</t>
  </si>
  <si>
    <t>31+4 basement</t>
  </si>
  <si>
    <t>Sun Hung Kai Properties (64.3%)/ Wong's International</t>
  </si>
  <si>
    <t>KTIL 240</t>
  </si>
  <si>
    <t>Tsim Sha Tsui East</t>
  </si>
  <si>
    <t>Shek Mun</t>
  </si>
  <si>
    <t>K Wah Group</t>
  </si>
  <si>
    <t>Jan 2013 (Ming Pao): K. Wah is looking to pre-sell the unfinished units as soon as after CNY. Floor plate of approx. 18,000 sf, and scheduled to be completed in Q3 2014. The tentative price is around $10,000 psf 
Sep 2011: Sam (OS) - highly unlikely to be office, existing use is industrial. Need to check with Darren Benson.</t>
  </si>
  <si>
    <t>Feb 2013 (Troy): 3 of the 6 buildings are expected to have their OP in Q1 2014. Construction is up to level 6 (out of 8) 
Sep 2011 (JD): Phase 3, should be around 1.2 million sf completed between 2013-2015 composed of mutiple buildings. Need to check for more info.</t>
  </si>
  <si>
    <t>TBC</t>
  </si>
  <si>
    <t>AIL 462</t>
  </si>
  <si>
    <t>NKIL 6410</t>
  </si>
  <si>
    <t>KTIL 761</t>
  </si>
  <si>
    <t>NKIL 6512</t>
  </si>
  <si>
    <t>Sunning Plaza &amp; Sunning Court redevelopment</t>
  </si>
  <si>
    <t>Developer Contact: Steve Tse 2908 8380/ 2909 8543)
Mar 2013: The pre-sale consent of the office project of Henderson will be issue soon with indicative price of $10,000 psf on strata-basis, but can also try en-bloc.
Aug 2011 (Cynthia):met with Steve from henderson, he advised Q1 2014 completion.  Approx 32 floors.  Currently at the stage of getting design approvals.
Aug 2011 - Marcus (OS): This is possibly for sale.
HKET(16Dec2010): LandsD has annouced the land premium has paid by the developers of $100.18M, or $467 psf for lease modification from industrial to commercial use. The developers have submitted the plan as early as 2001 for developing a 24-storeys commercial bldgs with GFA 214.5k sf.</t>
  </si>
  <si>
    <t>Nov 2012: demolition on the existing industrial building issued in November 2012.
Aug 2011 (Cynthia): Matthew Hon (Industrial) has good contact with landlord, no plans to redevelop yet, just submit plans to save future waiver costs.
Inspection made: building unknocked yet.</t>
  </si>
  <si>
    <t>Mar 2013: alreadt fitting curtain wall
Jun 2012: Sam &amp; JD (OS) - SHK will now entertain en-bloc purchase; now up to 12th floor; Phase 1 development will be slightly bigger than C-Bon, both site GFA and typical floor area.  At this stage, assume a typical floor area of 18,700 sq ft GROSS which is 10% bigger than C-Bon.  For site GFA assume 340,000 sq ft GROSS.  
Not sure about the ownership structure of the development but likely this will be JV between SHK and Wongs.
Feb 2012: Construction started
Sep 2011: Sam (OS) - need to check which part SHKP &amp; Wong's are responsible for. Now building is standing on Wong's part, while bare site is on SHKP's part. Right now, no information could be released from SHKP.
Originally owned by Jebsen Properties but was sold to a local industrialist at 127.8 million or 413 psf a.v..  The buyer is considering to redevelop the site into a commercial bldg to serve as the headquarter of his production business
(Early 2010) Land Premium: $270.4M; (2007) SHKP acquired the Ind Bldg for $345M</t>
  </si>
  <si>
    <t>Hong Kong Pacific [Tony Lau Hon-chung (Golden Harvest)]</t>
  </si>
  <si>
    <t>Mong Kok</t>
  </si>
  <si>
    <t>KIL 11235</t>
  </si>
  <si>
    <t>Sai Yee Street</t>
  </si>
  <si>
    <t>Hong Kong Science Park (Phase 3 Part 1)</t>
  </si>
  <si>
    <t>R&amp;D Office</t>
  </si>
  <si>
    <t>Hong Kong Science Park (Phase 3 Part 2)</t>
  </si>
  <si>
    <t>Hong Kong Science Park (Phase 3 Part 3)</t>
  </si>
  <si>
    <t>Queensway Plaza redevelopment</t>
  </si>
  <si>
    <t>One Bay East</t>
  </si>
  <si>
    <t>14-30 King Wah Road (Asia Cold Storage Site redevelopment)</t>
  </si>
  <si>
    <t>May 2013: demolition issued in March 2013.
Feb 2013: Chinachame: "we are in the process of demolishing and redeveloping.  The two Wing On buildings “frame” the Liu Chong Hing Bank building.  Long ago, there were talks between Mrs Wang and the Liu’s about cooperating to redevelop the whole site, but that was before the Bank built its own new building.  Its CEO, Mr Liu, told me recently that this was because he couldn’t come to terms with Mrs Wang"
Feb 2013 (Roy): looks to be getting ready for demolition
Jun 2012 (Ian): Looks like a fully occupied building, Physical Fitness on lower four floors and office space above. This site and 22 &amp; 22A DVRC site are separated by Chon Hing Bank Centre.
Sep2011: No immediate plans
Contact: Doug Chiu 2368 4968 / Gipsy 2739 8811
Aug 2011 (Cynthia): Indefinite development program at this stage, will not touch for next 3 years.
SCMP 31Oct09: Asian Hse, covering 21, 000sf of site area, will have a GFA of about 300,000 sf. Ng said the est redevelopment cost would be &gt;HK$1 Bn [In the same article also mentioned the redevelopment of Wing On Life Bldg (22 Connaught Rd C) GFA will be increased from 50k sf to &gt;80k sf, redev cost ~HK$500 Mn]</t>
  </si>
  <si>
    <t>2/15+2 basement</t>
  </si>
  <si>
    <t>52-56 Tsun Yip Street</t>
  </si>
  <si>
    <t>Jun 2013: JLL are sole leasing agent.
Contact: Peter Hsiao 3608 6128
Mar 2013: Bank of East Asia could take 1 retail floor and 1 or 2 office floor, but not yet confirmed.
Feb 2013 (Roy): superstructure seems to be done up to top level, the hoarding says completion for 2013.
Jun 2012 (Ian): Clear site with work currently being undertaken on basement level.  Will ask Gerry to see if he can find out more details through a contact he has.
Sep 2011 (Cynthia): TAGRET TO BUILD CRM FOR FUTURE PITCHING.  Cynthia called and left msg for Peter to call back.
Sep 2011 (Cynthia): getting rebuilt on low zone, will be completed around Q1, 2013.
2006/8/16 Sing Tao Daily 東 亞 銀 行 所 持 的 中 環 中 國 聯 合 銀 行 大 廈 四 分 之 三 業 權 ， 消 息 人 士 指 本 周 末 、 下 周 初 將 正 式 揭 盅 ， 預 料 交 易 涉 資 約 五 億 元 ， 平 均 呎 價 約 七 千 八 百 元 ， 據 了 解 ， 發 展 商 莊 士 機 構 及 有 關 人 士 可 望 「 爆 冷 門 」 ， 壓 倒 現 持 有 該 廈 其 餘 四 分 之 一 業 權 的 「 奪 標 大 熱 」 陳 姓 資 深 投 資 者 及 有 關 人 士 。 本 報 昨 日 致 電 負 責 標 售 的 仲 量 聯 行 查 詢 ， 惟 截 稿 前 還 沒 有 聯 絡 上 。 不 過 ， 昨 日 市 場 傳 聞 ， 資 本 策 略 及 有 關 人 士 以 約 五 億 一 千 萬 元 購 入 該 物 業 。
http://www.singtao.com/archive/fullstory.asp?andor=or&amp;year1=2006&amp;month1=8&amp;day1=16&amp;year2=2006&amp;month2=8&amp;day2=16&amp;category=all&amp;id=20060816h09&amp;keyword1=&amp;keyword2=
MingPao (26May2010): 東亞發言人表示, 公司是1995年購入該物業, 物業有16層, 樓面主要以自用為主, 部分樓面分租出去, 重建後主要都會作自用.
HKET (26May2010): 2006年, 東亞銀行當時持有該廈四分三業權, 並推出標售, 當時市值約4.3億元, 吸引多個有
興趣買家入標. 但業主最終收回物業, 並統一業權.</t>
  </si>
  <si>
    <t>Jun 2013: scaffolding coming off, should get OP in Oct.
Jan 2013: Lands Department offered land premium of $5,000. Billion will likely appeal.
Dec 2012 (Sing Tao): The developer said it was not in talks with the government on the land premium of the office tower project on No 6 Wang Kwong Road, Kowloon Bay. The psf price might exceed HK$3,000.
Nov 2012 (Rocky): Spoken with Billion last week, they still haven’t agree the final amount of land premium with the government therefore no indicated price available yet. However, they will not apply for pre-sale consent on this property. Thus, this property will not be ready for sale before OP. Their expected OP is in Q3 2013.
Aug 2012 (JD): half way up already
Feb 2012: Foundation done, but Henderson wants to sell adjacent building first
Sep 2011: Sam (OS) - building demolished. / JD (OS): land premium only HK$2,200 psf, so they will most likely accept. Approximately 300,000 sq ft on track for Q3 2013.
Apple (25/8/09): 億京斥2.9億購入九龍灣工廈/ 未補地價/ Est PR=15x. Sam Li (7 Jun 2011):Demolition of old building in progress                                            Opposite Billion Centre (1 Wang Kwong Road)</t>
  </si>
  <si>
    <t>Jun 2013: one of their operations will move to Tuen Mun.</t>
  </si>
  <si>
    <t>Kwai Fong</t>
  </si>
  <si>
    <t>Gaw Capital</t>
  </si>
  <si>
    <t>Revitalization</t>
  </si>
  <si>
    <t>Campbell Group</t>
  </si>
  <si>
    <t>73-75</t>
  </si>
  <si>
    <t>KTIL 294</t>
  </si>
  <si>
    <t>Jun 2013: The proposed scheme has been approved by the government in May 2012. The conversion works will start in 2nd quarter of 2013, and completion is expected by the middle of 2014.</t>
  </si>
  <si>
    <t>33 Tseuk Luk Street (Hip Lik Building redevelopment)</t>
  </si>
  <si>
    <t>Part of CBD2 government site</t>
  </si>
  <si>
    <t>10 Shing Yip Street</t>
  </si>
  <si>
    <t>Pioneer Global Group Limited (Gaw)</t>
  </si>
  <si>
    <t>133 Wai Yip Street (Cheung Fai Industrial Building revitalization)</t>
  </si>
  <si>
    <t>KTIL 417</t>
  </si>
  <si>
    <t>Jun 2013 (Rocky): The revitalization work will be commenced in mid of 2014 and target completion is end of 2015.</t>
  </si>
  <si>
    <t>Casey Co Ltd (Cheung Kong?)</t>
  </si>
  <si>
    <t>J/O On Kwan Street &amp; On Yiu Street, Shek Mun</t>
  </si>
  <si>
    <t>J/O On Kwan Street and On Lai Street, Shek Mun</t>
  </si>
  <si>
    <t>Central Mansion redevelopment</t>
  </si>
  <si>
    <t>Sep 2013: from HKLand website "The Forum commenced redevelopment in Dec 2011. The new Forum will be a 7-storey building, 5 of which are designed for office use. Inspired by crystal formations, the new Forum is designed to resemble a cut gemstone nestled within natural surroundings, and the plaza includes a landscaped roof garden, stepped terraces and fountains as well as sculptures by celebrated artists such as Henry Moore, Ju Ming and Dame Elisabeth Frink. The Forum redevelopment, including the plaza area, is scheduled for completion in early 2014."
Feb2012: Demolition issued
Jan2012: The entire building is pre-let to Standard Chartered, The lowest floor (1st) and the 2nd floor is planned for retail BANKING use and the 3rd, 4th and 5th floors for SCB’s Wealth Management business though this is not yet confirmed. The entire development is OFFICE use, not retail.
Dec2012: “ Hongkong Land announced details of its plans for the HK$560 million (US$72 million) redevelopment of The Forum. It will be a 7-storey building, five of which are designed for office use. It will have a total GFA of some 48,000 sq. ft, approximately 15% larger than the current building. The redeveloped Forum is designed to achieve the highest possible environmental rating.”</t>
  </si>
  <si>
    <t>Exchange Square - The Forum</t>
  </si>
  <si>
    <t>Leighton Centre redevelopment</t>
  </si>
  <si>
    <t>Crawford House redevelopment</t>
  </si>
  <si>
    <t>Junction of Hang Yip Street, Wai Yip Street and Kwun Tong Road</t>
  </si>
  <si>
    <t>Nov 2013: (SCMP) SHKP will convert the industrial building into a 10-storey "Ginza-style" (vertical) mall with different shopping themes on each floor.
The 100,000 sq ft mall will feature a glass curtain wall and open terraces. New lifts and escalators will be installed.
A pedestrian bridge will link the mall to the Kwai Hing MTR Station and KCC.
Oct 2011: (HKET) - Luen Tai Industrial Bldg in Kwai Hing will be revitalized as a center with shops and restaurants. Construction will start early next year and be completed by 2013. 
Sep 2011: JD/Sam (OS) - no plans to redevelop. Possibly retail/refurbishment.
(綜合報道)(星島日報報道)工廈活化政策令工貿物業有價有市，吸引大型發展商亦分一杯羹，消息人士指，新地以約二億五千萬元，購入葵涌聯泰工業大廈全幢，由於該物業毗鄰旗下收租項目九龍貿易中心，有機會以天橋系統連接，故初步計畫保留現有物業並改裝為商廈或工貿大廈，將令物業價值大增。
聯泰工業大廈佔地一萬零六百五十方呎，總樓面約九萬六千九百方呎</t>
  </si>
  <si>
    <t>403-413 Castle Peak Rd</t>
  </si>
  <si>
    <t>403-413</t>
  </si>
  <si>
    <t>22+2 basement</t>
  </si>
  <si>
    <t>Works Received</t>
  </si>
  <si>
    <t>http://billion.hk/403castlepeakroad/cprmain.html#</t>
  </si>
  <si>
    <t>Pioneer Place</t>
  </si>
  <si>
    <t>33 Des Voeux Road Central</t>
  </si>
  <si>
    <t>Mapletree</t>
  </si>
  <si>
    <t>Row Labels</t>
  </si>
  <si>
    <t>Swire</t>
  </si>
  <si>
    <t>KC100 (The General Garment Building revitalization)</t>
  </si>
  <si>
    <t>The Octagon (2-6 Sha Tsui Road)</t>
  </si>
  <si>
    <t>KOHO</t>
  </si>
  <si>
    <t>Goldin Financial Global Centre</t>
  </si>
  <si>
    <t>650 Cheung Sha Wan Road (Post Office)</t>
  </si>
  <si>
    <t>Argyle Street Waterworks Depot redevelopment</t>
  </si>
  <si>
    <t>10 Jan 2014: Ian met with Chinachem CEO &amp; COO.  There will be two office buildings 22 &amp; 26 Des Voeux Rd Central.  with Retail Podium
Aug 2013 (Ian &amp; Alan): Chinachem confirmed this will be retail.
Feb 2013: Chinachame: "The two Wing On buildings “frame” the Liu Chong Hing Bank building.  Long ago, there were talks between Mrs Wang and the Liu’s about cooperating to redevelop the whole site, but that was before the Bank built its own new building.  Its CEO, Mr Liu, told me recently that this was because he couldn’t come to terms with Mrs Wang"
Feb 2013 (Roy): bare site
Jun 2012 (Ian): Demolished, currently clear site to ground level, no sign of any work at present. This site and 26 DVRC site are separated by Chon Hing Bank Centre.
Sep 2011 (Cynthia): CN asked Oscar if he knows anyone well at Chinachem that he could introduce.
Aug 2011 (Cynthia): Existing building is vacant, commenced knocking down. Will be completed around Q2, 2015.
Demolition issued May 2011.
May2011: Demolition issued
Contact: Doug Chiu 2368 4968
SCMP 31Oct09: Asian Hse, covering 21, 000sf of site area, will have a GFA of about 300,000 sf. Ng said the est redevelopment cost would be &gt;HK$1 Bn [In the same article also mentioned the redevelopment of Wing On Life Bldg (22 Connaught Rd C) GFA will be increased from 50k sf to &gt;80k sf, redev cost ~HK$500 Mn]   /Right behing LHT Tower</t>
  </si>
  <si>
    <t>41 Heung Yip Road</t>
  </si>
  <si>
    <t>33+4 basement</t>
  </si>
  <si>
    <t>Nov 2013: Demoltion Issued
Sep 2011: OS - need to find out more, Henderson to purchase next to 555 Nathan Road and opposite to Kowloon Building.</t>
  </si>
  <si>
    <t>704-730 King's Road &amp; 201-227 Tsat Tsz Mui Road</t>
  </si>
  <si>
    <t>704-730</t>
  </si>
  <si>
    <t>King's Road &amp; Tsat Tsz Mui Road</t>
  </si>
  <si>
    <t>26+3 basement</t>
  </si>
  <si>
    <t>(Multiple Items)</t>
  </si>
  <si>
    <t>Midtown</t>
  </si>
  <si>
    <t>Decentralised Island</t>
  </si>
  <si>
    <t>Fringe Core (KLN)</t>
  </si>
  <si>
    <t>Decentralised Kowloon</t>
  </si>
  <si>
    <t>CBRE Grouped District</t>
  </si>
  <si>
    <t>Land sale programme 2014-15</t>
  </si>
  <si>
    <t>Land sale programme 2014-15 (rolled over from 2011-12)</t>
  </si>
  <si>
    <t xml:space="preserve">Feb 2014: Rolled over site from 2011-12 Land Sale Programme.  To be tendered second half of 2014/15
Sep 2011 (Cynthia):  No plans submitted at this stage.   Police Building is vacant already but the Police Hostel right opposite on Jaffe Rd has been completely knocked down already.  No recent updates from government.
Aug 2011 (Roy): For tender in December as Hotel/ Commercial/ Community and Cultural use with GFA of 40,989sf.
</t>
  </si>
  <si>
    <t>Feb 2014: Land Sale Programme 2014-15 (rolled over from 2011-12).</t>
  </si>
  <si>
    <t>Junction of Castle Peak Road and Kin Chuen Street</t>
  </si>
  <si>
    <t>KCTL 495</t>
  </si>
  <si>
    <t>Amending</t>
  </si>
  <si>
    <t>Rolled</t>
  </si>
  <si>
    <t>AIL 354</t>
  </si>
  <si>
    <t>The Sharp: Retail development
Developer Contact: 2817 1011
Sep 2011 (Cynthia): 
1-1A Yiu Wah - Residential building currently occupied.
11-13 Sharp St - Residential building vacant, but unknocked.
15-21 Sharp St - construction site, at foundation stage.</t>
  </si>
  <si>
    <t>The Sharp: Retail Development
Developer Contact: 2817 1011
Sep 2011 (Cynthia): 
1-1A Yiu Wah - Residential building currently occupied.
11-13 Sharp St - Residential building vacant, but unknocked.
15-21 Sharp St - construction site, at foundation stage.</t>
  </si>
  <si>
    <t>Mar 2014: Still under construction
Roy (Aug 2011): very small floorplate, maybe Serviced apartment or Retail</t>
  </si>
  <si>
    <t>Mar 2014: Still Under construction.
Aug 2011 (Cynthia): Existing building unknocked yet.  No company search available, asked Industrial and IP to see if they have info / contacts.
Roy (Aug 2011): very small floorplate, maybe Serviced apartment or Retail</t>
  </si>
  <si>
    <t>Mar 2013: Still under construction
Sep2011: foundation to begin after the Mid-Autumn Festival, 25 floors, around 2,000sf floor plate, according to the landlord.
Aug 2011 (Cynthia): Next to 50 CRC. Building knocked down.  Indefinite about rebuilding program.
between 50 Connaught Rd C &amp; HASE Headquarters.
Nov2010: appears to be preparing for renovation or redevelopment
Jan 2011: Ian Stewart spoked to Southland, they said that they expected to redevelop the building into new office within two years</t>
  </si>
  <si>
    <t>Caroline Hill Government Site Redevelopment</t>
  </si>
  <si>
    <t>Flatted factory in office style.  OP issued Aug 2013
http://www.billion.hk/3hoishingroad/</t>
  </si>
  <si>
    <t>Apr 2014: To be completed in May 2014 according to Billion online brochure.
Jun 2013: should get pre-sale consent this month.
Dec 2012 (Sing Tao): Billion has applied for pre-sale consent for the second phase of Billion Plaza, No 10 Cheung Yue Street, Cheung Sha Wan. It is expected that it would receive the approval in the first to the second quarter of next year. The indicative psf price is nearly HK$10,000.
Aug 2012 (JD): foundation stage
27Sep2011 (HKET): "Earliest Billion can release this project is 1H 2011, around $7,000 psf"
Sep 2011: JD (OS) - currently bare site and have started construction. OP is expected around Q3 2013 (latest from landlord).
Demolition Issued March 2011</t>
  </si>
  <si>
    <t xml:space="preserve">Pak Shek Kok, </t>
  </si>
  <si>
    <t>Yes</t>
  </si>
  <si>
    <t>Hong Kong Science Park</t>
  </si>
  <si>
    <t>TPTL 204</t>
  </si>
  <si>
    <t>2017 Q4</t>
  </si>
  <si>
    <t>9+1 basement</t>
  </si>
  <si>
    <t>To be confirmed</t>
  </si>
  <si>
    <t>23 Wong Chuk Hang Road</t>
  </si>
  <si>
    <t>Capital Universal Investment Ltd</t>
  </si>
  <si>
    <t>Day Bright Development Ltd</t>
  </si>
  <si>
    <t>Swire (50%) &amp; China Motor Bus (50%)</t>
  </si>
  <si>
    <t xml:space="preserve">28+3 basement </t>
  </si>
  <si>
    <t>KTIL 174</t>
  </si>
  <si>
    <t>26 + 2 basement</t>
  </si>
  <si>
    <t>Global Trade Square</t>
  </si>
  <si>
    <t>The Factory (Scomber Building redevelopment)</t>
  </si>
  <si>
    <t>Genesis Centre</t>
  </si>
  <si>
    <t>33-35</t>
  </si>
  <si>
    <t>Hip Shing Hong</t>
  </si>
  <si>
    <t>Collier's</t>
  </si>
  <si>
    <t>Jason (May 2014): Flatted factory, undergoing revialization for office-use.  Wholesale conversion</t>
  </si>
  <si>
    <t>One Harbour Gate (Junction of Hung Luen Road and Kin Wan Street, Hung Hom Bay Reclamation)</t>
  </si>
  <si>
    <t>First Group Holding</t>
  </si>
  <si>
    <t>May 2014: Marcos talked to Linda from SHKP and confirmed that the building is industrial rather than office</t>
  </si>
  <si>
    <t>680 Castle Peak Road</t>
  </si>
  <si>
    <t>New World Development/Chow Tai Fook</t>
  </si>
  <si>
    <t>8 Wang Kwong Road</t>
  </si>
  <si>
    <t>KHI Holdings</t>
  </si>
  <si>
    <t>Floor Plate (NFA) (sf)</t>
  </si>
  <si>
    <t>HKI Others</t>
  </si>
  <si>
    <t>Column Labels</t>
  </si>
  <si>
    <t>Completion year</t>
  </si>
  <si>
    <t>Project Name</t>
  </si>
  <si>
    <t>Comment / Information</t>
  </si>
  <si>
    <t>Date</t>
  </si>
  <si>
    <t>Source</t>
  </si>
  <si>
    <t>Changes made in supply list (if any)</t>
  </si>
  <si>
    <t xml:space="preserve">Billion paid land premium of around $2,700-$2,800. They will apply for pre-sale consent this month at the earliest. They may be approved and put up for sale in the third and the fourth quarter of next year. The indicative psf price is more than HK$10,000.
</t>
  </si>
  <si>
    <t>Sing Tao</t>
  </si>
  <si>
    <t xml:space="preserve">Foundation stage.
</t>
  </si>
  <si>
    <t xml:space="preserve">Land premium was approved at $3,400 psf, and will appeal.
</t>
  </si>
  <si>
    <t>They are appealing the land premium.</t>
  </si>
  <si>
    <t>OS</t>
  </si>
  <si>
    <t>Foundation done.</t>
  </si>
  <si>
    <t xml:space="preserve">Billion has paid land premium of around $2,700-$2,800 psf. They will apply for pre-sale consent this month at the earliest. They may be approved and put up for sale in the third and the fourth quarter of next year. The indicative psf price is more than HK$10,000.
</t>
  </si>
  <si>
    <t>Sing tao</t>
  </si>
  <si>
    <t>Delayed due to land premium issue. Clear site at the moment, no foundation.</t>
  </si>
  <si>
    <t>JD</t>
  </si>
  <si>
    <t>Demolished. Could be delayed subject to lease modification.</t>
  </si>
  <si>
    <t>Demolition issued in October.</t>
  </si>
  <si>
    <t>Roy</t>
  </si>
  <si>
    <t>Could be delayed from 2013 to 2014 Q1 earliest / Sam (OS) - developer appealing against land premium, if land premium is exceeds $3,000 psf, then they will only refurbish. Only scaffolding, no demolition works yet.</t>
  </si>
  <si>
    <t>JD (OS) / Sam (OS)</t>
  </si>
  <si>
    <t>Billion bought in Q3 2009 for $340m.</t>
  </si>
  <si>
    <t>Existing bldg: Trinity Textile Industrial Building (No demolition record from BD yet)</t>
  </si>
  <si>
    <t xml:space="preserve">K. Wah is looking to pre-sell the unfinished units as soon as after CNY. Floor plate of approx. 18,000 sf, and scheduled to be completed in Q3 2014. The tentative price is around $10,000 psf </t>
  </si>
  <si>
    <t>Highly unlikely to be office, existing use is industrial. Need to check with Darren Benson.</t>
  </si>
  <si>
    <t>Sam (OS)</t>
  </si>
  <si>
    <t>Office, for sale according to: http://opengov.jmsc.hku.hk/2013/07/02/office-booms-in-wong-chuk-hang/</t>
  </si>
  <si>
    <t>Opengov</t>
  </si>
  <si>
    <t>2012 AR: Commercial development, expected completion Mar 2015.
Hotel or Office???</t>
  </si>
  <si>
    <t>2012 AR</t>
  </si>
  <si>
    <t>Land premium paid for HKD 1.122 Billion, average premium psf = HKD 4,200 psf (~267,000 sqft)</t>
  </si>
  <si>
    <t>Demolished.</t>
  </si>
  <si>
    <t>To be sold on strata basis. Demolition issued November 2011.</t>
  </si>
  <si>
    <t>Demolition begun 1-2 months ago. Billion indicated that it could be delayed from 2013 to Q1 2014 at the earliest.</t>
  </si>
  <si>
    <t>JD (OS)</t>
  </si>
  <si>
    <t>133.72 HK$ Mn Land Premium paid for site. 809 HK$ psf.</t>
  </si>
  <si>
    <t>Foundation work done.</t>
  </si>
  <si>
    <t>Used to be 3 old residential buildings, likely to be a bare site at the moment. OS to investigate and to check it's usage.</t>
  </si>
  <si>
    <t xml:space="preserve">Demolished. Mixed-Use development; Estimated Total Project Costs US$545 million; Estimated GFA 230,000 sf; No. of Floors 23; Target Completion 3Q 2013; American architectural &amp; engineering firm, Skidmore, Owings &amp; Merrill (SOM) has been appointed as the design architect with Ronald LU &amp; Partners serving as the project architect. </t>
  </si>
  <si>
    <t>Phoenix website (http://www.ppinvestors.com/investments/?data=2)</t>
  </si>
  <si>
    <t>At present demolition is underway and property management is reviewing existing plans.  My contact does not expect the building to be completed until 2015+, maybe we put Q1 2016 to be safe.  Senior management is away at present therefore no further update until late August/early September when he will contact me again.</t>
  </si>
  <si>
    <t>Ian</t>
  </si>
  <si>
    <t>Cynthia follow up with Oscar to see if he has a contact at Phoenix.</t>
  </si>
  <si>
    <t>Developer Contact: 2589 3691, to continue to f/u.</t>
  </si>
  <si>
    <t>Residential building unknocked yet, currently occupied and one block down from World Trade. Ground floor retail tenants to move out end of this year.</t>
  </si>
  <si>
    <t>Cynthia</t>
  </si>
  <si>
    <t>Central Mansion occupies a site area of about 15,235 square feet. It will be redeveloped into a 230,000 sqft Ginza-style complex with shops, speciality restaurants and a grade A office tower.</t>
  </si>
  <si>
    <t>SCMP</t>
  </si>
  <si>
    <t>Bare site.</t>
  </si>
  <si>
    <t>Retail Space includes Basement, G/F &amp; 1/F  (all together around 20,000sf) 2/F - Bank Hall &amp; Main lobby 3-13/F &amp; 27-29/F reserved by the bank 15/F - 26/F office floor (approx. 5,000sf per floor); 4 passenger lifts + 1 disable lift; Architect: ROCCO; Target completion date: June 2015</t>
  </si>
  <si>
    <t>Demolition issued January 2012</t>
  </si>
  <si>
    <t>Contact: 2818 0281</t>
  </si>
  <si>
    <t>Ian advised This is being redeveloped for their own use however there may be a little amount of space available for lease.</t>
  </si>
  <si>
    <t>Building is vacant.  Workers onsite currently defitting interior, landlord will have final inspection in 2 mths time and then start knocking down.   Located opp Landmark (Gucci side)</t>
  </si>
  <si>
    <t>12 QRC bought in 2008 for 1.38B</t>
  </si>
  <si>
    <t>Plans to demolish the bldgs in 2011 and completion will be 2013-14</t>
  </si>
  <si>
    <t>Billion will build an office tower which has two to three floors of retail spaces and more than ten office space.</t>
  </si>
  <si>
    <t>Billion was the tender submitted for the site, for HK$828 million, HK$1,942 psf; price was below the low end of the market estimate of HK$830 million.</t>
  </si>
  <si>
    <t>Hong Kong - Wheelock Properties Limited (WPL) and Citi have signed a sale-and-purchase agreement for the East Tower at One Bay East at 83 Hoi Bun Road, Kowloon East for HK$5.425 billion, marking the largest ever en-bloc office transaction in Hong Kong. The 21-storey full seaview grade-A office tower, which is currently being developed by Wheelock Properties, totals approximately 512,000 square feet.</t>
  </si>
  <si>
    <t>Citibank</t>
  </si>
  <si>
    <t>Rod metioned Sep 2015</t>
  </si>
  <si>
    <t>Manulife (International) Limited have signed a sale-and-purchase agreement for One Bay East–West Tower at 83 Hoi Bun Road, Kowloon East for HK$4.5 billion (US$577 million), marking the largest single office tower purchase in Kowloon. One Bay East–West Tower will be named Manulife Tower and will serve as the headquarters for Manulife’s Hong Kong operations. Manulife plans to take occupancy in Manulife Tower in 2016.</t>
  </si>
  <si>
    <t>Wheelock</t>
  </si>
  <si>
    <t>Wharf looking to sell one tower en-bloc and the other tower strata sale. 2 or 3 major occupiers (an insurance company and mainland chinese banks) are already looking to buy one of the towers en-bloc.</t>
  </si>
  <si>
    <t>The site went to Wheelock for 3.53 billion (3,856/buildable sf), near the lower end of market expectations. "We plan to invest 2-2.5 billion for 2 grade A office bldgs with total GFA of 910,000 sf," Wheelock executive director Ricky Wong Kwong-yiu said, adding they will continue to focus more on commercial areas in both Kowloon East and Wong Chuk Hang.  The site is designated for non-residential use. 6 tenders were received for the site.</t>
  </si>
  <si>
    <t>More site investigations to be done due to its location along the waterfront.</t>
  </si>
  <si>
    <t>Plan to finish Hoi Bun Road project first</t>
  </si>
  <si>
    <t>Wheelocks plans for Strata sales, not for long-term hold.</t>
  </si>
  <si>
    <t xml:space="preserve">Wheelock outbid 4 others to win this site, 20% more than most analysts expected, at a price of nearly 6,900 psf, analysts forecasted a price of 2.9-3.5 billion, between 4,915-5,932 psf. The 147,499 sf site has been awarded on a 50-year land grant for a premium of 4.028 billion. The max. permitted GFA is 589,996 sf, so the average cost of the site is 6,827 psf.  </t>
  </si>
  <si>
    <t>Expected completion in 2014/15</t>
  </si>
  <si>
    <t xml:space="preserve">SHK Annual Report 2012/13: </t>
  </si>
  <si>
    <t xml:space="preserve">SHK contact: Fillipe Leung: 2828 8660 / Amos Kwok: 2828 5178 / 2827 8111 </t>
  </si>
  <si>
    <t>Potential only.  No definite plans yet. Inspection made: building unknocked yet.</t>
  </si>
  <si>
    <t>Aug 2011 (Cynthia): Amos advised development plan is indefinite.</t>
  </si>
  <si>
    <t xml:space="preserve">Existing an old industrial building by Maxim’s Group and Maxim will redevelop the building into a Grade A office.  Demolition will carry out soon.  Maxim will use most of the floor spaces as their headquarters from 14/F to 27/F and 7/F to 13/F (approx. 60,222 s.f.) will be for lease. Whilst 1/F to 5/F will be reserved for restaurant use and will be handled by the Maxim in-house leasing team.  </t>
  </si>
  <si>
    <t>Demolition issued</t>
  </si>
  <si>
    <t>Expected completion in 2016/17</t>
  </si>
  <si>
    <t>SHK 2012 AR</t>
  </si>
  <si>
    <t>Just agreed land premium, subject to demolition.</t>
  </si>
  <si>
    <t>Assuming to be Phase 2 to be completed 2 years after Phase 1. Sam (OS) - no information could be released from SHKP at the moment. / Ownership structure TBC.</t>
  </si>
  <si>
    <t>Originally owned by Jebsen Properties but was sold to a local industrialist at 127.8 million or 413 psf a.v..  The buyer is considering to redevelop the site into a commercial bldg to serve as the headquarter of his production business.</t>
  </si>
  <si>
    <t>Land Premium: $270.4M; (2007) SHKP acquired the Ind Bldg for $345M.</t>
  </si>
  <si>
    <t>Early 2010</t>
  </si>
  <si>
    <t>HKL Others</t>
  </si>
  <si>
    <t>It is anticipated that a 28 storeyed Grade A office building (comprising three levels of basement carpark, an entrance floor on the ground floor, 25 office floors, one refuge floor and one mechanical floor) would be constructed on the site.</t>
  </si>
  <si>
    <t xml:space="preserve">Jason/China Motor Bus 2012/13 AR - </t>
  </si>
  <si>
    <t>Site Area: 25,500 sf</t>
  </si>
  <si>
    <t>Industrial site that was converted to commercial use.  (premium paid approximately HK$1,070 million)</t>
  </si>
  <si>
    <t>The Company which owns an industrial site at 8‐10 Wong Chuk Hang Road in Aberdeen, Hong Kong (in which Swire Properties has a 50% interest) agreed with the Government to proceed with a modification of the Government Leases to permit the site to be used for commercial purposes. The site is intended to be developed into an office building with an aggregate gross floor area of approximately 382,500 square feet.</t>
  </si>
  <si>
    <t>Potential only. No plans submitted.</t>
  </si>
  <si>
    <t>Demolition issued in March 2013.</t>
  </si>
  <si>
    <t>"we are in the process of demolishing and redeveloping.  The two Wing On buildings “frame” the Liu Chong Hing Bank building.  Long ago, there were talks between Mrs Wang and the Liu’s about cooperating to redevelop the whole site, but that was before the Bank built its own new building.  Its CEO, Mr Liu, told me recently that this was because he couldn’t come to terms with Mrs Wang"</t>
  </si>
  <si>
    <t xml:space="preserve"> Chinachame</t>
  </si>
  <si>
    <t>Looks to be getting ready for demolition</t>
  </si>
  <si>
    <t>Looks like a fully occupied building, Physical Fitness on lower four floors and office space above. This site and 22 &amp; 22A DVRC site are separated by Chon Hing Bank Centre.</t>
  </si>
  <si>
    <t>No immediate plans</t>
  </si>
  <si>
    <t>Contact: Doug Chiu 2368 4968 / Gipsy 2739 8811</t>
  </si>
  <si>
    <t>Indefinite development program at this stage, will not touch for next 3 years.</t>
  </si>
  <si>
    <t>Asian Hse, covering 21, 000sf of site area, will have a GFA of about 300,000 sf. Ng said the est redevelopment cost would be &gt;HK$1 Bn [In the same article also mentioned the redevelopment of Wing On Life Bldg (22 Connaught Rd C) GFA will be increased from 50k sf to &gt;80k sf, redev cost ~HK$500 Mn]</t>
  </si>
  <si>
    <t>Ian met with Chinachem CEO &amp; COO.  There will be two office buildings 22 &amp; 26 Des Voeux Rd Central.  with Retail Podium</t>
  </si>
  <si>
    <t>Chinachem confirmed this will be retail.</t>
  </si>
  <si>
    <t>Ian and Alan</t>
  </si>
  <si>
    <t>"The two Wing On buildings “frame” the Liu Chong Hing Bank building.  Long ago, there were talks between Mrs Wang and the Liu’s about cooperating to redevelop the whole site, but that was before the Bank built its own new building.  Its CEO, Mr Liu, told me recently that this was because he couldn’t come to terms with Mrs Wang"</t>
  </si>
  <si>
    <t>Chinachame</t>
  </si>
  <si>
    <t>Bare site</t>
  </si>
  <si>
    <t>Demolished, currently clear site to ground level, no sign of any work at present. This site and 26 DVRC site are separated by Chon Hing Bank Centre.</t>
  </si>
  <si>
    <t>CN asked Oscar if he knows anyone well at Chinachem that he could introduce.</t>
  </si>
  <si>
    <t>Existing building is vacant, commenced knocking down. Will be completed around Q2, 2015.</t>
  </si>
  <si>
    <t>Contact: Doug Chiu 2368 4968</t>
  </si>
  <si>
    <t>Asian Hse, covering 21, 000sf of site area, will have a GFA of about 300,000 sf. Ng said the est redevelopment cost would be &gt;HK$1 Bn [In the same article also mentioned the redevelopment of Wing On Life Bldg (22 Connaught Rd C) GFA will be increased from 50k sf to &gt;80k sf, redev cost ~HK$500 Mn]   /Right behing LHT Tower</t>
  </si>
  <si>
    <t>The Group recently acquired a plot of land in Kowloon Bay and the site is being developed into an office complex, scheduled to open in late 2015. As one of the first buildings in the “Energizing Kowloon East” project area, Goldin Financial Global Centre will target international commercial tenants seeking A-grade office space.</t>
  </si>
  <si>
    <t>Goldingroup</t>
  </si>
  <si>
    <t>To be LEED Platinum. Goldin will use top 3 to 4 floors.</t>
  </si>
  <si>
    <t>Currently bare site. Date consistent with Wheelock site (Wai Yip Street).</t>
  </si>
  <si>
    <t>Site sold to Goldin Financial via Government tender. The 71,042 sq ft commercial site at the junction of Kai Cheung &amp; Wang Kwong roads in Kowloon Bay. It was sold for 3.43 billion, or 4,026 per buildable sq ft, to Goldin Financial (0530), the company's first successful bid in a government land sale. Gfa of the plot is 511,501-852,502 sq ft. "Future office space there could sell for 7,500-8,000 psf, or ask at least 25 psf/month for lease," a commentator said.</t>
  </si>
  <si>
    <t>Unkown commentator</t>
  </si>
  <si>
    <t>Building demolition and land premium paid.</t>
  </si>
  <si>
    <t>Demolition issued in December. Land premium agreed at $15,000 psf.</t>
  </si>
  <si>
    <t>Have not agreed modification, building still exists and may need to push date back at end of the year.</t>
  </si>
  <si>
    <t>Land premium agreed, tenants to move out at the end of the year and demolition to start next year</t>
  </si>
  <si>
    <t>Land premium was approved at $1,800 psf, and Billion will appeal</t>
  </si>
  <si>
    <t>Billiong pruchased from Windsor but may keep lease or put redevelopment plans on hold.</t>
  </si>
  <si>
    <t>Kln OS suggested and newspaper/ Source: Ming Pao http://finance.sina.com/bg/chinamkt/mingpao/20100611/115275849.html</t>
  </si>
  <si>
    <t>Under demolition.</t>
  </si>
  <si>
    <t>According to Ivy Tai, in the last meeting with Chinachem in Jan 2014, their CEO mentioned that the expected completion year is 2016</t>
  </si>
  <si>
    <t>Ivy Tai</t>
  </si>
  <si>
    <t>All tenants vacated already, now empty building.</t>
  </si>
  <si>
    <t>From David Parker COO, Chinachem Group, they have served the “developer” notice on their tenants and the removal date is May 2013.  They have relocated the Post Office as they were obliged to under the government lease, and undertaken the ground contamination tests with regard to the gas station.  The are looking at the demolition tender process right now. OP is scheduled for May 2017.</t>
  </si>
  <si>
    <t>Tenants move out next year.</t>
  </si>
  <si>
    <t>Contact: Doug Chiu 2368 4968 /  / Gipsy 2739 8811</t>
  </si>
  <si>
    <t>Exisitng building unknocked. Located diagonally Swire's 28 Hennessy Rd.  The landlord indicated they will demolish building at end of year and will take 4 years to complete.</t>
  </si>
  <si>
    <t>This will be on top of the existing buildings</t>
  </si>
  <si>
    <t>Can’t see anything happening in the foreseeable future.</t>
  </si>
  <si>
    <t xml:space="preserve">At the moment bar one shop and one restaurant it will all be for office use. Not for sale. They will be moving their headquarters there (top floors). </t>
  </si>
  <si>
    <t>Yvonne</t>
  </si>
  <si>
    <t>After contacting landlord (same as One Pacific Centre), expected completion date is 2016.</t>
  </si>
  <si>
    <t>The site attracted 20 bidders and was sold to Tony Lau Hon-chung, the brother of lawmaker Sophie Leung Lau Yau-fun, for about HK$1.82 billion, or HK$5,458 psf, near the low end of market estimates. Lau is familiar with Kowloon Bay, as he and his family own an industrial building near the site.</t>
  </si>
  <si>
    <t>Maximum height is 120 m above PD according to the lease. Estimated around 1.33-2.33 Billion/4,000-7,500 psf.</t>
  </si>
  <si>
    <t>On the government's land auction list. Tender opens 19 Oct and closes 23 Nov. Cushman &amp; Wakefield’s Valuation Dept Head – Cheung Kiu Chu張翹楚: the estimated AV is HK$7,500, expected value is HK$ 2.48 Billion. He pointed out, there will be walking pathway connecting whole Kowloon bay, so the potential has yet to reveal. Also, the new developments nearby has recorded an average of HK$10,000/sf.</t>
  </si>
  <si>
    <t>Gov Land auction list</t>
  </si>
  <si>
    <t>One of nine sites announced in CBD2-Kowloon East by Ms Carrie Lam. Estimated price: 111 million ($333 psf) (???)</t>
  </si>
  <si>
    <t>Town Planning apporved on 15th March (Application No . A / H 8 / 4 1 7).</t>
  </si>
  <si>
    <t>Site Area: 3,490 sm/ Town Planning (A/H8/387 Resi) &amp; (A/H8/392 Office) Sept2008/ Minute of TPB on 4Sep09: Plot Ratio for Resi is 7.5; for Ofc is 11; maxi bldg height of 110mPD/ Oriental Dialy 23Sep09 計劃興建兩幢樓高32層包括1層地庫的住宅物業,物業高限為110米(主水平基準以上),總樓面約22.48萬方呎，提供住宅單位約297個</t>
  </si>
  <si>
    <t>Office portion could be less (around 200,000 sf)</t>
  </si>
  <si>
    <t xml:space="preserve">New World will terminate the lease with Sogo department store at its Tsim Sha Tsui underground shopping centre in 12 Salisbury Road as it is set to redevelop the site. </t>
  </si>
  <si>
    <t>Bare site now</t>
  </si>
  <si>
    <t>Completion of New World Centre redevelopment in TST was postponed to year 2017.  Office area approx. 400,000 sfg (was 500,000 sfg).  We would try to find out the reason for the delay in completion.  This project will be under the management of K11 team within New World Group.</t>
  </si>
  <si>
    <t>Landlord says it will be a mixed use development and complete 2015 Q4. Update to follow.</t>
  </si>
  <si>
    <t>500,000 for office</t>
  </si>
  <si>
    <t>Sam (OS-kln)</t>
  </si>
  <si>
    <t>Total GFA 1.3 million sf, to be developed in Phases.</t>
  </si>
  <si>
    <t>The- Sun</t>
  </si>
  <si>
    <t>Swire Properties acquired a Kowloon East office site for HK$2.638bn or HK$4,793psf.</t>
  </si>
  <si>
    <t>Site went up for tender on 19 Sep 2013, tender closes 1 Nov 2013. The first owner will be be allowed to sell complete building on strata. No lease shall exceed 10 years in the aggregate including any right of renewal. Centaline originally estimated value at $5,500 psf, but have revised down value estimation down 30% to $3,850 psf due to the no strata clause. Midland estimate value @ $4,000 psf.</t>
  </si>
  <si>
    <t>1 of the 6 new sites for sale in the 2013-14 Land Sale Programme. Estimated Earliest Site Available Date: Oct 2013.</t>
  </si>
  <si>
    <t>One of nine sites announced in CBD2-Kowloon East by Ms Carrie Lam. 18Oct2011: (HKET) - estimated price: 2.22 billion ($4,000 psf)</t>
  </si>
  <si>
    <t>Carrie Lam</t>
  </si>
  <si>
    <t>First 3 floors will be retail, rest will be office; will start selling the project in 2016</t>
  </si>
  <si>
    <t>First group</t>
  </si>
  <si>
    <t>The commercial site, New Kowloon Inland Lot No. 6410 at 650 Cheung Sha Wan Road, was awarded to First Assets Investment Company Limited (parent company: First Group Holdings Limited) for $1.002 billion</t>
  </si>
  <si>
    <t>news.gov.hk</t>
  </si>
  <si>
    <t>New site on the 2013-14 programme. Estimated value $1.16 billion ($6,000 psf). Estimated Earliest Site Available Date: Mar 2014</t>
  </si>
  <si>
    <t>By 2018, Hysan said, the space will be filled with a single office-retail building offering up to 25% more floor area. (Sunning Plaza measures 277,000 gross square feet; with Sunning Court, they total around 375,000.) The company deemed the 32-year-old Sunning Plaza no longer competitive with its peers and wants to increase its portfolio of Grade A office space while introducing more green, sustainable features, spokesman Mark Tung explained. While acknowledging Mr. Pei’s standing as an architect, Hysan determined it isn’t feasible to preserve parts of Sunning Plaza in the new complex, he said.</t>
  </si>
  <si>
    <t xml:space="preserve">Wall Street Journal </t>
  </si>
  <si>
    <t>Hysan plans to spend $ 2 to $2.5 ten billion HKD on reconstruction of Sunning Plaza and Sunning Court,it is conducting preliminary work ,it is expected to move the existing tenants out in the fourth season of this year,completed in 2018, but did not implement the new office and retail building proportion of the total,after reconstruction,there will have approximately 460,000 feet of floor area,increased by 25% than the current floor</t>
  </si>
  <si>
    <t>http://www.28hse.com/en/news/C109/18787/</t>
  </si>
  <si>
    <t>Hysan handled Sales &amp; Redevelopment Clause to tenants with tenants moving out in September. The management indicated that no detail plan is fixed yet but intend/target to redevelop the new office and retail complex with an increase in GFA from current 375,000 sq ft to 460,000 sq ft, while the office portion will be increased from the existing approx 200,000 sf to over 300,000 sf with a floor plate of 18,000 sf. They target to complete the new development in 2017.</t>
  </si>
  <si>
    <t>Hysan 2012 Annual Results announcement: “To support the district vision, the Group is committed to continually enhancing the asset value of our investment property portfolio through selective re-positioning, refurbishment and re-development. Our next redevelopment target is the combined development of Sunning Plaza and Sunning Court into a mixed-use office and retail complex. Planning is underway, for the project to be completed around 2018.”</t>
  </si>
  <si>
    <t>Hysan 2012 Annual Results</t>
  </si>
  <si>
    <t>Hysan AGM on 18/5/09 mentioned they have no plans to redevelop it but will redecorate it</t>
  </si>
  <si>
    <t>Hysan AGM</t>
  </si>
  <si>
    <t>Site visit in May, still bare site with no construction sign</t>
  </si>
  <si>
    <t>Mapletree won the site for 5700 psf</t>
  </si>
  <si>
    <t>On securing the site, Mapletree plans to develop a Grade-A office building with a total Gross Floor Area (GFA) of 61,344 square metres (660,301 square feet), at a total development cost of more than HK$6 billion.  "There has been a wave of relocation activities as financial institutions, insurance and logistics companies have started to consolidate their operations in this area. The site enjoys good traffic flow and is within walking distance from Ngau Tau Kok MTR station. The potential underground link to Ngau Tau Kok MTR station and the waterfront promenade would further enhance connectivity and accessibility to the site, and help channel both office and retail needs in the locality to the development which is projected to complete by 2017," said Mapletree.</t>
  </si>
  <si>
    <t>Singapore Business Review</t>
  </si>
  <si>
    <t>Site will open open for tender on 29 Nov 2013 and tender will close on 10 Jan 2014. HKET: estimated value @ $4,000 - $6,000 psf. New site on the 2013-14 programme. Estimated value $4.16 billion ($5,500 psf). Estimated Earliest Site Available Date: Mar 2014</t>
  </si>
  <si>
    <t>One of nine sites announced in CBD2-Kowloon East by Ms Carrie Lam. 18Oct2011: (HKET) - estimated price: 4.752 billion ($4,000 psf).</t>
  </si>
  <si>
    <t>Carrie Lam HKET</t>
  </si>
  <si>
    <t>The first phase of the approved redevelopment plan of TaiKoo Place involves redeveloping Somerset House into a 51-storey office building; the second phase involves redeveloping Cornwall House and Warwick House into a single 46-storey office tower. The first new office building is expected to be ready for handover by 2018.</t>
  </si>
  <si>
    <t>The agreement includes a cash consideration payable to the HKSAR Government of HK$537million, and an additional amount to reflect any potential appreciation in office values between the date of the agreement and the date of completion of construction of the second phase of the TaiKoo Place redevelopment.  In addition, Swire Properties will fund relocation costs and expenses for the existing HKSAR Government departments to vacate Cornwall House, including the fit out of the 10 floors of Cityplaza Three. The transaction is expected to be completed no later than 30 December 2016.</t>
  </si>
  <si>
    <t xml:space="preserve">Swire indicated that the 'lights get turned off' (ie all tenants are out) at Somerset House on 7 Aug 2013. A little earlier  than expected. </t>
  </si>
  <si>
    <t>James</t>
  </si>
  <si>
    <t>"Swire Properties chief executive Martin Cubbon said Somerset House would be demolished first in the third quarter of next year, while plans for Cornwall House and Warwick House were not finalised yet. Somerset House will be torn down to make way for a grade A office tower of about 50storeys."</t>
  </si>
  <si>
    <t>Demolition to start Jan 2013 with tenants out of building by Q3/Q4 2012.</t>
  </si>
  <si>
    <t xml:space="preserve"> Demolition of Somerset House is planned to start end 2103 with completion (building known as Building 2a) expected in 2017. </t>
  </si>
  <si>
    <t>Major tenants start to receive development notices from Swire to terminate lease in Aug 2013.  Earliest approved date to commence knocking down is Dec 2013.</t>
  </si>
  <si>
    <t>31 stories; 204 units.  Expected completion at end 2015.  indicative price 10,000 psf.</t>
  </si>
  <si>
    <t>Apple Daily</t>
  </si>
  <si>
    <t>Jerry: (Not sure this applies to which Billion Shek Mun Project - follow up later!! ) 2.5 retail floors of the project was sold (30,000sf) by HK$239,000,000 aka HK$7,967/sf. Reserved buyers: local investor, Neway Karaoke &amp; restaurants.</t>
  </si>
  <si>
    <t>Jerry: Revised completion year from 2016 4Q to 2018</t>
  </si>
  <si>
    <t>Completion Year: 2016 2Q to 2018</t>
  </si>
  <si>
    <t>Swire 2Q 14 Quarterly Announcement 
I:\CBRE Research\New Hong Kong\02. Databases\Office Database\Supply info\2014 07 31 Quarterly Statement 2Q 2014 Eng.PDF</t>
  </si>
  <si>
    <t>Jerry: The site was acquired in Apr 2009 by HK$100mil. Was sold again by HK$328mil</t>
  </si>
  <si>
    <t>New added on Aug 6 2014</t>
  </si>
  <si>
    <t>Jerry: Revised completion year from 2016 to 4Q 2017</t>
  </si>
  <si>
    <t>HKET
http://www.hket.com/eti/article/a3390e04-3f8b-4416-a88b-1209042b850b-412121?sectionId=008</t>
  </si>
  <si>
    <t>Aug 2014: JC (OS) • The plans remain unchanged with 5 office floors on top of Tower 1 and 10 floors on top of Tower 2
• Of the 10 floors on Tower 2, 8 will be Hotel with the other two for M&amp;E and circulation space
• Tower 2 will link to the Hotel by footbridge
• The tenders came back higher than expected so Hutchinson are retendering
• The timing is now Q1 2017 for the office space and Q3 2017 for the hotel space
Sept 2011: This will be on top of the existing buildings
Sep 2011: JD (OS) - can’t see anything happening in the foreseeable future.</t>
  </si>
  <si>
    <t>JC</t>
  </si>
  <si>
    <t>Jerry:
• The plans remain unchanged with 5 office floors on top of Tower 1 and 10 floors on top of Tower 2
• Of the 10 floors on Tower 2, 8 will be Hotel with the other two for M&amp;E and circulation space
• Tower 2 will link to the Hotel by footbridge
• The tenders came back higher than expected so Hutchinson are retendering
• The timing is now Q1 2017 for the office space and Q3 2017 for the hotel space</t>
  </si>
  <si>
    <t>Mapletree said the project will be completed in Oct 2017</t>
  </si>
  <si>
    <t>Terry Shum</t>
  </si>
  <si>
    <t>11 Middle Road</t>
  </si>
  <si>
    <t>W50</t>
  </si>
  <si>
    <t>56 Tsun Yip Street</t>
  </si>
  <si>
    <t>No. of Storeys for Office</t>
  </si>
  <si>
    <t>The Octagon</t>
  </si>
  <si>
    <t>27+1 basement</t>
  </si>
  <si>
    <t>24+3 basement</t>
  </si>
  <si>
    <t>23+3 basement</t>
  </si>
  <si>
    <t>Commercial &amp; GIC facilities</t>
  </si>
  <si>
    <t>Yien Yieh Commercial Building redevelopment</t>
  </si>
  <si>
    <t>Well Friendship Investment Ltd (Continential Holdings Limited)</t>
  </si>
  <si>
    <t>103-107 Wellington Street &amp; 152-156 Queen's Road Central</t>
  </si>
  <si>
    <t>Office GFA (sm)</t>
  </si>
  <si>
    <t>Office GFA (sf)</t>
  </si>
  <si>
    <t>Pre-leased space (Usable FA) (sf)</t>
  </si>
  <si>
    <t>Pre-sold (Usable FA) (sf)</t>
  </si>
  <si>
    <t>Self-use space (Usable FA) (sf)</t>
  </si>
  <si>
    <t>Space available for sale (Usable FA) (sf)</t>
  </si>
  <si>
    <t>Uncertain</t>
  </si>
  <si>
    <t>Space available uncertain of use (Usable FA) (sf)</t>
  </si>
  <si>
    <t>Henderson Land &amp; Lai Sun (50:50)</t>
  </si>
  <si>
    <t>10-12 Queen's Road Central</t>
  </si>
  <si>
    <t>One HarbourGate</t>
  </si>
  <si>
    <t>http://www.50wchr.com/
SHK Annual Report 2012/13: Expected completion in 2014/15
SHK contact: Fillipe Leung: 2828 8660 / Amos Kwok: 2828 5178 / 2827 8111 
Aug 2011 (Cynthia): Potential only.  No definite plans yet. Inspection made: building unknocekd yet.
Aug 2011 (Cynthia): Amos advised development plan is indefinite.</t>
  </si>
  <si>
    <t>14-30 King Wah Road</t>
  </si>
  <si>
    <t>650 Cheung Sha Wan Road</t>
  </si>
  <si>
    <t>Campbell Property Development Limited</t>
  </si>
  <si>
    <t>KC100</t>
  </si>
  <si>
    <t>17 Cheung Shun Street</t>
  </si>
  <si>
    <t>133 Wai Yip Street</t>
  </si>
  <si>
    <t>26 Des Voeux Road Central</t>
  </si>
  <si>
    <t>22 &amp; 22A Des Voeux Road Central</t>
  </si>
  <si>
    <t>6 Wang Kwong Road</t>
  </si>
  <si>
    <t>One Sheung Yuet Road</t>
  </si>
  <si>
    <t>The Wellington</t>
  </si>
  <si>
    <t>Nan Fung Resources</t>
  </si>
  <si>
    <t>8 Observatory Road</t>
  </si>
  <si>
    <t>33-49 Des Voeux Road West</t>
  </si>
  <si>
    <t>Floor Plate &gt; 15,000 sf (NFA)</t>
  </si>
  <si>
    <t>Chinachem Central I</t>
  </si>
  <si>
    <t>Chinachem Central II</t>
  </si>
  <si>
    <t>Oct 2014 (David Massbery):
• Floor plates of 11,700 sf Gross 
• 70% efficiency 
• Office floors located on levels 5-20 (no level 14)
• Dedicated office lobby on Level 3
• Retail provided on LG, G, 1st and 2nd floors
• Floors 21 and 22 shall be dedicated to F&amp;B
• Side core design
• 3-metre clear height on office floors
• Raised floors of 150mm
• 7 passenger lifts – One likely to be dedicated to levels 21 &amp; 22
• OP now due September 2015
Sep 2013: demolished. From Phoenix website (http://www.ppinvestors.com/investments/?data=2): acquired in Jul 2010; Mixed-Use development; Estimated Total Project Costs US$545 million; Estimated GFA 230,000 sf; No. of Floors 23; Target Completion 3Q 2013; American architectural &amp; engineering firm, Skidmore, Owings &amp; Merrill (SOM) has been appointed as the design architect with Ronald LU &amp; Partners serving as the project architect. 
Jun 2012: (Ian) - At present demolition is underway and property management is reviewing existing plans.  My contact does nto expect the building to be completed until 2015+, maybe we put Q1 2016 to be safe.  Senior management is away at present therefore no further update until late August/early September when he will contact me again.
Sep 2011: Cynthia f/u with Oscar to see if he has a contact at Phoenix.
Developer Contact: 2589 3691, to continue to f/u.
Sep 2011 (Cynthia): Residential building unknocked yet, currently occupied and one block down from World Trade. Ground floor retail tenants to move out end of this year.
SCMP: Central Mansion occupies a site area of about 15,235 square feet. It will be redeveloped into a 230,000 sqft Ginza-style complex with shops, speciality restaurants and a grade A office tower.</t>
  </si>
  <si>
    <t>To briefly update you on the specific details of this opportunity:
• Floor plates of 11,700 sf Gross 
• 70% efficiency 
• Office floors located on levels 5-20 (no level 14)
• Dedicated office lobby on Level 3
• Retail provided on LG, G, 1st and 2nd floors
• Floors 21 and 22 shall be dedicated to F&amp;B
• Side core design
• 3-metre clear height on office floors
• Raised floors of 150mm
• 7 passenger lifts – One likely to be dedicated to levels 21 &amp; 22
• OP now due September 2015</t>
  </si>
  <si>
    <t>David Massbery</t>
  </si>
  <si>
    <t>Office NFA changed from 155,594 to 122,850</t>
  </si>
  <si>
    <t>Hung To Centre</t>
  </si>
  <si>
    <t>South Asia Commercial Centre</t>
  </si>
  <si>
    <t>Wong Tsz Building</t>
  </si>
  <si>
    <t>The Mark</t>
  </si>
  <si>
    <t>SML Tower</t>
  </si>
  <si>
    <t>New Bright</t>
  </si>
  <si>
    <t>Jointak Labels</t>
  </si>
  <si>
    <t>South Asia Real Estate Development (South Asia Textiles)</t>
  </si>
  <si>
    <t>Full Will Industrial Limited</t>
  </si>
  <si>
    <t>27+5 basement</t>
  </si>
  <si>
    <t xml:space="preserve">
Dec 2014: applied for pre-sale consent
Sep 2014 (HKET): asking price at around $6,800/sf, minimum $6Mil; a Chinese-HK food company reserved retail and office for $720Mil (refer to Investment Database)
Dec 2012 (Sing Tao): Billion will build an office tower which has two to three floors of retail spaces and more than ten office space.
Jun 2012: Retail</t>
  </si>
  <si>
    <t>25+3 basement</t>
  </si>
  <si>
    <t>41+3 basement</t>
  </si>
  <si>
    <t>Commercial (major revisions)-Scheme 3</t>
  </si>
  <si>
    <t>Hon Kwok Land</t>
  </si>
  <si>
    <t xml:space="preserve">
Jan 2015: 漢國地產策劃董事李振彪指，集團擬有兩個發展方案，考慮發展成乙級商廈，或引入同系建聯集團（385）興建物流貨倉連商廈的綜合項目， 但最少逾半樓面為物流倉。
Tender closes on 9 Jan 2015
Land Sale Programme 2014-15.  New Site
Site Area: 29935</t>
  </si>
  <si>
    <t>43 Heung Yip Road</t>
  </si>
  <si>
    <t>Nov 2014: Jerry - Section 16 already approved by Town Planning Board http://www.hket.com/eti/article/cde3098f-acfc-4b7b-81ce-a7c2068b131e-703392?keyword=%25E8%25A5%25BF%25E4%25B9%259D%2B%25E5%2595%2586%25E6%25A5%25AD&amp;source=search
Sep 2014: Jerry - http://www.info.gov.hk/tpb/tc/plan_application/Attachment/20141003/s16fi_A_K20_121_11_gist.pdf (latest plan submitted)
Jul 2014: Jerry - 酒店／辦公室／住宅用途的最大總樓面面積由 318 800平方米 增至 366 620平方米 (+47 820平方米)（+15%）but http://the-sun.on.cc/cnt/news/20140821/00407_069.html 放寬樓面及高度限制 西九再申延期審議
Feb 2014: Jerry - http://www.legco.gov.hk/yr13-14/chinese/panels/wkcd/papers/wkcd0124cb2-716-1-c.pdf (西 九 用 地 的 整 體 發 展 密 度 限 制 訂 為 最 大 整 體 總 樓 面 面 積 740 350 平方米，相等於 1.81 倍的地積比率（土地面積為 40.91 公頃）。不同用途的總樓面面積管制只適用於酒店／辦公室／住宅用途，即酒店／辦公室／住宅的整體總樓面面積不得超過 318 800 平方米，而住宅的整體總樓面面積不得超過 148 070 平方米（即整幅用地的合計最大總樓面面積的 20%）。
Sep 2011: Sam (OS) - low-rise, mixed retail, no concreate plan. The site will be close to Fire Station on Canton Road. JD will touch base with CBRE Consulting for more details.
no offical figure for office use as it is still at the conceptal designing stage; GFA from Home Affairs Bureau's estimation of 15% of total GFA</t>
  </si>
  <si>
    <t>MC</t>
  </si>
  <si>
    <t>For lease according to Marcos</t>
  </si>
  <si>
    <t xml:space="preserve">
Feb 2015 (RN): got OP in Dec 2014
Feb 2015 (JN): NFA updated according to Feb3 price list
Nov 2014 (RN): should be able to complete this year.
Jun 2013: foundation done.
Dec 2012 (Sing Tao): Billion has paid land premium of around $2,700-$2,800 psf. They will apply for pre-sale consent this month at the earliest. They may be approved and put up for sale in the third and the fourth quarter of next year. The indicative psf price is more than HK$10,000.
Aug 2012 (JD): delayed due to land premium issue. Clear site at the moment, no foundation.
Jun 2012: Demolished. Could be delayed subject to lease modification.
Nov 2011 (Roy): Demolition issued in October.
Sep 2011: JD (OS) - could be delayed from 2013 to 2014 Q1 earliest / Sam (OS) - developer appealing against land premium, if land premium is exceeds $3,000 psf, then they will only refurbish. Only scaffolding, no demolition works yet.
Billion bought in Q3 2009 for $340m.
existing bldg: Trinity Textile Industrial Building (No demolition record from BD yet)</t>
  </si>
  <si>
    <t>Vertical Sq</t>
  </si>
  <si>
    <t>38 Southside</t>
  </si>
  <si>
    <t>2012 Legco discussion</t>
  </si>
  <si>
    <t>First proposed to be  Exhibition and Convention Centre Ph3.
Then Home Affairs Bureau expressed interest to move all the sports activities from here to HK Stadium and from HK Stadium to Kai Tak
So this piece could be converted into commercial use but subject to Lands Dept decision on either it be Exhibition use or Office use</t>
  </si>
  <si>
    <t>Big Star Centre</t>
  </si>
  <si>
    <t>NKIL 5866</t>
  </si>
  <si>
    <t>Patrick Stevens</t>
  </si>
  <si>
    <t xml:space="preserve">
Oct 2014: Demolition issued (BD)
http://www.firsthk.com/propertyindex.php?d=c22
Jul 2014: First Group: first 3 floors will be retail, rest will be office; will start selling the project in 2016
Apr 2014: The commercial site, New Kowloon Inland Lot No. 6410 at 650 Cheung Sha Wan Road, was awarded to First Assets Investment Company Limited (parent company: First Group Holdings Limited) for $1.002 billion
March 2013: New site on the 2013-14 programme. Estimated value $1.16 billion ($6,000 psf). Estimated Earliest Site Available Date: Mar 2014</t>
  </si>
  <si>
    <t>CBRE sub-markets</t>
  </si>
  <si>
    <t>Hung Hom</t>
  </si>
  <si>
    <t>Admiralty &amp; Sheung Wan</t>
  </si>
  <si>
    <t>Wan Chai &amp; Causeway Bay</t>
  </si>
  <si>
    <t>Kowloon Others</t>
  </si>
  <si>
    <t>Nan Fung Resources (Ever Crown Development Ltd)</t>
  </si>
  <si>
    <t>Southland Building</t>
  </si>
  <si>
    <t>48 Connaught Road Central</t>
  </si>
  <si>
    <t>Fully HK Holdings Ltd, Art Earn Ltd &amp; Silver Net Ltd</t>
  </si>
  <si>
    <t>Win Century Investment Ltd</t>
  </si>
  <si>
    <t>BD Monthly Digest &amp; Swire Fact Sheet</t>
  </si>
  <si>
    <t>AIL 338 &amp; 339</t>
  </si>
  <si>
    <t>BD Monthly Digest &amp; Swire 2Q 2014 Quarterly Announcement / CMB 2012/13 AR</t>
  </si>
  <si>
    <t>Apr 2015: Demolition issued in November 2014.</t>
  </si>
  <si>
    <t>23+4 basement</t>
  </si>
  <si>
    <t>15 Chong Yip Street</t>
  </si>
  <si>
    <t>18 Westlands Road</t>
  </si>
  <si>
    <t>1 Austin Road West (Union Square Phase 7)</t>
  </si>
  <si>
    <t>51-53 Kwai Cheong Road &amp; 12-120 Tai Lin Pai Road</t>
  </si>
  <si>
    <t>100 &amp; 102 How Ming Street</t>
  </si>
  <si>
    <t>1 Sheung Yee Road (7 Wang Mau Street &amp; 23 Wang Tai Road)</t>
  </si>
  <si>
    <t>33 Wang Chiu Road</t>
  </si>
  <si>
    <t>712 Prince Edward Road East</t>
  </si>
  <si>
    <t>1 Wang Kwong Road</t>
  </si>
  <si>
    <t>79 Hoi Yuen Road</t>
  </si>
  <si>
    <t>108 Wai Yip Street</t>
  </si>
  <si>
    <t>33 Cameron Road</t>
  </si>
  <si>
    <t>7 Shing Yip Street</t>
  </si>
  <si>
    <t>683 King's Road</t>
  </si>
  <si>
    <t>483A Castle Peak Road</t>
  </si>
  <si>
    <t>2 Heung Yip Road</t>
  </si>
  <si>
    <t>133 Hoi Bun Road</t>
  </si>
  <si>
    <t>31 Queen's Road Central &amp; 1-7 Theatre Lane</t>
  </si>
  <si>
    <t>39 Queen's Road Central
19, 20, 21, 22, 23, 25 &amp; 26 Li Yuen Street East</t>
  </si>
  <si>
    <t>500 Hennessy Road</t>
  </si>
  <si>
    <t>24 Hing Yip Street &amp; 55 King Yip Street</t>
  </si>
  <si>
    <t>22 Hung To Road</t>
  </si>
  <si>
    <t>24-34 Hennessy Road</t>
  </si>
  <si>
    <t>3 Connaught Road Central</t>
  </si>
  <si>
    <t>414 Kwun Tong Road</t>
  </si>
  <si>
    <t>38 Heung Yip Road</t>
  </si>
  <si>
    <t>135-137 Hoi Bun Road</t>
  </si>
  <si>
    <t>1, 1A &amp; 1B Sheung Yuet Road</t>
  </si>
  <si>
    <t>8 Connaught Place</t>
  </si>
  <si>
    <t>19-21 Wong Chuk Hang Road</t>
  </si>
  <si>
    <t>31-37 Des Voeux Road Central</t>
  </si>
  <si>
    <t>10 Cheung Yue Street</t>
  </si>
  <si>
    <t>213 Wai Yip Street</t>
  </si>
  <si>
    <t>6 Sha Tsui Road</t>
  </si>
  <si>
    <t>198 Wellington Street</t>
  </si>
  <si>
    <t>73-75 Hung To Road</t>
  </si>
  <si>
    <t>100 Kwai Cheong Road</t>
  </si>
  <si>
    <t>94-96 How Ming Street</t>
  </si>
  <si>
    <t>64 Tsun Yip Street</t>
  </si>
  <si>
    <t>71 Hoi Yuen Road</t>
  </si>
  <si>
    <t>164 Wai Yip Street</t>
  </si>
  <si>
    <t xml:space="preserve"> J/O Wai Yip Street, Shun Yip Street &amp; Hoi Bun Road</t>
  </si>
  <si>
    <t>33-35 Wong Chuk Hang Road</t>
  </si>
  <si>
    <t>71 Hung To Road</t>
  </si>
  <si>
    <t>165 Hoi Bun Road</t>
  </si>
  <si>
    <t>28 Heung Yip Road</t>
  </si>
  <si>
    <t xml:space="preserve"> J/O Kai Shun Road, Wang Kwong Road &amp; Kai Cheung Road</t>
  </si>
  <si>
    <t>33 Tsuek Luk Street</t>
  </si>
  <si>
    <t>18-24 Salisbury Road</t>
  </si>
  <si>
    <t>180 Wai Yip Street</t>
  </si>
  <si>
    <t>4-14 Hoi Ping Road, 10 Hysan Avenue &amp; 1-11 Sunning Road</t>
  </si>
  <si>
    <t>979 King's Road</t>
  </si>
  <si>
    <t>123 Hoi Bun Road</t>
  </si>
  <si>
    <t>236-242 Des Voeux Road Central</t>
  </si>
  <si>
    <t>11 Sheung Yuet Road</t>
  </si>
  <si>
    <t>38 Wong Chuk Hang Road</t>
  </si>
  <si>
    <t>20 Des Voeux Road Central</t>
  </si>
  <si>
    <t>CBRE districts</t>
  </si>
  <si>
    <t xml:space="preserve">
Dec 2012 (Sing Tao): Billion paid land premium of around $2,700-$2,800. They will apply for pre-sale consent this month at the earliest. They may be approved and put up for sale in the third and the fourth quarter of next year. The indicative psf price is more than HK$10,000.
Jun 2012: Foundation stage.
27Sep2011 (HKET): land premium was approved at $3,400 psf, and will appeal
Sep 2011: (OS) - they are appealing the land premium.</t>
  </si>
  <si>
    <t xml:space="preserve">
Apr 2014 (Roy): Called Billion, it's not available for sale/lease yet, possibly will be this month.
May 2014: Land premium paid for HKD 1.122 Billion, average premium psf = HKD 4,200 psf (~267,000 sqft)
Jun 2013: foundation done.
Jun 2012: Demolished.
Feb 2012: to be sold on strata basis. Demolition issued November 2011.
Sep 2011: JD (OS) - demolition begun 1-2 months ago. Billion indicated that it could be delayed from 2013 to Q1 2014 at the earliest.</t>
  </si>
  <si>
    <t xml:space="preserve">
Apr 2014 (2014 Annual Report): Presale is planned in 2015.
Jun 2013: more site investigations to be done due to its location along the waterfront.
Aug 2012 (JD): plan to finish Hoi Bun Road project first
Sep 2011: Sam (OS) - Wheelocks plans for Strata sales, not for long-term hold.
5Aug2011: Wheelock outbid 4 others to win this site, 20% more than most analysts expected, at a price of nearly 6,900 psf, analysts forecasted a price of 2.9-3.5 billion, between 4,915-5,932 psf. The 147,499 sf site has been awarded on a 50-year land grant for a premium of 4.028 billion. The max. permitted GFA is 589,996 sf, so the average cost of the site is 6,827 psf.  </t>
  </si>
  <si>
    <t>美心食品第三廠 redevelopment</t>
  </si>
  <si>
    <t>中央樓 (redevelopment)</t>
  </si>
  <si>
    <t>1 On Kwan Street</t>
  </si>
  <si>
    <t xml:space="preserve">
Apr 2015 (Jen): will be available in 2017. 23 floors with 12,000 sf NFA floorplate. Bottom 2 floors for retail and top floor for self use.
Nov 2014 (Roy): walked passed the site, foundation work just started.
Mar 2013 (Yvonne): At the moment bar one shop and one restaurant it will all be for office use. Not for sale. They will be moving their headquarters there (top floors). 
Jan 2013 (Yvonne): after contacting landlord (same as One Pacific Centre), expected completion date is 2016.
Nov 2012: The site attracted 20 bidders and was sold to Tony Lau Hon-chung, the brother of lawmaker Sophie Leung Lau Yau-fun, for about HK$1.82 billion, or HK$5,458 psf, near the low end of market estimates. Lau is familiar with Kowloon Bay, as he and his family own an industrial building near the site.
22 Oct 2012: maximum height is 120 m above PD according to the lease. Estimated around 1.33-2.33 Billion/4,000-7,500 psf.
28 Sept 2012: on the government's land auction list. Tender opens 19 Oct and closes 23 Nov. Cushman &amp; Wakefield’s Valuation Dept Head – Cheung Kiu Chu張翹楚: the estimated AV is HK$7,500, expected value is HK$ 2.48 Billion. He pointed out, there will be walking pathway connecting whole Kowloon bay, so the potential has yet to reveal. Also, the new developments nearby has recorded an average of HK$10,000/sf.
14Oct2011: One of nine sites announced in CBD2-Kowloon East by Ms Carrie Lam. 18Oct2011: (HKET) - estimated price: 111 million ($333 psf) (???)</t>
  </si>
  <si>
    <t xml:space="preserve">
May 2015 (Rocky): Landlord target OP in Q1 2016 and tenant can target to handover in April 2016. No asking rent yet but hoping headline can achieve HK$30psfg
Jun 2012: to be LEED Platinum. Goldin will use top 3 to 4 floors.
Sep 2011: currently bare site. Date consistent with Wheelock site (Wai Yip Street).
Site sold to Goldin Financial via Government tender. The 71,042 sq ft commercial site at the junction of Kai Cheung &amp; Wang Kwong roads in Kowloon Bay. It was sold for 3.43 billion, or 4,026 per buildable sq ft, to Goldin Financial (0530), the company's first successful bid in a government land sale. Gfa of the plot is 511,501-852,502 sq ft. "Future office space there could sell for 7,500-8,000 psf, or ask at least 25 psf/month for lease," a commentator said. July 29, 2011. </t>
  </si>
  <si>
    <t>Billion Development (40%), Sino Land (30%) &amp; CSI Properties (30%)</t>
  </si>
  <si>
    <t>Feb 2015: Land Sale Programme 2014-15.  (Rolled over from 2011-12).
Sep 2012: This is within action area 1</t>
  </si>
  <si>
    <t xml:space="preserve">
May 2015 (HKET): aiming $18 psf.
Dec 2014: Kerry Wong
• Completion: Q1 2016
• Total GFA: 190,000 sfg
• Typical floor: 7,500 sfg
• Use: office
• Accessibility: 2 minutes to MTR
• Rental: to be confirmed
• Specifications: not high Grade A, will be general
June 2014: Premium paid 30.93 mn HKD.
Nov 2012: demolition on the existing industrial building issued in November 2012.
Aug 2011 (Cynthia): Matthew Hon (Industrial) has good contact with landlord, no plans to redevelop yet, just submit plans to save future waiver costs.
Inspection made: building unknocked yet.</t>
  </si>
  <si>
    <t>Vansittart Investment Ltd (Henderson Land)</t>
  </si>
  <si>
    <t>Maxim's Centre</t>
  </si>
  <si>
    <t xml:space="preserve">
May 2015: OP received in March, Rocky says whole building should be for self-use.
Apr 2015: Lease modification executed with a land premium of $418,180,000 in Feb 2013.
Mar2012: Demolition issued
Mar2012: Sam (OS) - Existing an old industrial building by Maxim’s Group and Maxim will redevelop the building into a Grade A office.  Demolition will carry out soon.  Maxim will use most of the floor spaces as their headquarters from 14/F to 27/F and 7/F to 13/F (approx. 60,222 s.f.) will be for lease. Whilst 1/F to 5/F will be reserved for restaurant use and will be handled by the Maxim in-house leasing team.  </t>
  </si>
  <si>
    <t xml:space="preserve">
May 2015: OP received in May according to PjM
May 2014: Rod metioned Sep 2015
Apr 2013: Manulife (International) Limited have signed a sale-and-purchase agreement for One Bay East–West Tower at 83 Hoi Bun Road, Kowloon East for HK$4.5 billion (US$577 million), marking the largest single office tower purchase in Kowloon. One Bay East–West Tower will be named Manulife Tower and will serve as the headquarters for Manulife’s Hong Kong operations. Manulife plans to take occupancy in Manulife Tower in 2016.
6 Dec 2012: (JD) - Wharf looking to sell one tower en-bloc and the other tower strata sale. 2 or 3 major occupiers (an insurance company and mainland chinese banks) are already looking to buy one of the towers en-bloc.
The site went to Wheelock for 3.53 billion (3,856/buildable sf), near the lower end of market expectations. "We plan to invest 2-2.5 billion for 2 grade A office bldgs with total GFA of 910,000 sf," Wheelock executive director Ricky Wong Kwong-yiu said, adding they will continue to focus more on commercial areas in both Kowloon East and Wong Chuk Hang.  The site is designated for non-residential use. 6 tenders were received for the site.</t>
  </si>
  <si>
    <t xml:space="preserve">
May 2015 (Clinton): An insurance company, guessing mass mutual, is still under negotiations for +80% of the office portion. The price has not been agreed and amount of space has not been confirmed, it is intended for consolidation.
5/F &amp; 7/F has been leased to two Chinese restaurants @ $40psf &amp; mid $40psf respectively.
Apr 2015 (Jen): They have reduced the asking rent: 2/F – 9/F for F&amp;B/ Retail tenant asking $43- $45; 10/F and above for Office tenant asking $38, reduced from $44.5; Top floor asking $70.
Mar 2015 (Clinton): Spoke with Lai Sun, I was told they are finalising on securing an 8 floors anchor tenant and negotiating with at least 2  retail occupiers. OP in June, final completion in October. Additionally, they have been receiving purchase offers through Henderson. Henderson manage purchase interest and LSD strictly leasing.
Apr 2014: 133.72 HK$ Mn Land Premium paid for site.  809 HK$ psf.
Jun 2013: foundation work done.
Sep 2011: used to be 3 old residential buildings, likely to be a bare site at the moment. OS to investigate and to check it's usage.</t>
  </si>
  <si>
    <t>Tower 535</t>
  </si>
  <si>
    <t>Lee Garden Three</t>
  </si>
  <si>
    <t xml:space="preserve">
Jun 2015 (Roy): Fact Sheet
Aug 2012 (JD): office portion could be less (around 200,000 sf)
Aug 2012: New World will terminate the lease with Sogo department store at its Tsim Sha Tsui underground shopping centre in 12 Salisbury Road as it is set to redevelop the site. The waterfront site is being redeveloped into a 63 storey office, hotel and shopping centre after tenants vacate the mall.
Jun 2012: bare site now
Mar 2011: Sam (OS) - completion of New World Centre redevelopment in TST was postponed to year 2017.  Office area approx. 400,000 sfg (was 500,000 sfg).  We would try to find out the reason for the delay in completion.  This project will be under the management of K11 team within New World Group.
Sep 2011: Sam (OS) - landlord says it will be a mixed use development and complete 2015 Q4. Update to follow.
Jan 2011: Sam (OS-Kln) - 500,000 for office
22Oct2009 (The-Sun):Total GFA 1.3 million sf, to be developed in Phases.</t>
  </si>
  <si>
    <t>Shanghai Commercial Bank Tower</t>
  </si>
  <si>
    <t>Aug 2015 (Alan): "JP Morgan is going to take the top portion of this building and likely to be 1/3 of the total space relocating from Shatin and One Island East. At the same time, rumour that Swire has put this building in the market for sale through Goldman."
Aug 2015 (Jess): working on foundation
Nov 2013: Swire Properties acquired a Kowloon East office site for HK$2.638bn or HK$4,793psf.
Site went up for tender on 19 Sep 2013, tender closes 1 Nov 2013. The first owner will be be allowed to sell complete building on strata. No lease shall exceed 10 years in the aggregate including any right of renewal. Centaline originally estimated value at $5,500 psf, but have revised down value estimation down 30% to $3,850 psf due to the no strata clause. Midland estimate value @ $4,000 psf.
Mar 2013: 1 of the 6 new sites for sale in the 2013-14 Land Sale Programme. Estimated Earliest Site Available Date: Oct 2013.
14Oct2011: One of nine sites announced in CBD2-Kowloon East by Ms Carrie Lam. 18Oct2011: (HKET) - estimated price: 2.22 billion ($4,000 psf)</t>
  </si>
  <si>
    <t>Goldin Financial</t>
  </si>
  <si>
    <t>Kam Shan Building redevelopment</t>
  </si>
  <si>
    <t>Wish Concept Ltd (Tai Hung Fai)</t>
  </si>
  <si>
    <t>One Bay East (Citi Tower &amp; Manulife Tower)</t>
  </si>
  <si>
    <t>43 Tsun Yip Street</t>
  </si>
  <si>
    <t>The Rays</t>
  </si>
  <si>
    <t>嘉尚匯</t>
  </si>
  <si>
    <t>New World Development</t>
  </si>
  <si>
    <t>Yau Lee Group sold to New World.
http://www.yaulee.com/eng/businessDomain/be/beCompany.htm</t>
  </si>
  <si>
    <t>1 Hennessy Road</t>
  </si>
  <si>
    <t>Link (60%) &amp; Nan Fung Development (40%)</t>
  </si>
  <si>
    <t>Wheelock Properties &amp; China Life (West Tower)</t>
  </si>
  <si>
    <t>Area bounded by Kwun Tong Road, Hong Ning Road, Mut Wah Street and Hip Wo Street</t>
  </si>
  <si>
    <t>Town Planning Board</t>
  </si>
  <si>
    <t xml:space="preserve"> J/O Sheung Yuet Road, Wang Tai Road &amp; Wang Yuen Street</t>
  </si>
  <si>
    <t>535 Jaffe Road</t>
  </si>
  <si>
    <t>J/O Hung Yip Street, Wai Yip Street, Shun Yip Street &amp; Hoi Bun Road</t>
  </si>
  <si>
    <t>J/O On Kwan Street &amp; On Muk Street</t>
  </si>
  <si>
    <t>3 Tai Yau Street</t>
  </si>
  <si>
    <t>NKIL 4899</t>
  </si>
  <si>
    <t>18-22 Tak Fung Street</t>
  </si>
  <si>
    <t xml:space="preserve">
Feb 2016 (Roy): almost complete
Jun 2015: Curtain wall almost complete; internal base fitout underway
Feb 2013 (Roy): bare site
Mar 2012 (Roy): Retail Space includes Basement, G/F &amp; 1/F  (all together around 20,000sf) 2/F - Bank Hall &amp; Main lobby 3-13/F &amp; 27-29/F reserved by the bank 15/F - 26/F office floor (approx. 5,000sf per floor); 4 passenger lifts + 1 disable lift; Architect: ROCCO; Target completion date: June 2015
Mar 2012 (Roy): Demolition issued January 2012
Contact: 2818 0281
Sep 2011 (Cynthia): Ian advised This is being redeveloped for their own use however there may be a little amount of space available for lease.
Sep 2011 (Cynthia): Building is vacant.  Workers onsite currently defitting interior, landlord will have final inspection in 2 mths time and then start knocking down.   Located opp Landmark (Gucci side)
12 QRC bought in 2008 for 1.38B
Plans to demolish the bldgs in 2011 and completion will be 2013-14</t>
  </si>
  <si>
    <t xml:space="preserve">
Feb 2016 (Roy): bare site, preparing for foundation
Nov 2014
Retail: Part B1, G – 4/F 
Office: 5/F – 26/F (352,000 sq ft Lettable)
Over 200 carparking spaces + covered drop off at main entrance
Typical floorplate:17,000 – 18,200 sq ft (Lettable)
91% efficiency (Net to Lettable) 
2.9m clear ceiling / 4.275m slab to slab
3 lift zones with 4 lifts in each zone
150mm raised floor system
Delivery of the project is on track – Q1 2018
Mar 2013: Hysan handled Sales &amp; Redevelopment Clause to tenants with tenants moving out in September. The management indicated that no detail plan is fixed yet but intend/target to redevelop the new office and retail complex with an increase in GFA from current 375,000 sq ft to 460,000 sq ft, while the office portion will be increased from the existing approx 200,000 sf to over 300,000 sf with a floor plate of 18,000 sf. They target to complete the new development in 2017.
Hysan 2012 Annual Results announcement: “To support the district vision, the Group is committed to continually enhancing the asset value of our investment property portfolio through selective re-positioning, refurbishment and re-development. Our next redevelopment target is the combined development of Sunning Plaza and Sunning Court into a mixed-use office and retail complex. Planning is underway, for the project to be completed around 2018.”
Hysan AGM on 18/5/09 mentioned they have no plans to redevelop it but will redecorate it</t>
  </si>
  <si>
    <t xml:space="preserve">
Feb 2016 (Roy): doing foundation
May 2015 (Ian): OP in 2018 Q4
May 2014: according to Ivy Tai, in the last meeting with Chinachem in Jan 2014, their CEO mentioned that the expected completion year is 2016
Nov 2013: demolition issued
Jun 2013: all tenants vacated already, now empty building.
Jan 2013 (Ian): from David Parker COO, Chinachem Group, they have served the “developer” notice on their tenants and the removal date is May 2013.  They have relocated the Post Office as they were obliged to under the government lease, and undertaken the ground contamination tests with regard to the gas station.  The are looking at the demolition tender process right now. OP is scheduled for May 2017.
Jun 2012: tenants move out next year.
Sep 2011 (Cynthia): CN asked Oscar if he knows anyone well at Chinachem that he could introduce.
Contact: Doug Chiu 2368 4968 /  / Gipsy 2739 8811
Aug 2011 (Cynthia): Exisitng building unknocked. Located diagonally Swire's 28 Hennessy Rd.  The landlord indicated they will demolish building at end of year and will take 4 years to complete.</t>
  </si>
  <si>
    <t xml:space="preserve">
Feb 2016 (Roy): appears to have topped out, beginning to remove scaffolding
2014 Annual Report: "With the approval from the Town Planning Board to be redeveloped into an office tower, it isnnow in the process of an appeal to the Government on the amount of assessed land premium.
May 2013: Town Planning approved on 15th March (Application No . A / H 8 / 4 1 7).
Site Area: 3,490 sm/ Town Planning (A/H8/387 Resi) &amp; (A/H8/392 Office) Sept2008/ Minute of TPB on 4Sep09: Plot Ratio for Resi is 7.5; for Ofc is 11; maxi bldg height of 110mPD/ Oriental Dialy 23Sep09 計劃興建兩幢樓高32層包括1層地庫的住宅物業,物業高限為110米(主水平基準以上),總樓面約22.48萬方呎，提供住宅單位約297個</t>
  </si>
  <si>
    <t>Feb 2016 (Roy): looks to be more or less complete
May 2015 (Jerry): brochure saved in:
I:\CBRE Research\Hong Kong\02. Databases\Office Database\Supply info\41 Heung Yip Road
Angela Leong bought the building from Cheung Kong.
July 2013: Office, for sale according to: http://opengov.jmsc.hku.hk/2013/07/02/office-booms-in-wong-chuk-hang/
2012 AR: Commercial development, expected completion Mar 2015
Hotel or Office???</t>
  </si>
  <si>
    <t>Santa Property Investment Ltd (Sun Hung Kai Properties)</t>
  </si>
  <si>
    <t xml:space="preserve">
Feb 2016 (Roy): more or less complete
Dec 2014: applied for pre-sale consent
Jun 2013: building demolition and land premium paid.
Dec 2012: demolition issued in December. Land premium agreed at $15,000 psf.
Aug 2012 (JD): have not agreed modification, building still exists and may need to push date back at end of the year.
Feb 2012: Land premium agreed, tenants to move out at the end of the year and demolition to start next year
27Sep2011: land premium was approved at $1,800 psf, and Billion will appeal
Sep 2011: Billiong pruchased from Windsor but may keep lease or put redevelopment plans on hold.
Kln OS suggested and newspaper/ Source: Ming Pao http://finance.sina.com/bg/chinamkt/mingpao/20100611/115275849.html</t>
  </si>
  <si>
    <t xml:space="preserve">
Feb 2016 (Roy): about 6 floors built
Apr 2015 (Troy): will be available for lease in 2017, low zone will be retail. It is held by the Kwok family and will be for lease. 100,000 sf will get naming right. 
Nov 2014: should be office.
Jun 2013: under demolition.</t>
  </si>
  <si>
    <t>L'Avenue International Holdings (Angela Leong)</t>
  </si>
  <si>
    <t>3 Tai Yau Street (萬迪廣場)</t>
  </si>
  <si>
    <t>NKIL 6505</t>
  </si>
  <si>
    <t>Junction of Cheung Yip Street, Sheung Yee Road &amp; Wai Yip Street</t>
  </si>
  <si>
    <t>Wang Hoi Road</t>
  </si>
  <si>
    <t>Wang Chin Street</t>
  </si>
  <si>
    <t>Junction of Wang Chin Street, Wang Kee Street &amp; Lam Lee Street</t>
  </si>
  <si>
    <t>Action Area 1</t>
  </si>
  <si>
    <t>NKIL 6547</t>
  </si>
  <si>
    <t>Kai Tak Area 1E Site 2</t>
  </si>
  <si>
    <t>West Kowloon Cultural District, OU(MU)1</t>
  </si>
  <si>
    <t>West Kowloon Cultural District, OU(MU)2</t>
  </si>
  <si>
    <t>West Kowloon Cultural District, OU(MU)3</t>
  </si>
  <si>
    <t>West Kowloon Cultural District, OU(MU)4</t>
  </si>
  <si>
    <t>West Kowloon Cultural District, OU(MU)5</t>
  </si>
  <si>
    <t>West Kowloon Cultural District, OU(MU)6</t>
  </si>
  <si>
    <t>West Kowloon Cultural District, OU(MU)7</t>
  </si>
  <si>
    <t>West Kowloon Cultural District, OU(MU)ALL</t>
  </si>
  <si>
    <t>GZHK Express Rail Link, West kowloon Terminus</t>
  </si>
  <si>
    <t>Junction of Argyle Street and Canton Road</t>
  </si>
  <si>
    <t>Hysan</t>
  </si>
  <si>
    <t>93 Queensway</t>
  </si>
  <si>
    <t>2 Murray Road</t>
  </si>
  <si>
    <t>IL 9051</t>
  </si>
  <si>
    <t>Land sale programme 2016-17</t>
  </si>
  <si>
    <t>Site of Red Cross Headquarter &amp; Harcourt Road Pumping Station</t>
  </si>
  <si>
    <t>Feb 2016 (Budget Speech): "we shall also redevelop the Queensway Plaza site, which is capable of providing 93 000 square metres of floor area."
Oct 2015: Study completed, revised and approved.
Dec 2014 (HKET): The study and consultation is complete. It will be redeveloped into a 50-storey Office + Hotel tower. Estimated land price of $20Bn/$20,000 psf. The earliest date the site will be available will be in 2019, when the Lane Crawford lease expires.
Mar 2013: Planning Department have opened tender for study and consultancy on the redevelopment of Queensway Plaza. They are looking into the redevelopment after 2019, when the lease of Lane Crawford expires. It will be redeveloped into a Grade A office building with retail portion.</t>
  </si>
  <si>
    <t>98 Caroline Hill Road</t>
  </si>
  <si>
    <t>Policy Address 2016</t>
  </si>
  <si>
    <t>Rumsey Street Car Park redevelopment</t>
  </si>
  <si>
    <t>2 Rumsey Street</t>
  </si>
  <si>
    <t>Yip Kan Street and Wong Chuk Hang Road</t>
  </si>
  <si>
    <t>Junction of Peel Street &amp; Graham Street</t>
  </si>
  <si>
    <t>HKET/HKEK</t>
  </si>
  <si>
    <t>ex-Wan Chai Police Station cum Wan Chai Police Married Quarters redevlopment</t>
  </si>
  <si>
    <t>123 Gloucester Road and 219-227 Lockhart Road</t>
  </si>
  <si>
    <t>Feb 2014: Rolled over site from 2011-12 Land Sale Programme.  To be tendered second half of 2014/15
Sep 2011 (Cynthia):  No plans submitted at this stage.   Police Building is vacant already but the Police Hostel right opposite on Jaffe Rd has been completely knocked down already.  No recent updates from government.
Aug 2011 (Roy): For tender in December as Hotel/ Commercial/ Community and Cultural use with GFA of 40,989sf.</t>
  </si>
  <si>
    <t>Wan Chai Sports Ground redevelopment</t>
  </si>
  <si>
    <t>20 Tonnochy Road</t>
  </si>
  <si>
    <t>NKIL 6572</t>
  </si>
  <si>
    <t>NKIL 6582</t>
  </si>
  <si>
    <t>STTL 617</t>
  </si>
  <si>
    <t>Land sale programme 2015-16</t>
  </si>
  <si>
    <t>Oct 2015: SHK won the tender for $675.5 million.</t>
  </si>
  <si>
    <t>Development Bureau</t>
  </si>
  <si>
    <t>Kai Tak Area 1F Site 2</t>
  </si>
  <si>
    <t>NKIL 6557</t>
  </si>
  <si>
    <t>NKIL 6556</t>
  </si>
  <si>
    <t>Approved Kai Tak OZP No. S/K22/4: The “CDA(1)” and “CDA(2)” sub-areas located in the Kai Tak City Centre north on the eastern and western sides of Kai Tak River respectively are intended for commercial uses with a lower structure cascading down to the open spaces along the Kai Tak River. The “CDA(2)” sub-are is intended for a low-rise cascading commercial development and subject to a max plot ratio of 4.5 with a max building height of 40mPD. The cascading low-rise structures in both “CDA” sub-areas should descend from 40mPD to 15mPD towards the Kai Tak River or the curvilinear walkway. Both “CDA” sub-areas are subject to a max site coverage (excluding basement(s)) of 65%. 5m wide NBAs along the Kai Tak River will provide a wider vista along the River. ‘Shop and Services’ and ‘Eating Place’ uses in the buildings not exceeding 2 storeys in the retail frontage abutting the Station Square will create a riverside vibrant and festive public gathering place in the town square environment. The NBA at the northern part of the “CDA(2)” site is intended to strengthen the character and identity of the curvilinear landscaped elevated walkway.</t>
  </si>
  <si>
    <t>Kai Tak Area 2A Site 1 (Lung Tsun Stone Bridge and Preservation Corridor)</t>
  </si>
  <si>
    <t>Kai Tak Area 2A Site 1</t>
  </si>
  <si>
    <t>Kai Tak Area 2A Site 3 (Commercial Belt)</t>
  </si>
  <si>
    <t>Kai Tak Area 2A Site 3</t>
  </si>
  <si>
    <t>Approved Kai Tak OZP No. S/K22/4: The “C(3)” zones are located at the northern side of Kai Tak City Centre extending along PERE to Sung Wong Toi Park. This zone is intended to form a belt of high quality office development. These developments will be serviced by the proposed SCL and are expected to meet Hong Kong’s long-term demand in office space. Developments within this zone are subject to a max plot ratio of 4.5, a max site coverage (excluding basement(s)) of 65% and a max building height of 60mPD/70mPD.</t>
  </si>
  <si>
    <t>Kai Tak Area 2A Site 4 (Commercial Belt)</t>
  </si>
  <si>
    <t>Kai Tak Area 2A Site 4</t>
  </si>
  <si>
    <t>Ex-Mong Kok Market redevelopment</t>
  </si>
  <si>
    <t>Land sale programme 2013-14</t>
  </si>
  <si>
    <t>10 Harcourt Road</t>
  </si>
  <si>
    <t>Cheung Kong Hutchison</t>
  </si>
  <si>
    <t>70 Queen's Road Central</t>
  </si>
  <si>
    <t>1 Hysan Avenue, Lee Garden Road &amp; Percival Street</t>
  </si>
  <si>
    <t>77 Leighton Road, Matheson Street &amp; Sharp Street East</t>
  </si>
  <si>
    <t>281 Gloucester Road</t>
  </si>
  <si>
    <t>Hopewell Holdings Limited</t>
  </si>
  <si>
    <t>Golden Horse Mansion redevelopment</t>
  </si>
  <si>
    <t>852-858 King's Road</t>
  </si>
  <si>
    <t>Tai Chi Factory Building redevelopment</t>
  </si>
  <si>
    <t>TPB</t>
  </si>
  <si>
    <t>25-29 Kok Cheung Street</t>
  </si>
  <si>
    <t>98 How Ming Street</t>
  </si>
  <si>
    <t>Mariner's Club redevelopment</t>
  </si>
  <si>
    <t>OZP: On land designated "C(3)", no new development, or addition, alteratino and/or modification to or redevelopment of an existing building shall result in a tital development and/or redevelopment in excess of a maximum plot ratio of 9.0. A community health centre of not less than 4,500 sm GFA shall be provided.
Feb 2014: Rolled over from 2013-14 programme. Estimated Earliest Site Available Date: Second half 2014/15
March 2013: New site on the 2013-14 programme. Estimated Earliest Site Available Date: Mar 2014</t>
  </si>
  <si>
    <t>348 Kwun Tong Road</t>
  </si>
  <si>
    <t>Hotel LBP Group</t>
  </si>
  <si>
    <t>Mar 2016 (Rod): will start to sell this building after the sale of One HarbourGate. 30,000 sf floorplate but could potentially divide into 2 blocks.
Jun 2015: Demolition issed in April 2015
May 2014: Rod mentioned 2019
Jun 2013: tenants will be vacated by 2016, land premium paid for extra GFA&gt;
Jun 2012: may look to move tenants out by 2015/17.
Feb2012: JD (OS) - could still do 3 year leases 
To fully utilize the plot ratio, Wharf has paid a land premium of HK$502.79m to increase the total buildable GFA of World Trade Square (九倉電訊廣場) in Kwun Tong by 200,000 sq.ft. to 600,000 sq.ft. The AV of the additional office GFA was HK$2,514/sq.ft.</t>
  </si>
  <si>
    <t>J/O Hung Luen Road and Kin Wan Street</t>
  </si>
  <si>
    <t>4/F-27/F</t>
  </si>
  <si>
    <t>Kam Hoi Mansion</t>
  </si>
  <si>
    <t>Apr 2015: Swire now own 58/196 ownership of the whole project
http://paper.hket.com/article/1401848/%E8%B2%A1%E5%9C%983%E5%84%84%20%E8%B3%BC%E9%B0%82%E9%AD%9A%E6%B6%8C%E9%87%91%E6%B5%B758%E4%BC%99</t>
  </si>
  <si>
    <t>May 2016: (Ming Pao) Car testing centre will relocate to Tsing Yi. The new centre in Tsing Yi will begin construction in 2016 Q3 and in operation by 2019 Q4. The centre in Action Area 1 will be demolition by 2021 Q3.
May 2016: (Kwun Tong District Council Meeting) The plan is saved:
I:\CBRE Research\Hong Kong\01. Powerpoint Presentation\Standard Slides Library\Office\Long-term Commercial Land Supply Master\Kowloon Bay Action Area.pdf
Jan 2016 (Policy Address): The commercial floor area that can be provided by the two action areas in Kwun Tong and Kowloon Bay will increase from 500 000 or so square metres to about 560 000 square metres. Assume half in Action Area 1 half in Action Area 2</t>
  </si>
  <si>
    <t>Atelier (K11 Office)</t>
  </si>
  <si>
    <t>97 Tai Lin Pai Road</t>
  </si>
  <si>
    <t>KCTL 517</t>
  </si>
  <si>
    <t>Jul 2016: 第一集團項目總監魏深儀表示，區內舊式工廈較多，市場對甲級商廈有需求，商業用地供應甚少，對葵涌區及商廈發展有信心，故是次出價進取，集團計劃打造一幢甲級寫字樓作為拆售，會考慮提供零售樓面，投資額約13億元，預計2019年落成。</t>
  </si>
  <si>
    <t>Tung Chung New Town Extension Stage 3rd Public Engagement</t>
  </si>
  <si>
    <t>Jul 2016: OP issued in May 2016
Dec 2014: applied for pre-sale consent
Dec 2012 (Sing Tao): Billion will build an office tower which has two to three floors of retail spaces and more than ten office space.
Billion was the tender submitted for the site, for HK$828 million, HK$1,942 psf; price was below the low end of the market estimate of HK$830 million.</t>
  </si>
  <si>
    <t>Jul 2016: A C/R plan has been approved by BD in May 2016 Monthly Digest
Dec 2014: Henderson planning to combine the site with the other next to it
http://www.hket.com/eti/article/774547f1-4626-4cd6-a4ca-78beef0ed70b-563472?section=008
Aug 2014 (Jerry): Last phase of compulsory sales has already completed, sold by HK$850mil. According to LL interview, Mansion Building has not completed purchase yet</t>
  </si>
  <si>
    <t>Kings Wing Plaza 2</t>
  </si>
  <si>
    <t>The APEX - Harbourfront (One Harbourfront Extension)</t>
  </si>
  <si>
    <t>18 King Wah Road</t>
  </si>
  <si>
    <t>One Taikoo Place (Taikoo Place Phase 2A redevelopment Somerset House redevelopment)</t>
  </si>
  <si>
    <t>50+2 basement</t>
  </si>
  <si>
    <t>LKF Hotel Redevelopment</t>
  </si>
  <si>
    <t>33 Wyndham Street, Central</t>
  </si>
  <si>
    <t>Retail Team</t>
  </si>
  <si>
    <t>Sep 2016: Peterson Group plans to either renovate LKF Hotel or change the whole block to office use and decision will be finalized by end of 2016. If decided to change to office, the total office area will be 60,000 sf, G/F – 9/F will be for F&amp;B use.  (GC)</t>
  </si>
  <si>
    <t>Peterson Group</t>
  </si>
  <si>
    <t>19700 &amp; 11800</t>
  </si>
  <si>
    <t>Feb 2016 (Roy): foundation looks complete
Feb 2014 (Swire): The first phase of the approved redevelopment plan of TaiKoo Place involves redeveloping Somerset House into a 51-storey office building; the second phase involves redeveloping Cornwall House and Warwick House into a single 46-storey office tower. The first new office building is expected to be ready for handover by 2018.
The agreement includes a cash consideration payable to the HKSAR Government of HK$537million, and an additional amount to reflect any potential appreciation in office values between the date of the agreement and the date of completion of construction of the second phase of the TaiKoo Place redevelopment.  In addition, Swire Properties will fund relocation costs and expenses for the existing HKSAR Government departments to vacate Cornwall House, including the fit out of the 10 floors of Cityplaza Three. The transaction is expected to be completed no later than 30 December 2016.
Feb 2013 (James): Swire indicated that the 'lights get turned off' (ie all tenants are out) at Somerset House on 7 Aug 2013. A little earlier  than expected. 
Aug 2012: (SCMP): "Swire Properties chief executive Martin Cubbon said Somerset House would be demolished first in the third quarter of next year, while plans for Cornwall House and Warwick House were not finalised yet. Somerset House will be torn down to make way for a grade A office tower of about 50storeys."
Jun 2012: Demolition to start Jan 2013 with tenants out of building by Q3/Q4 2012.
Mar 2012 (James): Demolition of Somerset House is planned to start end 2103 with completion (building known as Building 2a) expected in 2017. 
Aug 2011 (Cynthia): Major tenants start to receive development notices from Swire to terminate lease in Aug 2013.  Earliest approved date to commence knocking down is Dec 2013.</t>
  </si>
  <si>
    <t>Kai Tak City Centre (South Apron) Site 3B4</t>
  </si>
  <si>
    <t>Newly added Commercial site in Kai Tak next to Hospital</t>
  </si>
  <si>
    <t>Kai Tak City Centre (South Apron) Site 3B3</t>
  </si>
  <si>
    <t>Kai Tak City Centre (South Apron) Site 3B2</t>
  </si>
  <si>
    <t>TPB General Paper Oct Review Study of Kai Tak Development</t>
  </si>
  <si>
    <t>Kai Tak City Centre (South Apron) Site 3B1</t>
  </si>
  <si>
    <t>Kai Tak City Centre (South Apron) Site 3A6</t>
  </si>
  <si>
    <t>Kai Tak Area 1D Site 2 (Former North Apron)</t>
  </si>
  <si>
    <t>Kai Tak Area 1D Site 2</t>
  </si>
  <si>
    <t>Kai Tak Area 2A Site 5B (Commercial Belt)</t>
  </si>
  <si>
    <t>Kai Tak Area 2A Site 5B</t>
  </si>
  <si>
    <t>Kai Tak Area 2A Site 10 (Commercial Belt)</t>
  </si>
  <si>
    <t>Kai Tak Area 2A Site 10</t>
  </si>
  <si>
    <t>875-877 Lai Chi Kok Road and adjoining Government land</t>
  </si>
  <si>
    <t>TPB S.16 Broad Development Parameters of the Applied Use/Development in respect of Application No . A/K20/127</t>
  </si>
  <si>
    <t>Feoso Group</t>
  </si>
  <si>
    <t>CDW Building (Revitalisation)</t>
  </si>
  <si>
    <t>388 Castle Peak Road</t>
  </si>
  <si>
    <t>Hong Kong Resort</t>
  </si>
  <si>
    <t>Nov 2016 (Rocky): CDW Building (Total Planned GFA: Approx. 91,380 square metres)
CDW Building is a commercial complex comprising a shopping mall and an office tower located in the heart of Tsuen Wan, Hong Kong. The building is conveniently linked to the Tsuen Wan MTR station via a newly renovated/ air-conditioned walkway and is connected with other parts of the territory by the well-established transportation network. With the imminent completion of the Hong Kong- Zhuhai-Macau Bridge, it's connectivity is expected to be further enhanced with better access to the Pearl River Delta and Macau.
1) Shopping Mall  
The 7-storey shopping mall will be a vibrant retail complex for shopping, dining and entertainment. It will become a new social and entertainment hub in Tsuen Wan. 
2) Office Tower 
The office tower consists of 18 floors with typical floor plate of approximately 3,735 sq m. The practical layout offers tenants flexibility in office planning with floor-to-ceiling glass windows. 
A copy of leasing kit has just been sent to your office for your information.  You may also visit our web-site below. 
http://www.hkri.com/icms2/template?series=661&amp;article=9242&amp;leftside1=406&amp;leftside2=5455&amp;menuon=1</t>
  </si>
  <si>
    <t>Pollyanna Chu Yuet Wah (CEO of Kingston Financial Group)</t>
  </si>
  <si>
    <t>Sino Land Company Limited and Empire Group Holdings Limited</t>
  </si>
  <si>
    <t>2022-2026</t>
  </si>
  <si>
    <t>Yeung Uk Road, Tsuen Wan</t>
  </si>
  <si>
    <t>TWTL 393</t>
  </si>
  <si>
    <t>Comprehensive Development Area (7)</t>
  </si>
  <si>
    <t>Dec 2016: CDA Plan got approved by TPB in 2016 Oct. Domestic GFA: 39,365sm; non-Domestic GFA: 61,255sm (Office: 29,475sm, Shop and Service: 23,250sm, Eating Place: 7,030sm, Pesdestrian Walkway:1,500sm) Plan saved in I:\CBRE Research\Hong Kong\02. Databases\Office Database\Supply info\Yeung Uk Road Billion</t>
  </si>
  <si>
    <t>Jessy: Target OP date May 2017</t>
  </si>
  <si>
    <t>Jessy: http://www.mapletreebaypoint.com/en/project-information.php
June 2016 (Jerry): Brochure saved I:\CBRE Research\Hong Kong\02. Databases\Office Database\Supply info\Mapletree
Mar 2016 (RJo): •Name: currently 348 Kwun Tong Road, they are considering what to ‘name’ the building at the moment, which will likely include the word ‘Mapletree’ as they want to improve brand recognition in HK. That said, for the right price they will consider sell out for an anchor tenant looking for naming rights.
• Mapletree sees HK at a long term strategic location and are activity looking for new acquisitions 
• Mapletree are in discussion with EKEO to connect their site to the MTR, nothing confirmed yet
• Mapletree is now… very realistic on rental in an attempt to secure their anchor tenant (circa 100,000 sq ft)
Aug 2014: completion in Oct-2017 according to Landlord
May 2014: Site visit in May, still bare site with no construction sign
Jan 10: Mapletree won the site for 5700 psf
On securing the site, Mapletree plans to develop a Grade-A office building with a total Gross Floor Area (GFA) of 61,344 square metres (660,301 square feet), at a total development cost of more than HK$6 billion.  "There has been a wave of relocation activities as financial institutions, insurance and logistics companies have started to consolidate their operations in this area. The site enjoys good traffic flow and is within walking distance from Ngau Tau Kok MTR station. The potential underground link to Ngau Tau Kok MTR station and the waterfront promenade would further enhance connectivity and accessibility to the site, and help channel both office and retail needs in the locality to the development which is projected to complete by 2017," said Mapletree.
Oct 2013: site will open open for tender on 29 Nov 2013 and tender will close on 10 Jan 2014. HKET: estimated value @ $4,000 - $6,000 psf.
March 2013: New site on the 2013-14 programme. Estimated value $4.16 billion ($5,500 psf). Estimated Earliest Site Available Date: Mar 2014
14Oct2011: One of nine sites announced in CBD2-Kowloon East by Ms Carrie Lam. 18Oct2011: (HKET) - estimated price: 4.752 billion ($4,000 psf).</t>
  </si>
  <si>
    <t>Rhodri James</t>
  </si>
  <si>
    <t>Kai Tak City Centre (Runway) Site 4C4</t>
  </si>
  <si>
    <t>Land sale programme 2017-18</t>
  </si>
  <si>
    <t>Kai Tak City Centre (Runway) Site 4C5</t>
  </si>
  <si>
    <t>NKIL 6546</t>
  </si>
  <si>
    <t>Was intended to be hotel (zone: Commercial (4)), but now being rezoned into C(5), although planning intention indicated the site is "intended" for hotel and commercial, this means the whole site could be in office use.</t>
  </si>
  <si>
    <t>Kai Tak City Centre (Runway) Site 4B5</t>
  </si>
  <si>
    <t>Two Harbour Square</t>
  </si>
  <si>
    <t>35 Queen's Road Central</t>
  </si>
  <si>
    <t>Kingston Financial Group</t>
  </si>
  <si>
    <t>Mar 2017 (Jerry): Kingston Financial Group (Pollyanna Chu) bought this from Fook Lee portfolio sale in 2014</t>
  </si>
  <si>
    <t>TPB Broad Development Parameters of the Applied Use /Development in respect of Application No . A / Y L - P S / 5 2 0</t>
  </si>
  <si>
    <t>Site 2-EPD’s Waste Recycling Centre</t>
  </si>
  <si>
    <t>Junction of Sheung Cheung Road, Cheung Yip Street &amp; Wang Chiu Road</t>
  </si>
  <si>
    <t>Junction of Kai Fuk Road &amp; Wai Yip Street</t>
  </si>
  <si>
    <t>Site 4-TD’s Vehicle Examination Centres (Above EFLS Station)</t>
  </si>
  <si>
    <t>Mapletree Bay Point</t>
  </si>
  <si>
    <t>Hong Kong Pacific Tower</t>
  </si>
  <si>
    <t>42 Pak Tin Par St, Chai Wan Kok</t>
  </si>
  <si>
    <t>The Mills Fabrica</t>
  </si>
  <si>
    <t>Nan Fung Group</t>
  </si>
  <si>
    <t xml:space="preserve">Apr 2017 (Jerry): Planning at the moment: 
G-3/F Retails
4-6/F office  (seems like Anthony Leung will take 1 floor for selfuse) 
It is 13,000 sf salable per floor (not sure eventual Gross area)
</t>
  </si>
  <si>
    <t>Ap Lei Chau</t>
  </si>
  <si>
    <t>Dah Chong Motor Services Centre</t>
  </si>
  <si>
    <t>111 Lee Nam Road</t>
  </si>
  <si>
    <t>22+4 basement</t>
  </si>
  <si>
    <t>Citic Limited</t>
  </si>
  <si>
    <t>May 2017: http://paper.hket.com/article/1806677/%E9%B4%A8%E8%84%B7%E6%B4%B22%E5%95%86%E6%A5%AD%E9%A0%85%E7%9B%AE%20%E6%B6%89142%E8%90%AC%E5%91%8E%E6%A8%93%E9%9D%A2?</t>
  </si>
  <si>
    <t>New Bright Building (Centre Parc)</t>
  </si>
  <si>
    <t>23 Yip Kan Street</t>
  </si>
  <si>
    <t>The Hub (Cavendish Centre Revitalisation)</t>
  </si>
  <si>
    <t>Year</t>
  </si>
  <si>
    <t>Lifestyle International Holdings</t>
  </si>
  <si>
    <t>China Shipbuilding Tower</t>
  </si>
  <si>
    <t>14 Wong Chuk Hang Road</t>
  </si>
  <si>
    <t>14 Wong Chuk Hang Road (ex E-on Factory)</t>
  </si>
  <si>
    <t>Waycon Development (Choi King Yeung)</t>
  </si>
  <si>
    <t>Port 33</t>
  </si>
  <si>
    <t>9-13 Luk Hop Street</t>
  </si>
  <si>
    <t>58 Castle Peak Road</t>
  </si>
  <si>
    <t>Garden</t>
  </si>
  <si>
    <t>Jul 2017: http://paper.hket.com/article/1865699/%E6%96%B0%E8%92%B2%E5%B4%97%E5%B7%A5%E5%BB%88%E8%BD%89%E5%95%86%E7%94%A8%20%E6%B6%89225%E8%90%AC%E5%91%8E%E6%A8%93%E9%9D%A2</t>
  </si>
  <si>
    <t>7-9 Pat Tat Street</t>
  </si>
  <si>
    <t>698 Prince Edward Road East</t>
  </si>
  <si>
    <t>Stelux House redevelopment</t>
  </si>
  <si>
    <t>712 Prince Edward Road East/112 King Fuk Street</t>
  </si>
  <si>
    <t>Jul 2017: Section 16 Application to TPB. Pending to approval</t>
  </si>
  <si>
    <t>Stelux Holdings International Limited</t>
  </si>
  <si>
    <t>Kwun Tong Action Area</t>
  </si>
  <si>
    <t>Kwun Tong District Council</t>
  </si>
  <si>
    <t>2 or 3</t>
  </si>
  <si>
    <t>30 or 25</t>
  </si>
  <si>
    <t>Kwun Tong Town Centre (Site 4 &amp; 5)</t>
  </si>
  <si>
    <t>One Hennessy</t>
  </si>
  <si>
    <t xml:space="preserve">New World Development </t>
  </si>
  <si>
    <t>Harbour City, Tsim Sha Tsui, Kowloon, Hong Kong</t>
  </si>
  <si>
    <t>Brokers</t>
  </si>
  <si>
    <t>Aug 2017 (Jerry): Gateway decided to convert serviced apartment in Tower 5 (Hampton Court) into office, while keeping the service apartment in Tower 3 operated.</t>
  </si>
  <si>
    <t>Water Supplies Department Hong Kong Redevelopment</t>
  </si>
  <si>
    <t>611 King's Road</t>
  </si>
  <si>
    <t>Oct 2017: Water Supplies Department will relocate to Chai Wan new government HQ, which will commense construction work in 2020 and be completed in 2024. It has been rezoned to "C" already</t>
  </si>
  <si>
    <t>South Island Place</t>
  </si>
  <si>
    <t>Kai Tak Area 1M Site 1 (Riverside Plaza)</t>
  </si>
  <si>
    <t>Kai Tak Area 1M Site 1</t>
  </si>
  <si>
    <t>Kai Tak Site 4D2 Tourism Node</t>
  </si>
  <si>
    <t>Tourism Node EOI</t>
  </si>
  <si>
    <t>Wing Tai (65%) &amp; CSI Properties (35%) &amp; Urban Renewal Authority</t>
  </si>
  <si>
    <t>19 Wang Chiu Road</t>
  </si>
  <si>
    <t>3-5 San Ma Tau St, Ma Tau Kok</t>
  </si>
  <si>
    <t>Sunwah Group</t>
  </si>
  <si>
    <t>Dec 2017 (Jerry): demolished
Feb 2016 (Roy): scaffolding around building, about to demolish</t>
  </si>
  <si>
    <t>Rykadan Capital</t>
  </si>
  <si>
    <t>Island Pacific Hotel redevelopment</t>
  </si>
  <si>
    <t>152 Connaught Road West</t>
  </si>
  <si>
    <t>Wylan Ltd (Sino)</t>
  </si>
  <si>
    <t>Kingston International Centre</t>
  </si>
  <si>
    <t>K83</t>
  </si>
  <si>
    <t>22+3 basement</t>
  </si>
  <si>
    <t>NEO</t>
  </si>
  <si>
    <t>24 + 2 basement</t>
  </si>
  <si>
    <t>Zung Fu Industrial Building and Wah Ha Factory Building redevelopment</t>
  </si>
  <si>
    <t>1067 King's Road</t>
  </si>
  <si>
    <t>Gee Luen Hing Industrial Building Redevelopment</t>
  </si>
  <si>
    <t>2 Yip Fat Street</t>
  </si>
  <si>
    <t>Central Development</t>
  </si>
  <si>
    <t>Empire Group</t>
  </si>
  <si>
    <t>Tin Fung Industrial Mansion Redevelopment</t>
  </si>
  <si>
    <t>63 Wong Chuk Hang Road</t>
  </si>
  <si>
    <t>350 Kwun Tong Road</t>
  </si>
  <si>
    <t>Law's Group</t>
  </si>
  <si>
    <t>2027+</t>
  </si>
  <si>
    <t>2023-2027</t>
  </si>
  <si>
    <t>Jul 2017: New World has acquired most of the units in 9 Luk Hop Street and 50% of 11-13 Luk Hop Street
Mar 2018: New World revitalise the building to office/retail use instead of redevelopment</t>
  </si>
  <si>
    <t>Total GFA (sm)</t>
  </si>
  <si>
    <t>Total GFA (sf)</t>
  </si>
  <si>
    <t>Dec 2015 (TPB): 547th MPC MEETING ON 04.12.2015
After deliberation, the Committee decided to approve the application, on the terms of the application as submitted to the Town Planning Board (TPB). The permission should be valid until 4.12.2019, and after the said date, the permission should cease to have effect unless before the said date, the development permitted was commenced or the permission was renewed. The permission was subject to the following conditions :
(a) the provision of car parking and loading/unloading facilities to the satisfaction of the Commissioner for Transport or of the TPB;
(b) the submission of a sewerage impact assessment to the satisfaction of the Director of Environmental Protection or of the TPB; 
(c) the implementation of the local sewerage upgrading/sewerage connection works identified in the sewerage impact assessment in planning condition (b) above to the satisfaction of the Director of Drainage Services or of the TPB; and
(d) the provision of fire service installations and water supplies for fire fighting to the satisfaction of the Director of Fire Services or of the TPB.
Nov 2017 (TPB): 592nd MPC 592nd MPC MEETING ON 10.11.2017
Approved for residential cum retail development (A/K3/577)</t>
  </si>
  <si>
    <t>27+3 basement</t>
  </si>
  <si>
    <t>Harbourview Horizon Suites</t>
  </si>
  <si>
    <t>12 Hung Lok Road</t>
  </si>
  <si>
    <t>Mar 2018: CK Asset admitted they have submitted building plan for Harbourview Horizon Suites and Harbourfront Horizon Suites; but no solid plan for redevelopment yet</t>
  </si>
  <si>
    <t>218 Electric Road</t>
  </si>
  <si>
    <t>Potential only, No plans submitted.  Tamar zone, close to water.
Site 5 is grouped to 'Admiralty' as it is in front of Citic Tower, Admiralty. See page 83 of final report. Site 1 Total Area: 34,200 sm (including 24,900 sm for hotel or office; 9,300 sm for retail) / The Bldg Limit has been lowered from 73mPD to 24mPD in the Policy Address 2009, may only for retail &amp; recreation use and have no office
Apr-2018: The Judiciary has recently accepted in principle for using Site 5 and the site south of Site 5 at the new Central Harbourfront for the development of the JCHC; and a portion of the Caroline Hill Road (CHR) site for the development of the DCC. Costing over $20 billion, these projects will fully address the long-term accommodation needs of courts.</t>
  </si>
  <si>
    <t>Potential only, No plans submitted. Red cross - Tamar zone.
Apr-2018: The Judiciary has recently accepted in principle for using Site 5 and the site south of Site 5 at the new Central Harbourfront for the development of the JCHC; and a portion of the Caroline Hill Road (CHR) site for the development of the DCC. Costing over $20 billion, these projects will fully address the long-term accommodation needs of courts.</t>
  </si>
  <si>
    <t>Jul 2017: https://www.mpfinance.com/fin/daily2.php?node=1501872391300&amp;issue=20170805</t>
  </si>
  <si>
    <t>38 Wai Yip Street</t>
  </si>
  <si>
    <t>26+ 3 basement</t>
  </si>
  <si>
    <t>28 + 4 basement</t>
  </si>
  <si>
    <r>
      <t xml:space="preserve">&lt;- </t>
    </r>
    <r>
      <rPr>
        <b/>
        <sz val="11"/>
        <color rgb="FFFF0000"/>
        <rFont val="Calibri"/>
        <family val="2"/>
        <scheme val="minor"/>
      </rPr>
      <t>Not included completed projects</t>
    </r>
  </si>
  <si>
    <t>Total Sum of Pre-leased space (Usable FA) (sf)</t>
  </si>
  <si>
    <t>Total Sum of Pre-sold (Usable FA) (sf)</t>
  </si>
  <si>
    <t>Total Sum of Self-use space (Usable FA) (sf)</t>
  </si>
  <si>
    <t>KLN/NT</t>
  </si>
  <si>
    <t>77 Hoi Yuen Road</t>
  </si>
  <si>
    <t>Biel Crystal</t>
  </si>
  <si>
    <t>Tai Hung Fai</t>
  </si>
  <si>
    <t>Skycity Phase 2 Site A2 &amp; A3</t>
  </si>
  <si>
    <t>Airport Authority</t>
  </si>
  <si>
    <t>The Chinese Bank Building and Chinachem Tower redevelopment</t>
  </si>
  <si>
    <t>Chinachem; CITIC Bank</t>
  </si>
  <si>
    <t>3-6 Glenealy</t>
  </si>
  <si>
    <t>20 +  4 basement</t>
  </si>
  <si>
    <t>PCPD; CSI</t>
  </si>
  <si>
    <t>38 Queensway</t>
  </si>
  <si>
    <t>High Court Redevelopment</t>
  </si>
  <si>
    <t>61 Des Voeux Road Central</t>
  </si>
  <si>
    <t>Leisun Court/ Lei ha Court Caroline hill court/ Lei wan court/ Lei Ka Court redevelopment</t>
  </si>
  <si>
    <t>J/O Leighton Rd and Haven St</t>
  </si>
  <si>
    <t>Jun-18: (Peter) Winfull Group is helping a developer to assembly of titles</t>
  </si>
  <si>
    <t>212-214 Des Voeux Road Central</t>
  </si>
  <si>
    <t>Des Voeux Commercial Centre Redevelopment</t>
  </si>
  <si>
    <t>展商積極併購市區舊樓作發展，土地註冊處資料顯示，上環德輔道中212至214號德輔商業中心一籃子物業，包括地下A舖及樓上10層商業樓面，上月中以3.5億元易手，新買家為軒明發展有限公司，其公司董事為大鴻輝興業主席梁紹鴻等人。
據了解，梁紹鴻2016年已以1.2億元購入德輔商業中心半數業權，現購入商廈的餘下半數業權，意味以4.7億元完成收購該廈全部業權。
事實上，梁同時購入該商廈周邊舊樓，合併後地盤面積1.2萬方呎，以最高可發展地積比率15倍計，預計可發展樓面面積約18萬方呎，據悉梁暫時會作收租之用，並擬先發展上環干諾道西一帶的收購物業，涉地盤面積約2.8萬方呎，可建樓面面積逾40萬方呎，將建甲廈，投資額逾100億元。</t>
  </si>
  <si>
    <t>100-114 Bedford Road</t>
  </si>
  <si>
    <t>Lofter Group accquired the site and will redevelop it to commercial use</t>
  </si>
  <si>
    <t>Landmark South</t>
  </si>
  <si>
    <t>Feb 2016 (Roy): scaffolding around building, about to demolish
Jul 2018 (Peter): updated GFA/NFA based on the marketing material</t>
  </si>
  <si>
    <t>Total Sum of Space available for lease (Usable FA) (sf)</t>
  </si>
  <si>
    <t>Total Sum of Space available for sale (Usable FA) (sf)</t>
  </si>
  <si>
    <t>Total Sum of Space available uncertain of use (Usable FA) (sf)</t>
  </si>
  <si>
    <t>1 Hing Yip Street</t>
  </si>
  <si>
    <t>ex-Camelpaint Centre</t>
  </si>
  <si>
    <t>Tang Shing Bor</t>
  </si>
  <si>
    <t>Central Plaza Annex</t>
  </si>
  <si>
    <t>18 Harbour Road</t>
  </si>
  <si>
    <t>Sino Land &amp; Sun Hung Kai Properties</t>
  </si>
  <si>
    <t>KLN &amp; NT</t>
  </si>
  <si>
    <r>
      <t xml:space="preserve">Sum of </t>
    </r>
    <r>
      <rPr>
        <b/>
        <sz val="11"/>
        <color rgb="FFFF0000"/>
        <rFont val="Calibri"/>
        <family val="2"/>
        <scheme val="minor"/>
      </rPr>
      <t>Pre-leased space</t>
    </r>
    <r>
      <rPr>
        <sz val="11"/>
        <color theme="1"/>
        <rFont val="Calibri"/>
        <family val="2"/>
        <scheme val="minor"/>
      </rPr>
      <t xml:space="preserve"> (Usable FA) (sf)</t>
    </r>
  </si>
  <si>
    <r>
      <t xml:space="preserve">Sum of </t>
    </r>
    <r>
      <rPr>
        <b/>
        <sz val="11"/>
        <color rgb="FFFF0000"/>
        <rFont val="Calibri"/>
        <family val="2"/>
        <scheme val="minor"/>
      </rPr>
      <t>Pre-sold</t>
    </r>
    <r>
      <rPr>
        <sz val="11"/>
        <color theme="1"/>
        <rFont val="Calibri"/>
        <family val="2"/>
        <scheme val="minor"/>
      </rPr>
      <t xml:space="preserve"> (Usable FA) (sf)</t>
    </r>
  </si>
  <si>
    <r>
      <t xml:space="preserve">Sum of </t>
    </r>
    <r>
      <rPr>
        <b/>
        <sz val="11"/>
        <color rgb="FFFF0000"/>
        <rFont val="Calibri"/>
        <family val="2"/>
        <scheme val="minor"/>
      </rPr>
      <t>Self-use space</t>
    </r>
    <r>
      <rPr>
        <sz val="11"/>
        <color theme="1"/>
        <rFont val="Calibri"/>
        <family val="2"/>
        <scheme val="minor"/>
      </rPr>
      <t xml:space="preserve"> (Usable FA) (sf)</t>
    </r>
  </si>
  <si>
    <t>Total</t>
  </si>
  <si>
    <r>
      <t>Sum of Space</t>
    </r>
    <r>
      <rPr>
        <b/>
        <sz val="11"/>
        <color rgb="FFFF0000"/>
        <rFont val="Calibri"/>
        <family val="2"/>
        <scheme val="minor"/>
      </rPr>
      <t xml:space="preserve"> available for lease</t>
    </r>
    <r>
      <rPr>
        <sz val="11"/>
        <color theme="1"/>
        <rFont val="Calibri"/>
        <family val="2"/>
        <scheme val="minor"/>
      </rPr>
      <t xml:space="preserve"> (Usable FA) (sf)</t>
    </r>
  </si>
  <si>
    <r>
      <t xml:space="preserve">Sum of Space </t>
    </r>
    <r>
      <rPr>
        <b/>
        <sz val="11"/>
        <color rgb="FFFF0000"/>
        <rFont val="Calibri"/>
        <family val="2"/>
        <scheme val="minor"/>
      </rPr>
      <t>available for sale</t>
    </r>
    <r>
      <rPr>
        <sz val="11"/>
        <color theme="1"/>
        <rFont val="Calibri"/>
        <family val="2"/>
        <scheme val="minor"/>
      </rPr>
      <t xml:space="preserve"> (Usable FA) (sf)</t>
    </r>
  </si>
  <si>
    <r>
      <t xml:space="preserve">Sum of Space </t>
    </r>
    <r>
      <rPr>
        <b/>
        <sz val="11"/>
        <color rgb="FFFF0000"/>
        <rFont val="Calibri"/>
        <family val="2"/>
        <scheme val="minor"/>
      </rPr>
      <t>available uncertain of use</t>
    </r>
    <r>
      <rPr>
        <sz val="11"/>
        <color theme="1"/>
        <rFont val="Calibri"/>
        <family val="2"/>
        <scheme val="minor"/>
      </rPr>
      <t xml:space="preserve"> (Usable FA) (sf)</t>
    </r>
  </si>
  <si>
    <t>Office UFA (Net) (sm)</t>
  </si>
  <si>
    <t>Office UFA (Net) (sf)</t>
  </si>
  <si>
    <t>Sum of Office UFA (Net) (sf)</t>
  </si>
  <si>
    <t>32 Hung To Road</t>
  </si>
  <si>
    <t>麒豐資本</t>
  </si>
  <si>
    <t>Ex-Mee Wah Factory Building</t>
  </si>
  <si>
    <t>Pre-commitment  Rate (%)</t>
  </si>
  <si>
    <t>153-167 Queen's Road East</t>
  </si>
  <si>
    <t>1016-1018 Tai Nan West Street</t>
  </si>
  <si>
    <t>Apr 2016 (HKEJ): government plans to finish demolition (but keep foundation) by Q3 2018.
Jan 2016 (Policy Address): In the short and medium term, Queensway Plaza will be redeveloped and the government site at Caroline Hill Road will be rezoned for commercial development.
Rosanna: Currently the site is of a combination of (1)ex-Electrical and Mechanical Services Department Headquarters, (2) PCCW Recreation Club and (3) Post Office Recreation Club, and therefore if the government really decide to convert the site for commercial use, it would involve another process of rezoning from GIC and recreational usage to commercial usage. 
A local news (HKET) reported this again in their press yesterday, and said a “market source” indicated that if the sites are to be converted, it could provide ~1.1 million sq ft commercial spaces in CWB.
Therefore, it is to be confirmed whether (1) if the site will be converted to commercial usage; and (2) if yes, what is the office space proportion and (3) the actual timeline to put in the public.
Causeway Bay for commercial use. The site xpctd to provide total GFA of 1.1mft2. According to the preliminary proposal, future dev on the site willmainly be office use. There will also be some hotel &amp; retail elements in the dev. The current mkt xpctd value HK$10- 13.2bn, or HK$10,000- 12,000psf. (HKET) &lt;&lt;As the Caroline Hill Rd site is near Hysan’s Lee Gardens hub &amp; opposite its new Sunning Court/Sunning Place re-dev, we would xpct Hysan to be v interested in the site. The total dev costfor the Caroline Hill Rd site cld be over HK$20bn &amp; would be easily Hysan’s largest investment ever. Despite Hysan’s low net gearing at 5%, we think such an investment cld take Hysan’s net gearing to above its comfort lvl. As such, we think Hysan would bring in a partner if it were interested. However, we xpct it to take time to rezone the site b/f it becomes available to the mkt&gt;&gt;
Mar-18: Total GFA area is 170,000 sqm, with 100,000 sqm for commercial and 70,000 sqm for District Court
Jun-18: PlansD mentioned during the meeting: 規劃署會向城規會建議，把零售樓面面積限制為 10 000平方米，並會建議地政總 署 在將 來的 賣 地條款加入這限制，以免該處一帶的零售用途吸引過多車輛，造成如時代廣場對其附近道路網絡的影響。時代廣場的零售樓面面積佔整體樓面面積約40%，因此對交通造成較大影響。有關規劃建議只將一成的樓面面積作零售用途，相信可減低交通影響。</t>
  </si>
  <si>
    <t>Jul 2016: JP Morgan signed 220,000sf with The Link REIT at $30/sf eff for Shatin relocation; and will potentially sign another 100,000sf for Hong Kong East relocation
Mar 2016 (Felipe Leung from Link): OP expected in early 2019 (or even earlier). Will be twin tower but every floor can be connnected (8 shaped). No naming right but will have signage. Floor plate 51,000 sf on connected floor. 72% whole floor efficiency. 400+ car parks in basement. Will likely have a new tunnel connecting mtr to Mapletree site to Hoi Bun Road Park. 110,000 sf (just over 2 floors) will be for retail.
Nov 2015: Jess - it will be a twin tower like PCCW &amp; Dorset House, can be connected to make up 55,000 sf floorplate. 400+ carparks
Tender closes on 23 Jan 2015
Feb 2014: Rolled over from 2013-14 programme.  To be tendered 2H 2014/15
March 2013: Part of Action Area 1. New site on the 2013-14 programme. Estimated value $5.58 billion ($5,500 psf). Estimated Earliest Site Available Date: Mar 2014
Shuttle bus is target to have one to either Kowloon Bay or Nagy Tau Kok, one to Central.</t>
  </si>
  <si>
    <t>1001 King's Road</t>
  </si>
  <si>
    <t xml:space="preserve">Feb 2016 (Roy): beginning construction
Oct 2015 (Sing Tao): Foundation completed, project to be completed in 2018. Will be a ginza style commercial building with banks as F&amp;B. There will be 3 retail units on G/F, 2,000 sf each.
Sep 2018 (Candy): Bank: B/F-2/F; F&amp;B: 3/F-12/F; Office: 17/F-22/F; F&amp;B: 23/F-25/F </t>
  </si>
  <si>
    <t>Sep 2018: Rejected by the TPB</t>
  </si>
  <si>
    <t>Oct 2018(Peter): Obtained OP in Aug
Feb 2016 (Roy): doing foundation
Apr 2014 (Jason): China Motor Bus 2012/13 AR - It is anticipated that a 28 storeyed Grade A office building (comprising three levels of basement carpark, an entrance floor on the
ground floor, 25 office floors, one refuge floor and one mechanical floor) would be constructed on the site.
Site Area: 25,500 sf
Feb 2014 (Ian): Industrial site that was converted to commercial use.  (premium paid approximately HK$1,070 million)
In February 2014, the Company which owns an industrial site at 8‐10 Wong Chuk Hang Road in Aberdeen, Hong Kong (in which Swire Properties has a 50% interest) agreed with the Government to proceed with a modification of the Government Leases to permit the site to be used for commercial purposes. The site is intended to be developed into an office building with an aggregate gross floor area of approximately 382,500 square feet.
Aug 2011 (Cynthia): Potential only. No plans submitted.</t>
  </si>
  <si>
    <t>Swire Properties/ Henderson Land</t>
  </si>
  <si>
    <t>Oct 18 (Peter): actual design refer to supply info</t>
  </si>
  <si>
    <t>W LUXE</t>
  </si>
  <si>
    <t>Tung Chung Area 6</t>
  </si>
  <si>
    <t>Policy Address 2018/ District Council</t>
  </si>
  <si>
    <t>232 Wan Chai Road</t>
  </si>
  <si>
    <t>24  + 1 LG</t>
  </si>
  <si>
    <t>BD Digest</t>
  </si>
  <si>
    <t>Continental Holdings Ltd</t>
  </si>
  <si>
    <t>22 + 2 basement</t>
  </si>
  <si>
    <t>H Code</t>
  </si>
  <si>
    <t>45-47 Pottinger Street, 1-5 Tun Wo Lane &amp; 4-7 Ezra's Lane</t>
  </si>
  <si>
    <t>23+1 lower ground floor / 11</t>
  </si>
  <si>
    <t>Lantau Reclamation</t>
  </si>
  <si>
    <t>Kau Yi Chau</t>
  </si>
  <si>
    <t>Lantau</t>
  </si>
  <si>
    <t>30 + 3 basement</t>
  </si>
  <si>
    <t>15-53A Pan Hoi Street</t>
  </si>
  <si>
    <t>A/K11/233 applied for redevelopment for non-polluting industrial use</t>
  </si>
  <si>
    <t>48-94 Pan Hoi Street</t>
  </si>
  <si>
    <t>983-987A King's Road &amp; 16-46 Pan Hoi Street</t>
  </si>
  <si>
    <t>26+4 basement &amp; 2 podium</t>
  </si>
  <si>
    <t>1-9 Sha Tsui Road</t>
  </si>
  <si>
    <t>21 + 2 basements</t>
  </si>
  <si>
    <t>54-58 Electric Road</t>
  </si>
  <si>
    <t>Henry Ng</t>
  </si>
  <si>
    <t>Inland Lots 8590 RP (Part) and 8723 RP (Part) and Adjoining Government Land, Hoi Yu Street, and a strip of Government Land connecting to Hoi Tai Street, Quarry Bay, Hong Kong</t>
  </si>
  <si>
    <t>Hoi Yu Street development</t>
  </si>
  <si>
    <t>23 &amp; 8</t>
  </si>
  <si>
    <t>Lucky Building redevelopment</t>
  </si>
  <si>
    <t>Nov 2017: gist saved in I:\CBRE Research\Hong Kong\02. Databases\Office Database\Supply info\Lucky House redevelopment
Feb 2019: Approved by TPB</t>
  </si>
  <si>
    <t>2024-2028</t>
  </si>
  <si>
    <t>ex-Conic Investment Tower</t>
  </si>
  <si>
    <t>13 Hok Yuen Street</t>
  </si>
  <si>
    <t>Sun Hung Kai Properities</t>
  </si>
  <si>
    <t>222-228 Wan Chai Road</t>
  </si>
  <si>
    <t>Harbourfront Horizon Suites</t>
  </si>
  <si>
    <t>8 Hung Luen Road</t>
  </si>
  <si>
    <t>China Travel Hip Kee Godown Co. (HK) Ltd Godown No. 2</t>
  </si>
  <si>
    <t>J/O Cheong Hang Road and Winslow Street</t>
  </si>
  <si>
    <t>China Travel Services</t>
  </si>
  <si>
    <t>China Travel Hip Kee Godown Co. (HK) Ltd Godown No. 1</t>
  </si>
  <si>
    <t>226-240 Electric Road</t>
  </si>
  <si>
    <t>Hang Lung Announcement</t>
  </si>
  <si>
    <t>Hang Lung Properties (66%) &amp; Hang Lung Group (33%)</t>
  </si>
  <si>
    <t>Jan 2018: First Group bought at HK$600mil in Jan 2018 Apr 2019: First Group paid $921mil as land premium ($5,344/sf)</t>
  </si>
  <si>
    <t>216-232 Des Voeux Road Central</t>
  </si>
  <si>
    <t>368 Kwun Tong Road</t>
  </si>
  <si>
    <t>33 + 3 basement</t>
  </si>
  <si>
    <t>11724/12358</t>
  </si>
  <si>
    <t>42+3 basement</t>
  </si>
  <si>
    <t>7 &amp; 8</t>
  </si>
  <si>
    <t>210-212 Choi Hung Road and 15&amp;17 Ng Fong Street</t>
  </si>
  <si>
    <t>13 + 2 podium + 2 basement</t>
  </si>
  <si>
    <t>Sino Lands</t>
  </si>
  <si>
    <t>13 + 2 basement</t>
  </si>
  <si>
    <t>Harbour East</t>
  </si>
  <si>
    <t>29 + 3 basement</t>
  </si>
  <si>
    <t>59-63 Chai Wan Kok Street</t>
  </si>
  <si>
    <t>22+2 basement levels</t>
  </si>
  <si>
    <t>Skyway House Redevelopment</t>
  </si>
  <si>
    <t>3 Sham Mong Road</t>
  </si>
  <si>
    <t>19 + 4 basement and 4 podium level</t>
  </si>
  <si>
    <t>14Oct2011: One of nine sites announced in CBD2-Kowloon East by Ms Carrie Lam. 18Oct2011: (HKET) - estimated price: 2.341 billion ($4,001 psf)
16Oct2019: Taken out; change to residential use</t>
  </si>
  <si>
    <t>14Oct2011: One of nine sites announced in CBD2-Kowloon East by Ms Carrie Lam. 18Oct2011: (HKET) - estimated price: 4.505 billion ($4,000 psf)
16Oct2019: Taken out; change to residential use</t>
  </si>
  <si>
    <t>26 + 3 basement</t>
  </si>
  <si>
    <t>1 Stubbs Road</t>
  </si>
  <si>
    <t>18 + 4 basement</t>
  </si>
  <si>
    <t>Self-use</t>
  </si>
  <si>
    <t>AIA Company Ltd</t>
  </si>
  <si>
    <t>31 + 4 basements</t>
  </si>
  <si>
    <t>21 + 12 podium and 4 basement levels</t>
  </si>
  <si>
    <t>162 Queen's Road Central &amp; 111 Wellington Street</t>
  </si>
  <si>
    <t>162 Queen's Road Central</t>
  </si>
  <si>
    <t>Far East Consortium</t>
  </si>
  <si>
    <t>Alexander House Top Floor</t>
  </si>
  <si>
    <t>16-20 Chater Road</t>
  </si>
  <si>
    <t>Change of the top floor to office use</t>
  </si>
  <si>
    <t>K11 ATELIER King's Road</t>
  </si>
  <si>
    <t>The Gateway - Sun Life Tower Extension</t>
  </si>
  <si>
    <t>The Quayside</t>
  </si>
  <si>
    <t>Two Taikoo Place</t>
  </si>
  <si>
    <t>11-15 Chai Wan Kok Street</t>
  </si>
  <si>
    <t>19 + 4 basement levels</t>
  </si>
  <si>
    <t>107-109 Wai Yip Street</t>
  </si>
  <si>
    <t>ex-Hsin Chong Centre</t>
  </si>
  <si>
    <t>Star Properties</t>
  </si>
  <si>
    <t>Jan 2020: Applying for revitalisation 2.0 for 20% plot ratio relaxation for office development</t>
  </si>
  <si>
    <t>7 Lai Yip Street</t>
  </si>
  <si>
    <t>ex-Man Shung Industrial Building</t>
  </si>
  <si>
    <t>Able Engineering Holding Limited</t>
  </si>
  <si>
    <t>Jan 2020: Apporved for revitalisation 2.0 for 20% plot ratio relaxation for office development</t>
  </si>
  <si>
    <t>13 Sheung Yuet Road</t>
  </si>
  <si>
    <t>ex-Shui Hing Centre</t>
  </si>
  <si>
    <t>31 + 3 basement</t>
  </si>
  <si>
    <t>Wing Tai</t>
  </si>
  <si>
    <t>7 Kai Hing Road</t>
  </si>
  <si>
    <t>ex-Kerry D.G. Warehouse (Kowloon Bay)</t>
  </si>
  <si>
    <t>21 + 5 basement levels</t>
  </si>
  <si>
    <t>Laws Group</t>
  </si>
  <si>
    <t>District Order</t>
  </si>
  <si>
    <t>Kai Tak Area 2A Site 2 &amp; Kai Tak Area 2A Site 3</t>
  </si>
  <si>
    <t>25/25</t>
  </si>
  <si>
    <t>Kai Tak Area 2A Site 2 (Lung Tsun Stone Bridge and Preservation Corridor) &amp; 2A Site 3</t>
  </si>
  <si>
    <t>Man Yiu Street, New Central Harbourfront, Hong Kong</t>
  </si>
  <si>
    <t>IL 9088</t>
  </si>
  <si>
    <t>NKIL 6589</t>
  </si>
  <si>
    <t>NKIL 6590</t>
  </si>
  <si>
    <t>37-43 Sha Tsui Road</t>
  </si>
  <si>
    <t>20 + 3 basement level</t>
  </si>
  <si>
    <t>2025-2029</t>
  </si>
  <si>
    <t>NKIL 6607</t>
  </si>
  <si>
    <t>Sun Hung Kai Properties/ Ping An Insurance</t>
  </si>
  <si>
    <t>May 2020 (Marcos):
•	Superstructure commences May 2020
•	Apr 2023 OP, handover Jul 2023
•	Sep 2020 agency appointment
•	No decision if HLD will move there
•	25 off flrs (16,000 sq ft GFA)
•	1 F&amp;B flr (10,000 sq ft)
•	1 banquet fl (10,000 sq ft), 8.5m ceiling height
•	5 flrs cp, 265 slots
•	Floor-to-ceiling 3.5m (clear)
•	Jun/Jul market update from agents
•	Submission of proposal end-Jul, Aug presentation
•	No naming right, signage maybe at the G/F
Feb 2016 (RN): put onto the 2016-17 Land Sale Programme
Jan 2014 (HKET): MURRAY ROAD CAR PARK PLOT EXPECTED LAUNCH IN 2016 (Hong Kong Economic Times)
The plot of Murray Road Car Park; Murray Road, Central, is expected to be launch in 2016 as various technical assessments have to be made, including traffic assessment. There will not be any government plots launched for sale core districts of Central in the coming years. The government plans to convert the car park building to commercial development, providing around 430,000 square feet of gross floor space for the commercial district in Central. The market predicted that the psf price would reach around HK$18,000. The market value of the project is more than HK$7.7 billion. 
Mar 2013 (Ed): I’ve just spoken to the planning dept to follow up on the recent announcements.  The whole planning process to change the use of Murray Road car park (TIA, parking provision study, Town Planning procedures, ExCo approval) could perhaps be done within a  year and disposal could be realised within the 2013 / 2014 program (in addition to the 9 sites already announced). This could supply 400,000 sq ft of grade A space in Central in 2018 approx. 
Mar 2013: Budget: “The relocation of the Independent Commission Against Corruption to North Point has freed a prime site at Murray Road.  Upon completion of the zoning procedures, the site can provide some 40 000 square metres of Grade A office space.”
CBRE Research view: We already had this tagged as long term disposal. The minimum time needed for planning is approximately one year but parking requirement and traffic impact assessment studies are needed so the process may take longer.  Allowing a further 4-5 years for demolition and re-development it may be the end of the current decade at the earliest before a new building is ready for occupation. 
Sep 2011: No immediate plans, uncertain
Aug 2011 (Cynthia): No Plans submitted, potential only.  Located off QRC, 50 metres away from HSBC building.
GFA estimated by CBRE Research on 23 June 2011</t>
  </si>
  <si>
    <t>35,000/52,700</t>
  </si>
  <si>
    <t>25,200/37,900</t>
  </si>
  <si>
    <t>8 Heung Yip Road</t>
  </si>
  <si>
    <t>Tung Wah Mansion redevelopment</t>
  </si>
  <si>
    <t>199-203 Hennessy Road</t>
  </si>
  <si>
    <t>Tung Wah Group of Hospital</t>
  </si>
  <si>
    <t>Jul 2020: Delay from 2021 to 2022, according to the meeting with K11, also mentioned on news in May.</t>
  </si>
  <si>
    <t>Jul 2020: no superstructure/foundation from inspection
Aug 2020: Applied Revitalisation 2.0</t>
  </si>
  <si>
    <t>Apr 2018: Biel Crystal unified the ownership of factory building phase 2 in Oct 2017. Phase 1 is under complusory sale. Height restriction to be 55m and estimated GFA will be 216,000 for such building height. The maximum GFA will be 480,000 sq. ft, if the owner pays land premium
Aug 2020: Applied Revitalisation 2.0</t>
  </si>
  <si>
    <t>NKIL 5805</t>
  </si>
  <si>
    <t>NKIL 5806</t>
  </si>
  <si>
    <t>NKIL 5982</t>
  </si>
  <si>
    <t>Kowloon Godown - Part 1</t>
  </si>
  <si>
    <t>Kowloon Godown - Part 2</t>
  </si>
  <si>
    <t>Kowloon Godown - Part 3</t>
  </si>
  <si>
    <t>27+ 3 basement</t>
  </si>
  <si>
    <t>Sep 2020: Land Premium - $2841 psf
Jul 2020: Still foundation work from inspection</t>
  </si>
  <si>
    <t>8 Leighton Road</t>
  </si>
  <si>
    <t>Crowne Plaza Hong Kong Causeway Bay Redevelopment</t>
  </si>
  <si>
    <t>25 + 3 basement levels</t>
  </si>
  <si>
    <t>SEA Group</t>
  </si>
  <si>
    <t>8 Lam Chak Steet</t>
  </si>
  <si>
    <t>OCTA Tower redevelopment</t>
  </si>
  <si>
    <t>28 + 3  basement levels</t>
  </si>
  <si>
    <t>28/ 28</t>
  </si>
  <si>
    <t>Asia Standard, CSI Properties</t>
  </si>
  <si>
    <t>46-56 Queen's Road East, 2-12 Anton Street and 1-11 Landale Street</t>
  </si>
  <si>
    <t>28+4 basement</t>
  </si>
  <si>
    <t>BD Monthly Digset</t>
  </si>
  <si>
    <t>15-25</t>
  </si>
  <si>
    <t>20-30</t>
  </si>
  <si>
    <t>Sep 2020: A/K20/133 (16 Sep proposal submission) - change from 3 blocks to 2 twin towers; office portion reduced; ceiling height 4.2m; retail G/F-4/F
OZP: The "CDA(1)" zone bounded by Lin Cheung Road, Jordam Road, Road D1 and Austin Road West is to facilitate the proposed development of the West Kowloon Terminus of the Guangzhou-Shenzhen-Hong Kong Express Rail Link (XRL). It is intened for a comprehensive development of the railway terminus and the topside development, which is primarily for office/commercial use, into a strategic rail and high-grade office hub. The office hub is planned to be an extension of the Central Business District (CBD) from Tsim Sha Tsui to West Kowloon for the provision of Grade A office accommodation so as to capitalise on the benefits brought by the XRL and the WECD. The site is subject to specific control on plot ratio of 0.68 above-ground railway facilities and a maximum plot ratio of 5.0 above the railway station. Development within this zone is also subject to maximum building heights of 90, 100 and 115 metres above Principal Datum (mPD) as stipulated on the Plan. A public open space of not less than 8,900 sm is to be provided at the south-western portion of the site to align with the public open space at the WKCD to enhance visual permeability and pedestrian accessibility.
Sep 2011: Sam (OS) - The MTR Station is to be completed by July 2015. MTR normally tender after completion of station. Original plan was 1 mega tower, plan now is for 3 low rise buildings, GFA remains the same. Assume 2020+ until further clarity from developer. Also check timeline between completion of Hong Kong Station and IFC.
TheStandard (10Feb2010) MTRC plans to build three commercial bldgs at the proposed express rail link terminus,, covering 3.16M sf of GFA. MTRC proposes to build three 98-meter-high bldgs, equal to 21-23 stories. The terminus is expected to be completed in 2015 and the bldgs are expected to be completed in 2020.
May-20: Ping An Insurance bought 1/3 of the office portion for self-use</t>
  </si>
  <si>
    <t>Sep 19 (Zac): A/H21/151 rejected due to R zoning and development density
Jan 19 (Peter): Can combine with 48-94 Pan Hoi Street to be a 660,000 sf project</t>
  </si>
  <si>
    <t>25+7 basement</t>
  </si>
  <si>
    <t>Oct 2020: Change of commercial proportion https://paper.hket.com/article/2772202?r=cpsdlc
EOI saved: I:\CBRE Research\Hong Kong\02. Databases\Infrastructure Database\Kowloon East</t>
  </si>
  <si>
    <t>2026-2030</t>
  </si>
  <si>
    <t>May 2018: Jess Chou: Chinachem and Citic will form JV to redevelop the building in 19/20
Oct 2020: ChinaChem go for renovation rather than redevelopment</t>
  </si>
  <si>
    <t>ex-Koon Wah Building</t>
  </si>
  <si>
    <t>2 Yuen Shun Circuit, Yuen Chau Kok</t>
  </si>
  <si>
    <t>23 + 2 basements</t>
  </si>
  <si>
    <t>Koon Wah</t>
  </si>
  <si>
    <t>5 Kai Hing Road</t>
  </si>
  <si>
    <t>5 On Yiu Street, Shek Mun</t>
  </si>
  <si>
    <t>3 Kai Hing Road</t>
  </si>
  <si>
    <t>1 Kwai On Street</t>
  </si>
  <si>
    <t>18 + 3 basement level</t>
  </si>
  <si>
    <t>Opal Lucky Ltd</t>
  </si>
  <si>
    <t>11 SKIES</t>
  </si>
  <si>
    <t>Item Code</t>
  </si>
  <si>
    <t>NS016</t>
  </si>
  <si>
    <t>NS021</t>
  </si>
  <si>
    <t>NS029</t>
  </si>
  <si>
    <t>NS032</t>
  </si>
  <si>
    <t>NS037</t>
  </si>
  <si>
    <t>NS039</t>
  </si>
  <si>
    <t>NS041</t>
  </si>
  <si>
    <t>NS045</t>
  </si>
  <si>
    <t>NS046</t>
  </si>
  <si>
    <t>NS047</t>
  </si>
  <si>
    <t>NS048</t>
  </si>
  <si>
    <t>NS053</t>
  </si>
  <si>
    <t>NS062</t>
  </si>
  <si>
    <t>NS067</t>
  </si>
  <si>
    <t>NS069</t>
  </si>
  <si>
    <t>NS075</t>
  </si>
  <si>
    <t>NS076</t>
  </si>
  <si>
    <t>NS083</t>
  </si>
  <si>
    <t>NS086</t>
  </si>
  <si>
    <t>NS090</t>
  </si>
  <si>
    <t>NS093</t>
  </si>
  <si>
    <t>NS095</t>
  </si>
  <si>
    <t>NS096</t>
  </si>
  <si>
    <t>NS098</t>
  </si>
  <si>
    <t>NS099</t>
  </si>
  <si>
    <t>NS103</t>
  </si>
  <si>
    <t>NS104</t>
  </si>
  <si>
    <t>NS109</t>
  </si>
  <si>
    <t>NS110</t>
  </si>
  <si>
    <t>NS114</t>
  </si>
  <si>
    <t>NS115</t>
  </si>
  <si>
    <t>NS117</t>
  </si>
  <si>
    <t>NS120</t>
  </si>
  <si>
    <t>NS124</t>
  </si>
  <si>
    <t>NS126</t>
  </si>
  <si>
    <t>NS127</t>
  </si>
  <si>
    <t>NS130</t>
  </si>
  <si>
    <t>NS131</t>
  </si>
  <si>
    <t>NS135</t>
  </si>
  <si>
    <t>NS137</t>
  </si>
  <si>
    <t>NS138</t>
  </si>
  <si>
    <t>NS140</t>
  </si>
  <si>
    <t>NS143</t>
  </si>
  <si>
    <t>NS144</t>
  </si>
  <si>
    <t>NS147</t>
  </si>
  <si>
    <t>NS151</t>
  </si>
  <si>
    <t>NS157</t>
  </si>
  <si>
    <t>NS158</t>
  </si>
  <si>
    <t>NS159</t>
  </si>
  <si>
    <t>NS160</t>
  </si>
  <si>
    <t>NS162</t>
  </si>
  <si>
    <t>NS163</t>
  </si>
  <si>
    <t>NS164</t>
  </si>
  <si>
    <t>NS165</t>
  </si>
  <si>
    <t>NS166</t>
  </si>
  <si>
    <t>NS167</t>
  </si>
  <si>
    <t>NS168</t>
  </si>
  <si>
    <t>NS169</t>
  </si>
  <si>
    <t>NS170</t>
  </si>
  <si>
    <t>NS171</t>
  </si>
  <si>
    <t>NS173</t>
  </si>
  <si>
    <t>NS174</t>
  </si>
  <si>
    <t>NS175</t>
  </si>
  <si>
    <t>NS176</t>
  </si>
  <si>
    <t>NS177</t>
  </si>
  <si>
    <t>NS178</t>
  </si>
  <si>
    <t>NS179</t>
  </si>
  <si>
    <t>NS180</t>
  </si>
  <si>
    <t>NS181</t>
  </si>
  <si>
    <t>NS182</t>
  </si>
  <si>
    <t>NS183</t>
  </si>
  <si>
    <t>NS184</t>
  </si>
  <si>
    <t>NS185</t>
  </si>
  <si>
    <t>NS187</t>
  </si>
  <si>
    <t>NS188</t>
  </si>
  <si>
    <t>NS189</t>
  </si>
  <si>
    <t>NS190</t>
  </si>
  <si>
    <t>NS192</t>
  </si>
  <si>
    <t>NS193</t>
  </si>
  <si>
    <t>NS194</t>
  </si>
  <si>
    <t>NS195</t>
  </si>
  <si>
    <t>NS196</t>
  </si>
  <si>
    <t>NS197</t>
  </si>
  <si>
    <t>NS198</t>
  </si>
  <si>
    <t>NS199</t>
  </si>
  <si>
    <t>NS200</t>
  </si>
  <si>
    <t>NS201</t>
  </si>
  <si>
    <t>NS202</t>
  </si>
  <si>
    <t>NS203</t>
  </si>
  <si>
    <t>NS204</t>
  </si>
  <si>
    <t>NS205</t>
  </si>
  <si>
    <t>NS206</t>
  </si>
  <si>
    <t>NS207</t>
  </si>
  <si>
    <t>NS208</t>
  </si>
  <si>
    <t>NS209</t>
  </si>
  <si>
    <t>NS210</t>
  </si>
  <si>
    <t>NS211</t>
  </si>
  <si>
    <t>NS212</t>
  </si>
  <si>
    <t>NS213</t>
  </si>
  <si>
    <t>NS214</t>
  </si>
  <si>
    <t>NS215</t>
  </si>
  <si>
    <t>NS216</t>
  </si>
  <si>
    <t>NS217</t>
  </si>
  <si>
    <t>NS218</t>
  </si>
  <si>
    <t>NS219</t>
  </si>
  <si>
    <t>NS220</t>
  </si>
  <si>
    <t>NS221</t>
  </si>
  <si>
    <t>NS222</t>
  </si>
  <si>
    <t>NS223</t>
  </si>
  <si>
    <t>NS224</t>
  </si>
  <si>
    <t>NS225</t>
  </si>
  <si>
    <t>NS226</t>
  </si>
  <si>
    <t>NS227</t>
  </si>
  <si>
    <t>NS228</t>
  </si>
  <si>
    <t>NS229</t>
  </si>
  <si>
    <t>NS230</t>
  </si>
  <si>
    <t>NS231</t>
  </si>
  <si>
    <t>NS232</t>
  </si>
  <si>
    <t>NS233</t>
  </si>
  <si>
    <t>NS234</t>
  </si>
  <si>
    <t>NS235</t>
  </si>
  <si>
    <t>NS236</t>
  </si>
  <si>
    <t>NS237</t>
  </si>
  <si>
    <t>NS238</t>
  </si>
  <si>
    <t>NS239</t>
  </si>
  <si>
    <t>NS240</t>
  </si>
  <si>
    <t>NS241</t>
  </si>
  <si>
    <t>NS242</t>
  </si>
  <si>
    <t>NS243</t>
  </si>
  <si>
    <t>NS244</t>
  </si>
  <si>
    <t>NS245</t>
  </si>
  <si>
    <t>NS246</t>
  </si>
  <si>
    <t>NS247</t>
  </si>
  <si>
    <t>NS248</t>
  </si>
  <si>
    <t>NS249</t>
  </si>
  <si>
    <t>NS250</t>
  </si>
  <si>
    <t>NS251</t>
  </si>
  <si>
    <t>NS252</t>
  </si>
  <si>
    <t>NS253</t>
  </si>
  <si>
    <t>NS254</t>
  </si>
  <si>
    <t>NS255</t>
  </si>
  <si>
    <t>NS256</t>
  </si>
  <si>
    <t>NS257</t>
  </si>
  <si>
    <t>NS258</t>
  </si>
  <si>
    <t>NS259</t>
  </si>
  <si>
    <t>NS260</t>
  </si>
  <si>
    <t>NS261</t>
  </si>
  <si>
    <t>NS262</t>
  </si>
  <si>
    <t>NS264</t>
  </si>
  <si>
    <t>Plaza 88</t>
  </si>
  <si>
    <t>China Merchants</t>
  </si>
  <si>
    <r>
      <rPr>
        <sz val="10"/>
        <rFont val="Arial"/>
        <family val="2"/>
      </rPr>
      <t xml:space="preserve">Feb 2016 (Roy): fitting out curtail on the front of the building, scaffolding still on the sides of the building
Colliers are sole leasing agent
</t>
    </r>
    <r>
      <rPr>
        <sz val="10"/>
        <color theme="1"/>
        <rFont val="Arial"/>
        <family val="2"/>
      </rPr>
      <t>http://www.khiholdings.com/eng/pt/wch.html</t>
    </r>
  </si>
  <si>
    <t>Queen's Road Centre</t>
  </si>
  <si>
    <t>AIRSIDE</t>
  </si>
  <si>
    <t>Kings Wing Plaza 1</t>
  </si>
  <si>
    <t>Marina 8</t>
  </si>
  <si>
    <t>81 Lockhart Road</t>
  </si>
  <si>
    <t>Emperor International</t>
  </si>
  <si>
    <t>26 + 3 basement levels</t>
  </si>
  <si>
    <t>348 Nathan Road</t>
  </si>
  <si>
    <t>17 + 3 podium levels + 3 basement levels</t>
  </si>
  <si>
    <t>CSI</t>
  </si>
  <si>
    <t>1 Kai Hing Road</t>
  </si>
  <si>
    <t>29 + 4 basement</t>
  </si>
  <si>
    <t>Jul 2017: http://www.districtcouncils.gov.hk/kt/doc/2016_2019/tc/working_groups_doc/KTDRTF/12346/KTDRTF_10_2017.pdf
Mar 2021: Rezoned to Commercial (2)</t>
  </si>
  <si>
    <t>Novotel Hong Kong Nathan Road Kowloon redevelopment</t>
  </si>
  <si>
    <t>92-103A Connaught Road West and 91, 99 &amp; 101 Des Voeux Road West</t>
  </si>
  <si>
    <t>26 + 2 basements</t>
  </si>
  <si>
    <t>212-232 Des Voeux Road Central</t>
  </si>
  <si>
    <t>36 + 5 basement levels</t>
  </si>
  <si>
    <t>1 Irving Street</t>
  </si>
  <si>
    <t>NS265</t>
  </si>
  <si>
    <t>88 Wing Lok Street</t>
  </si>
  <si>
    <t>KaiLong</t>
  </si>
  <si>
    <t>822 Lai Chi Kok Road</t>
  </si>
  <si>
    <t>NS267</t>
  </si>
  <si>
    <t>Approved Kai Tak OZP No. S/K22/4: 3 sites abutting the Lung Tsun Stone Bridge Preservation Corridor are designated “CDA(3)”, “CDA(4)” and “CDA(5)” respectively. The planning intention for these sites is to ensure their disposition and design would be in harmony with the Preservation Corridor for Lung Tsun Stone Bridge. The planning briefs will set out the special design features for these 3 “CDA” sites to ensure a harmonious environment with the Preservation Corridor. The “CDA(3)” and “CDA(4)” zones are intended for commercial use while “CDA(5)” is intended for residential use. The “CDA(4)” zone is subject to a max plot ratio of 4.5, a max building height restriction of 70mPD and a max site coverage (excluding basement(s)) of 65%.
May 2021 (Peter): Potential to rezone to residential use</t>
  </si>
  <si>
    <t>Approved Kai Tak OZP No. S/K22/4: The “C(3)” zones are located at the northern side of Kai Tak City Centre extending along PERE to Sung Wong Toi Park. This zone is intended to form a belt of high quality office development. These developments will be serviced by the proposed SCL and are expected to meet Hong Kong’s long-term demand in office space. Developments within this zone are subject to a max plot ratio of 4.5, a max site coverage (excluding basement(s)) of 65% and a max building height of 60mPD/70mPD.
May 2021 (Peter): Potential to rezone to residential use</t>
  </si>
  <si>
    <t>Jerry Ng (Oct 27 2016): was Site 6 (3,975sm*4.5=17,888sm), now split into Site10 and Green Area
Roy Ng: Approved Kai Tak OZP No. S/K22/4: The “C(3)” zones are located at the northern side of Kai Tak City Centre extending along PERE to Sung Wong Toi Park. This zone is intended to form a belt of high quality office development. These developments will be serviced by the proposed SCL and are expected to meet Hong Kong’s long-term demand in office space. Developments within this zone are subject to a max plot ratio of 4.5, a max site coverage (excluding basement(s)) of 65% and a max building height of 60mPD/70mPD.
May 2021 (Peter): Potential to rezone to residential use</t>
  </si>
  <si>
    <t>Was intended to be hotel (zone: Commercial (4)), but now being rezoned into C(7), although planning intention indicated the site is "intended" for hotel and commercial, this means the whole site could be in office use.
May 2021 (Peter): Potential to rezone to residential use</t>
  </si>
  <si>
    <t>Jerry Ng (Oct 27 2016): was Site 5 (7,113sm*4.5=32,009sm), but split into 5A (GIC) and 5B (Commercial)
Roy Ng: Approved Kai Tak OZP No. S/K22/4: The “C(3)” zones are located at the northern side of Kai Tak City Centre extending along PERE to Sung Wong Toi Park. This zone is intended to form a belt of high quality office development. These developments will be serviced by the proposed SCL and are expected to meet Hong Kong’s long-term demand in office space. Developments within this zone are subject to a max plot ratio of 4.5, a max site coverage (excluding basement(s)) of 65% and a max building height of 60mPD/70mPD.
May 2021 (Peter): Potential to rezone to residential use</t>
  </si>
  <si>
    <t>Was intended to be hotel (zone: Commercial (4)), but now being rezoned into C(5), although planning intention indicated the site is "intended" for hotel and commercial, this means the whole site could be in office use.
May 2021 (Peter): Potential to rezone to residential use</t>
  </si>
  <si>
    <t>24+3 podium+3 basement</t>
  </si>
  <si>
    <t>18 Tai Chung Road, Tsuen Wan</t>
  </si>
  <si>
    <t>20 + 3 basement</t>
  </si>
  <si>
    <t>First Group Holdings Limited</t>
  </si>
  <si>
    <t>International Enterprise Centre III</t>
  </si>
  <si>
    <t>59-61 Wong Chuk Hang Road</t>
  </si>
  <si>
    <t>Benefit Industrial Factory Building</t>
  </si>
  <si>
    <t>Choi King Yeung</t>
  </si>
  <si>
    <t>News</t>
  </si>
  <si>
    <t>NS269</t>
  </si>
  <si>
    <t>Regency Centre Phase 1</t>
  </si>
  <si>
    <t>39 Wong Chuk Hang Road</t>
  </si>
  <si>
    <t>Campell Group</t>
  </si>
  <si>
    <t>NS270</t>
  </si>
  <si>
    <t>Jul 2021: March 2022 (annual report), was 2021 Q1</t>
  </si>
  <si>
    <t>The Henderson</t>
  </si>
  <si>
    <t>Six Pacific Place</t>
  </si>
  <si>
    <t>Cheung Kong Center II</t>
  </si>
  <si>
    <t>Aug 2021: still not sold despite in 2021/22 Land Sale, delay 1 year to 2026 more realistic
Approved Kai Tak OZP No. S/K22/4: 3 sites abutting the Lung Tsun Stone Bridge Preservation Corridor are designated “CDA(3)”, “CDA(4)” and “CDA(5)” respectively. The planning intention for these sites is to ensure their disposition and design would be in harmony with the Preservation Corridor for Lung Tsun Stone Bridge. The planning briefs will set out the special design features for these 3 “CDA” sites to ensure a harmonious environment with the Preservation Corridor. The “CDA(3)” and “CDA(4)” zones are intended for commercial use while “CDA(5)” is intended for residential use. The “CDA(3)” zone is subject to a max plot ratio of 5 and max site coverage (excluding basement(s)) of 65%. In order to provide a more open view towards the Kowloon City and the Lion Rock, the eastern part of the site is subject to a lower building height restriction of 13mPD while the remaining area will be subject to a max height of 80mPD.
4 Mar 15 (Jerry): http://www.hket.com/eti/article/c3476840-6d8d-4bf1-b473-8da7fe237a4d-901380?section=008
當中以鄰近啟德站的兩幅混合發展用地所增加的樓面最多，當中1E區1號地盤地積比率由7倍增加至8.2倍，以地盤面積18.4萬平方呎計算，額外增加22萬平方至151萬平方呎，有機會成為區內的百億地王。
4 Sep 14 (Jerry): This is the closest site to Prince Edward Road East; supposed to be the most prime site</t>
  </si>
  <si>
    <t>20 Kai Cheung Road</t>
  </si>
  <si>
    <t>Redevelopment of DCH Building</t>
  </si>
  <si>
    <t>28/28</t>
  </si>
  <si>
    <t>30/30</t>
  </si>
  <si>
    <t>NS271</t>
  </si>
  <si>
    <t>132 Wai Yip Street</t>
  </si>
  <si>
    <t>Lands Department</t>
  </si>
  <si>
    <t>NS272</t>
  </si>
  <si>
    <t>1 Tsat Po Street</t>
  </si>
  <si>
    <t>Oct 2021: https://www.ekeo.gov.hk/filemanager/content/public/tc/KTDC_27_2021.pdf
May 2016: (Ming Pao) Car testing centre will relocate to Tsing Yi. The new centre in Tsing Yi will begin construction in 2016 Q3 and in operation by 2019 Q4. The centre in Action Area 1 will be demolition by 2021 Q3.
May 2016: (Kwun Tong District Council Meeting) The plan is saved:
I:\CBRE Research\Hong Kong\01. Powerpoint Presentation\Standard Slides Library\Office\Long-term Commercial Land Supply Master\Kowloon Bay Action Area.pdf
Jan 2016 (Policy Address): The commercial floor area that can be provided by the two action areas in Kwun Tong and Kowloon Bay will increase from 500 000 or so square metres to about 560 000 square metres. Assume half in Action Area 1 half in Action Area 2</t>
  </si>
  <si>
    <t>Oct 2021: http://www.ghg.com.hk/news/aggressive-construction-engineering-limited-has-been-awarded-a-main-contract-by-empire-group-holdings-limited/</t>
  </si>
  <si>
    <t>12500; 15000</t>
  </si>
  <si>
    <t>11,625; 13,950</t>
  </si>
  <si>
    <t>Rykadan One</t>
  </si>
  <si>
    <t>International Enterprise Centre I</t>
  </si>
  <si>
    <t>Lot No. 332 in DD No. 355</t>
  </si>
  <si>
    <t>2030+</t>
  </si>
  <si>
    <t>56 Dundas Street</t>
  </si>
  <si>
    <t>22 + 7 basement</t>
  </si>
  <si>
    <t>34 + 4 basement levels</t>
  </si>
  <si>
    <t>Shing Kai Road</t>
  </si>
  <si>
    <t>888 Lai Chi Kok Road</t>
  </si>
  <si>
    <t>A/K13/317; existing building will be demolished in 2023
Nov-2021: CITIC decided to do conversion instead of redevelopment; they will redevelop the Skyway House instead</t>
  </si>
  <si>
    <t>334-336 and 338 Kwun Tong Road</t>
  </si>
  <si>
    <t>Nov 2021: https://www.info.gov.hk/tpb//tc/plan_application/Attachment/20211119/s16fi_A_K14_804_1_gist.pdf</t>
  </si>
  <si>
    <t>25+7 basement &amp; 1 Podium</t>
  </si>
  <si>
    <t>One North</t>
  </si>
  <si>
    <t>Jan 2022: Brochure from Sam Lau: Q2 2022
Mar 2021: Boss said Q1 2022
Feb 2021: Rocky - Yes please take it as Grade A supply, will be next year Q2-Q3
Jan 2021: 76% will be office according to annual report
Dec 2021: One North用地是信置在2015年以16.9億元投得，該綜合項目鄰近港鐵屯馬線朗屏站，包含2座樓高14層的商廈部份，辦公室面積約44.5萬方呎；商場零售面積約11.3萬方呎；另外亦有2萬方呎的休憩園林。</t>
  </si>
  <si>
    <t>Lat</t>
  </si>
  <si>
    <t>Long</t>
  </si>
  <si>
    <t>NS186</t>
  </si>
  <si>
    <t>NS273</t>
  </si>
  <si>
    <t>NS274</t>
  </si>
  <si>
    <t>NS275</t>
  </si>
  <si>
    <t>Overall HK Supply</t>
  </si>
  <si>
    <t>20894-24626</t>
  </si>
  <si>
    <t>15670-18470</t>
  </si>
  <si>
    <t>NS276</t>
  </si>
  <si>
    <t>73-35 Hoi Yuen Road</t>
  </si>
  <si>
    <t>Yip Fat Factory Building Redevelopment (Block 1)</t>
  </si>
  <si>
    <t>26 + 4 basement</t>
  </si>
  <si>
    <t>1 Jun 2022: Judy: July OP
26 May 2022: updated GFA based on new brochure
16 May 2022: efficiency 77.5% (wf) based on flyer
4 Jan 2022: Tom's email 256,957 sf G; OP Q2 2022
8 Aug 2021: Bevis- OP should be Dec 2021 but completion should be Q1 2022
Feb 2014: Rolled over from 2013-14 programme.  To be tendered by 2H 2014/15
March 2013: New site on the 2013-14 programme. Estimated value $1.02 billion ($4,500 psf)
July 2018: (PL) Met Sino. The project will be done in 2021</t>
  </si>
  <si>
    <t>1 Jun 2022: Judy: Sep 2022 OP, sorting the fire service requirements at the mall and aim to get the OP by Sep 2022. Mall opening mid 2023.
May 2022: delay to Q1 2023, cannot meet fire safety requirement
Nov 2020: change GFA according to A/K22/24, no hotel anymore and 74% efficiency according to boss
Approved Kai Tak OZP No. S/K22/4: The “CDA(1)” and “CDA(2)” sub-areas located in the Kai Tak City Centre north on the eastern and western sides of Kai Tak River respectively are intended for commercial uses with a lower structure cascading down to the open spaces along the Kai Tak River. The “CDA(1)” sub-are is intended for a comprehensive office/hotel/retail development with low-rise structures in the west and high-rise landmark commercial tower in the east. The landmark tower in the “CDA(1)” sub-area will complement with the curvilinear landscaped elevated walkway and the landscaped Kai Tak River to signify the prominent image in the locality. Development within the “CDA(1)” sub-area is subject to a max non-domestic plot ratio of 10 and a max building height of 200mPD in the east to allow for a landmark building in the City Centre and 40mPD in the west for the cascading low-rise structure. The cascading low-rise structures in both “CDA” sub-areas should descend from 40mPD to 15mPD towards the Kai Tak River or the curvilinear walkway. Both “CDA” sub-areas are subject to a max site coverage (excluding basement(s)) of 65%. 5m wide NBAs along the Kai Tak River will provide a wider vista along the River. ‘Shop and Services’ and ‘Eating Place’ uses in the buildings not exceeding 2 storeys in the retail frontage abutting the Station Square will create a riverside vibrant and festive public gathering place in the town square environment. 
Was named Landmark Tower</t>
  </si>
  <si>
    <t>NKIL 6032</t>
  </si>
  <si>
    <t>1 Trademart Drive</t>
  </si>
  <si>
    <t>KITEC Redevelopment</t>
  </si>
  <si>
    <t>NS277</t>
  </si>
  <si>
    <t xml:space="preserve">Jul 2022: delay to Nov 2022 (from boss)
Jul 2021: delay to Jul 2022 (from boss)
Jul 2020: Change from 2022 Q1 to Q2 (April), possession date to be in Q4, mentioned during the forecast meeting with OS EXDir.
Jul 2017: Swire applied TPB to allocate more area to footbridge (48sq. m.).
Oct 2016: Swire applied to increase retail GFA by reducing office GFA.
Apr 2015: Notice have been served to existing teants to vacate the buildings by Sep 2016.
Feb 2014 (Swire): The first phase of the approved redevelopment plan of TaiKoo Place involves redeveloping Somerset House into a 51-storey office building; the second phase involves redeveloping Cornwall House and Warwick House into a single 46-storey office tower. The first new office building is expected to be ready for handover by 2018.
The agreement includes a cash consideration payable to the HKSAR Government of HK$537million, and an additional amount to reflect any potential appreciation in office values between the date of the agreement and the date of completion of construction of the second phase of the TaiKoo Place redevelopment.  In addition, Swire Properties will fund relocation costs and expenses for the existing HKSAR Government departments to vacate Cornwall House, including the fit out of the 10 floors of Cityplaza Three. The transaction is expected to be completed no later than 30 December 2016.
Aug 2012: (SCMP): "Swire Properties chief executive Martin Cubbon said Somerset House would be demolished first in the third quarter of next year, while plans for Cornwall House and Warwick House were not finalised yet. Somerset House will be torn down to make way for a grade A office tower of about 50storeys."
Jun 2012: tenants out of building Jan 2016.
Mar 2012 (James): the current plan shows that both will start to come down during 2016 and demolition is to be completed prior to OP of Building 2a. Whilst nothing is firmed she alluded to the fact that they need the GFA for 2a.
Aug 2011 (Cynthia): Swire indicated Cornwall &amp; Warwick will only commence knocking down after completion of rebuilding Somerset House. </t>
  </si>
  <si>
    <t>Plaza 228</t>
  </si>
  <si>
    <t>NCB Innovation Centre</t>
  </si>
  <si>
    <t>One Continental</t>
  </si>
  <si>
    <t>Boton Technology Innovation Tower</t>
  </si>
  <si>
    <t>35 QRC</t>
  </si>
  <si>
    <t>72-76 Queen's Road East</t>
  </si>
  <si>
    <t>Shun Fat Building redevelopment</t>
  </si>
  <si>
    <t>26+4 podium</t>
  </si>
  <si>
    <t>NS278</t>
  </si>
  <si>
    <t>49-53 Queen's Road Central &amp;
1 Li Yuen Street West</t>
  </si>
  <si>
    <t>24 + 1LG</t>
  </si>
  <si>
    <t>Building Digest</t>
  </si>
  <si>
    <t>Greater Growth Ltd &amp; Joinbest Ltd</t>
  </si>
  <si>
    <t>NS279</t>
  </si>
  <si>
    <t>Geometry</t>
  </si>
  <si>
    <t>MultiPolygon (((114.16201026628964144 22.28041339852243041, 114.16258006579428752 22.2802614765342426, 114.16245409614757023 22.27985239469664691, 114.16188383631256897 22.28000410669801568, 114.16201026628964144 22.28041339852243041)))</t>
  </si>
  <si>
    <t>Hoi Wan Building and Sea View Building redevelopment</t>
  </si>
  <si>
    <t>Yip Fat Factory Building redevelopment (Block 2)</t>
  </si>
  <si>
    <t>Far East Factory Building &amp; Room Kwun Tong redevelopment</t>
  </si>
  <si>
    <t>Gala Place - redevelopment</t>
  </si>
  <si>
    <t>9-39 Hoi Wan Street and 33-41 Tong Chong Street</t>
  </si>
  <si>
    <t>NS280</t>
  </si>
  <si>
    <t>HKEt</t>
  </si>
  <si>
    <t>MultiPolygon (((114.21117448556270801 22.32074717911462969, 114.2115051876285321 22.32078042440053878, 114.21162917106455836 22.31961042970395326, 114.21129636637658678 22.31958110460190881, 114.21117448556270801 22.32074717911462969)))</t>
  </si>
  <si>
    <t>MultiPolygon (((114.2105005332493306 22.3210530407643013, 114.21083755298455742 22.3210784471164061, 114.21099515698716687 22.31955373190802661, 114.21065813946832179 22.3195224466373574, 114.2105005332493306 22.3210530407643013)))</t>
  </si>
  <si>
    <t>MultiPolygon (((114.20575916031066299 22.32152873677428673, 114.20532185236707789 22.321916569737148, 114.2057022237349031 22.3219509270598806, 114.20571556944898362 22.32194978682828435, 114.20571738205927659 22.32193793837005202, 114.20575916031066299 22.32152873677428673)))</t>
  </si>
  <si>
    <t>MultiPolygon (((114.21245589034055001 22.31790378061861446, 114.21246791000928056 22.31789852090679815, 114.21247987393074652 22.31789312457345531, 114.21249177938747721 22.31788759234161645, 114.21250362385609378 22.31788192493432632, 114.21251540452210804 22.3178761232552425, 114.21252711886219799 22.3178701882080297, 114.21253876435308428 22.31786412078658799, 114.21255033827733882 22.31785792207521268, 114.21256183811168228 22.31785159315816358, 114.21257326142996646 22.3178451351196685, 114.21258460561189452 22.31783854931488165, 114.21259586823128984 22.31783183691833017, 114.21260704686197585 22.31782499919488671, 114.21261813907787541 22.31781803768026151, 114.2126291425498863 22.31781095363930234, 114.2126400548519598 22.31780374869805783, 114.21265087384911396 22.31779642430190336, 114.21266159711531429 22.31778898198660599, 114.21267222251570672 22.31778142355878458, 114.21268274791538033 22.31777375055409962, 114.21269317117949527 22.31776596477919483, 114.21270349017318324 22.31775806786005845, 114.21271370285872138 22.31775006187418597, 114.21272380729537588 22.31774194844753367, 114.21273380163950151 22.31773372947698419, 114.21274368385341802 22.31772540713032882, 114.21275345219049768 22.31771698312378405, 114.21276310480719474 22.31770845962510919, 114.21277264005405527 22.31769983862145068, 114.21278205628156854 22.31769112228053942, 114.21279135184032327 22.31768231258947921, 114.21325169158782842 22.31726547667366489, 114.21318359965873412 22.31720112141566759, 114.21292285497807484 22.31695468476075561, 114.21292137914396392 22.31695328995246186, 114.2128800665747832 22.31691385882656675, 114.21286870574169825 22.31692215676709168, 114.21257231225840201 22.31713864294827943, 114.21255941178715432 22.31714553803232093, 114.21254640626200683 22.31715229262239575, 114.2125332982059831 22.31715890473120467, 114.21252009043327291 22.31716537237136677, 114.21250678556401681 22.31717169364582887, 114.21249338650952154 22.31717786665753778, 114.21247989608401952 22.31718388969002831, 114.21246631729596288 22.31718976102681751, 114.21245265286252391 22.31719547895143307, 114.21243890608334937 22.31720104192796228, 114.21242507977278535 22.31720644842055989, 114.21241117713341851 22.31721169707392249, 114.21239720136784968 22.31721678635209827, 114.21238315548455944 22.31722171499014351, 114.21236904278333668 22.31722648190365987, 114.21235486646675383 22.31723108573728354, 114.2123406298346282 22.31723552549699718, 114.21232633618669183 22.31723980018862719, 114.21231198882276203 22.31724390890840581, 114.21229759113967361 22.31724785075249429, 114.21228314643728652 22.31725162490743841, 114.21226865811247819 22.31725523074031514, 114.21225412956221135 22.31725866761824051, 114.21223956418339185 22.31726193499863697, 114.21222496547009939 22.31726503242917303, 114.21221033672225076 22.31726795954790887, 114.21219568153095736 22.31727071599282297, 114.21218100319620703 22.31727330158260258, 114.21216630511506196 22.31727571613588168, 114.2121515908786904 22.31727795965185024, 114.21213686388421138 22.31728003212978706, 114.21212212743166958 22.31728193365925605, 114.21210797651514213 22.31728377238768246, 114.21209379799671524 22.31728546383184408, 114.21207959469101922 22.31728700753962258, 114.21206536902442963 22.31728840314924867, 114.21205112381156255 22.31728965011825494, 114.21203686177001657 22.31729074817514658, 114.21202258552035858 22.31729169704842519, 114.2120082978772615 22.31729249655685265, 114.21199400136424629 22.31729314651929386, 114.21197969879598588 22.31729364675451066, 114.21196539298721007 22.317293997261892, 114.21195108655858519 22.31729419804085524, 114.21193678213070655 22.31729424918115967, 114.21192248261537827 22.31729415077247225, 114.21190819053624921 22.31729390299486582, 114.21189390870807756 22.31729350602833861, 114.21173187714875041 22.31728475033153458, 114.2117203772882732 22.31737411578843577, 114.21171885332020679 22.31738677746295352, 114.2114759007958753 22.31736629181188292, 114.21148732665821512 22.31727102660937234, 114.21143663994354256 22.31727335676252721, 114.21138595967032359 22.31727583852217123, 114.2113352867119147 22.31727847197841541, 114.21128462174756635 22.31728125695053677, 114.21123396565064922 22.317284193528657, 114.2111833191974597 22.3172872817125878, 114.21113268306720556 22.31729052132164171, 114.21108205823027504 22.31729391235558069, 114.2110314453659754 22.31729745490457972, 114.21098084515345761 22.31730114869759163, 114.21093025856316672 22.3173049938247452, 114.21087968627433895 22.31730899010529257, 114.21082912916027396 22.31731313753905965, 114.21077858790026482 22.3173174361259079, 114.21072806327052263 22.31732188559477947, 114.21067755614447492 22.31732648603583158, 114.21066223944987428 22.31732797214635156, 114.2106469337550152 22.31732959298964403, 114.21063164109801846 22.31733134856524359, 114.21061636341998735 22.31733323860185791, 114.21060110295316292 22.31733526300870807, 114.21058586163862003 22.31733742151448752, 114.21057064151453631 22.3173397140284635, 114.21055544461891884 22.31734214009868111, 114.21054027298997369 22.31734469945382671, 114.21052512876282492 22.31734739182253335, 114.21051001378141621 22.31735021675290298, 114.21049493018092846 22.31735317388326223, 114.21047987980529115 22.31735626267139239, 114.21046486488670268 22.3173594826653563, 114.21044988717201818 22.31736283332290682, 114.21043494869931578 22.31736631410183946, 114.21041869112697498 22.31736947321191877, 114.21040248204188572 22.31737286620272798, 114.21038632726727258 22.31737649217007302, 114.21037023262631749 22.31738035002904041, 114.21035420374795422 22.31738443824332307, 114.21033824655233957 22.31738875545712375, 114.21032236647427283 22.31739330004381117, 114.21030656914257406 22.31739807001553189, 114.21029432046510976 22.31750018844237715, 114.21026416771982781 22.31775157347813021, 114.21025325496141534 22.31784255400836869, 114.20997229397227102 22.31781986252391192, 114.20994183381280607 22.31781792310501089, 114.20991134287274349 22.31781633669263343, 114.20988082833423505 22.31781510364652732, 114.20985029718545434 22.31781422450707808, 114.20981975670559905 22.31781369954372352, 114.20978921397971817 22.31781352875503188, 114.20975867599580056 22.31781371204927211, 114.20972815003291601 22.31781424924434987, 114.20971496824195413 22.31783134827990978, 114.20970205640995232 22.3178486273297203, 114.20968941870916069 22.31786608097463187, 114.20967705911770906 22.31788370352462181, 114.20964562694896927 22.31792969313757879, 114.20962450215751005 22.31796553487660972, 114.20960726267483665 22.31799705848051829, 114.2095895742012317 22.31803195401676732, 114.20955771355151853 22.31810291374513255, 114.20955116657873418 22.31812219728306346, 114.20956666057942641 22.31811978533484719, 114.20958219431835801 22.31811755236351047, 114.20959776401053887 22.31811549918255722, 114.20961336616203141 22.31811362642483942, 114.20962899718189476 22.31811193472319133, 114.20964465338202842 22.31811042462023309, 114.20966033107438875 22.31810909656820385, 114.20967602657093209 22.31810795101937828, 114.20969173628057547 22.31810698824536487, 114.20970745651518996 22.31810620833727299, 114.20972318358664666 22.31810561156672179, 114.20973891361266794 22.31810519793451064, 114.20975464319622006 22.31810496726072657, 114.20977036835793683 22.31810491954616182, 114.2097860857007845 22.31810505452060411, 114.20980179134238597 22.31810537182361642, 114.20982048848759405 22.31810592222829825, 114.20983918284296976 22.31810657774750339, 114.20985787324383409 22.31810733838149829, 114.20985957489700979 22.31810741723320746, 114.20987655862259658 22.3181082041304748, 114.20989523810573019 22.31810917490432544, 114.20991391062565867 22.31811025070325272, 114.2099325751146921 22.31811143134689601, 114.20995123050529685 22.31811271692575005, 114.21020175646511063 22.31813373583398175, 114.21028430963660583 22.3181406619056304, 114.21063496936184833 22.31817506636573967, 114.21136784958869725 22.31825932459183193, 114.21140434690714471 22.31796288166811948, 114.21164628358525306 22.31798969059365945, 114.21160838834876472 22.31828849455794739, 114.21208752263247277 22.31836488997351609, 114.21209646885283462 22.31835872744676053, 114.2121596480829453 22.31828916881381275, 114.21235036420493714 22.31806564647899194, 114.21239908195582302 22.31800122670736286, 114.21243857501850982 22.31791961333918195, 114.21244381764203979 22.31790890289553175, 114.21245589034055001 22.31790378061861446)))</t>
  </si>
  <si>
    <t>MultiPolygon (((114.21019191267367887 22.32193143526723844, 114.20974784566904248 22.3218846843610379, 114.20967870726168769 22.32196089850812371, 114.20963695431655083 22.32234696470482049, 114.20970976086032067 22.32243217163578919, 114.21013501619580666 22.3224670783727781, 114.21019191267367887 22.32193143526723844)))</t>
  </si>
  <si>
    <t>ProjectID</t>
  </si>
  <si>
    <t>LAND001</t>
  </si>
  <si>
    <t>LAND002</t>
  </si>
  <si>
    <t>LAND003</t>
  </si>
  <si>
    <t>LAND006</t>
  </si>
  <si>
    <t>LAND009</t>
  </si>
  <si>
    <t>LAND027</t>
  </si>
  <si>
    <t>LAND028</t>
  </si>
  <si>
    <t>LAND029</t>
  </si>
  <si>
    <t>LAND031</t>
  </si>
  <si>
    <t>LAND034</t>
  </si>
  <si>
    <t>LAND036</t>
  </si>
  <si>
    <t>LAND037</t>
  </si>
  <si>
    <t>LAND038</t>
  </si>
  <si>
    <t>LAND042</t>
  </si>
  <si>
    <t>LAND043</t>
  </si>
  <si>
    <t>LAND044</t>
  </si>
  <si>
    <t>LAND045</t>
  </si>
  <si>
    <t>LAND046</t>
  </si>
  <si>
    <t>LAND048</t>
  </si>
  <si>
    <t>LAND049</t>
  </si>
  <si>
    <t>LAND050</t>
  </si>
  <si>
    <t>LAND053</t>
  </si>
  <si>
    <t>LAND054</t>
  </si>
  <si>
    <t>LAND055</t>
  </si>
  <si>
    <t>LAND057</t>
  </si>
  <si>
    <t>LAND058</t>
  </si>
  <si>
    <t>LAND059</t>
  </si>
  <si>
    <t>LAND060</t>
  </si>
  <si>
    <t>LAND061</t>
  </si>
  <si>
    <t>LAND062</t>
  </si>
  <si>
    <t>LAND065</t>
  </si>
  <si>
    <t>LAND070</t>
  </si>
  <si>
    <t>LAND072</t>
  </si>
  <si>
    <t>LAND073</t>
  </si>
  <si>
    <t>LAND076</t>
  </si>
  <si>
    <t>LAND079</t>
  </si>
  <si>
    <t>LAND089</t>
  </si>
  <si>
    <t>LAND091</t>
  </si>
  <si>
    <t>LAND092</t>
  </si>
  <si>
    <t>LAND093</t>
  </si>
  <si>
    <t>LAND095</t>
  </si>
  <si>
    <t>LAND098</t>
  </si>
  <si>
    <t>LAND099</t>
  </si>
  <si>
    <t>LAND100</t>
  </si>
  <si>
    <t>LAND101</t>
  </si>
  <si>
    <t>LAND102</t>
  </si>
  <si>
    <t>LAND105</t>
  </si>
  <si>
    <t>LAND107</t>
  </si>
  <si>
    <t>LAND007</t>
  </si>
  <si>
    <t>LAND008</t>
  </si>
  <si>
    <t>LAND011</t>
  </si>
  <si>
    <t>LAND012</t>
  </si>
  <si>
    <t>LAND013</t>
  </si>
  <si>
    <t>LAND021</t>
  </si>
  <si>
    <t>LAND024</t>
  </si>
  <si>
    <t>LAND025</t>
  </si>
  <si>
    <t>LAND026</t>
  </si>
  <si>
    <t>LAND032</t>
  </si>
  <si>
    <t>LAND033</t>
  </si>
  <si>
    <t>LAND040</t>
  </si>
  <si>
    <t>LAND047</t>
  </si>
  <si>
    <t>LAND051</t>
  </si>
  <si>
    <t>LAND052</t>
  </si>
  <si>
    <t>LAND063</t>
  </si>
  <si>
    <t>LAND066</t>
  </si>
  <si>
    <t>LAND068</t>
  </si>
  <si>
    <t>LAND069</t>
  </si>
  <si>
    <t>LAND071</t>
  </si>
  <si>
    <t>LAND075</t>
  </si>
  <si>
    <t>LAND077</t>
  </si>
  <si>
    <t>LAND078</t>
  </si>
  <si>
    <t>LAND080</t>
  </si>
  <si>
    <t>LAND081</t>
  </si>
  <si>
    <t>LAND088</t>
  </si>
  <si>
    <t>LAND090</t>
  </si>
  <si>
    <t>LAND094</t>
  </si>
  <si>
    <t>LAND106</t>
  </si>
  <si>
    <t>128-130 Leighton Road</t>
  </si>
  <si>
    <t>128-130 Leighton Road Redevelopment</t>
  </si>
  <si>
    <t>Soundwill announcement</t>
  </si>
  <si>
    <t>Tsui Yee</t>
  </si>
  <si>
    <t>54-76 Percival Street, 5-27 Lee Garden Road, 60 Russell Street</t>
  </si>
  <si>
    <t>Wan Chai Government Towers and Kong Wan Fire Station redevelopment</t>
  </si>
  <si>
    <t>Aug 2022 (Zac): https://www.districtcouncils.gov.hk/wc/doc/2020_2023/en/committee_meetings_doc/DPTC/20195/wc_dptc_2021_c_35_PPT.pdf
Mar 2013 (Ed): I’ve just spoken to the planning dept to follow up on the recent announcements. All 3 government towers in Wanchai will be sold, rather than just the 2 initially expected, so the total site will be disposed of as one. This site is now under the control of the government property agency. As the towers will be vacated in phases, the agency will seek to lease space and maximize revenue during the process, prior to a sale.
Mar 2013: Budget: “We are now proceeding with the relocation of departments in the three government office buildings at the Wan Chai waterfront.  This is a large-scale project, involving 29 departments and more than 10 000 staff.  Upon the relocation in phases of government departments to the new government office buildings in West Kowloon, Kai Tak and Tseung Kwan O, we shall rent out the floor space released to increase the supply of Grade A offices in Wan Chai. We shall put up the three government office buildings in Wan Chai for sale in due course, which is expected to provide a floor area of 175 000 square metres.”
CBRE Research view: We can expect this to a very long term proposal given that (i) there is no timeline for delivery of government offices in Kai Tak to house these employees as the first Kai Tak building will be the T&amp;I Tower, and (ii) West Kowloon is referenced as a destination for some of these employees. It is interesting to note the intention to rent out the floor space released and then to put up for sale in due course, rather than opt for immediate disposal. 
Aug 2011 (Cynthia): No plans submitted at this stage.  Potential only.  All 3 buildings are still existing.
28/2/08: Est Site Area: 13-14.37k sf; Est Developable GFA: 1.3-2.155M sf; Plot Ratio: 15x / 2008 Budget: The Gov has considered to relocate the office of 3 Gov bldgs in WC to Kai Tak and/or TKO. / 2010 Budget: The Gov has considered to relocate the office of 3 Gov bldgs in WC to ind bldgs.</t>
  </si>
  <si>
    <t>12-14 Harbour Road</t>
  </si>
  <si>
    <t>Artist Square Towers</t>
  </si>
  <si>
    <t>6 Sep 2022: Thomas Lam: Q4 2023
Jul 2020: H1 2020 Interim Report - FY2024 (Jul-Jun)
Two towers and one with 600,000sf G for lease and NWD will set up 2nd HQ (100,000sf)</t>
  </si>
  <si>
    <t>LAND109</t>
  </si>
  <si>
    <t>LAND108</t>
  </si>
  <si>
    <t>LAND110</t>
  </si>
  <si>
    <t>LAND111</t>
  </si>
  <si>
    <t>LAND112</t>
  </si>
  <si>
    <t>LAND113</t>
  </si>
  <si>
    <t>LAND114</t>
  </si>
  <si>
    <t>LAND115</t>
  </si>
  <si>
    <t>LAND116</t>
  </si>
  <si>
    <t>LAND117</t>
  </si>
  <si>
    <t>LAND118</t>
  </si>
  <si>
    <t>LAND119</t>
  </si>
  <si>
    <t>MultiPolygon (((114.15286427 22.2386871, 114.15288629 22.23866172, 114.15290856 22.23867658, 114.15293764 22.23863829, 114.15299351 22.23867402, 114.15300346 22.23867994, 114.15301179 22.23868409, 114.15302042 22.23868767, 114.15302929 22.2386907, 114.15303837 22.23869313, 114.15304728 22.23869488, 114.15305566 22.23869581, 114.15306577 22.23869603, 114.15307418 22.23869546, 114.15309046 22.23869283, 114.15310331 22.2386902, 114.15312233 22.23868577, 114.15313041 22.23868297, 114.15313615 22.23868021, 114.1531424 22.23867629, 114.15314733 22.23867239, 114.15315248 22.23866727, 114.15325335 22.23853919, 114.15325714 22.23853178, 114.15326038 22.23852415, 114.15326463 22.23851035, 114.15326704 22.23849618, 114.15326762 22.23848594, 114.15326724 22.23847569, 114.15326624 22.23846753, 114.15326414 22.23845747, 114.15326111 22.23844761, 114.15325716 22.23843803, 114.1532523 22.23842883, 114.153247 22.23842104, 114.15323863 22.23841152, 114.15316305 22.23835801, 114.15319313 22.23832133, 114.15317133 22.23830325, 114.15319187 22.23827948, 114.15319333 22.23827461, 114.15319407 22.23826897, 114.15319399 22.23826455, 114.15319319 22.23825955, 114.15319165 22.23825471, 114.1531894 22.23825011, 114.15318648 22.23824585, 114.15318296 22.23824201, 114.15317889 22.23823866, 114.15317472 22.23823606, 114.15311696 22.23819955, 114.15307114 22.23816497, 114.15307836 22.23815737, 114.1530355 22.23812838, 114.15302406 22.2381431, 114.15294814 22.2380903, 114.15295101 22.23808701, 114.1528774 22.23803706, 114.15287421 22.23803516, 114.15287069 22.23803372, 114.15286702 22.23803291, 114.15286323 22.23803272, 114.15285944 22.23803317, 114.15285587 22.23803417, 114.15285246 22.23803579, 114.15284947 22.23803787, 114.15284686 22.23804049, 114.152825 22.23806824, 114.1528057 22.23805574, 114.15252395 22.23841729, 114.15252508 22.23841806, 114.15254259 22.23843002, 114.15252228 22.23845603, 114.15252015 22.23845919, 114.1525186 22.23846262, 114.15251792 22.23846623, 114.15251792 22.23846993, 114.15251871 22.23847364, 114.15252026 22.23847707, 114.1525225 22.23848014, 114.1525253 22.23848276, 114.15254626 22.23849748, 114.15254547 22.23849848, 114.15283304 22.23869359, 114.1528387 22.23869628, 114.15284383 22.23869726, 114.15284906 22.23869705, 114.15285408 22.23869567, 114.15285889 22.23869299, 114.1528621 22.23869006, 114.15286427 22.2386871)))</t>
  </si>
  <si>
    <t>MultiPolygon (((114.16399724 22.24807676, 114.16400947 22.24815448, 114.1640943 22.24814181, 114.16427763 22.24811442, 114.16435427 22.24810297, 114.16437095 22.24819651, 114.16442009 22.24818892, 114.16452663 22.24817247, 114.16450003 22.24800685, 114.16446674 22.24779964, 114.16403467 22.24785972, 114.16396463 22.24786946, 114.16399724 22.24807676)))</t>
  </si>
  <si>
    <t>MultiPolygon (((114.16583506 22.24820974, 114.1659327 22.24785932, 114.1658771 22.24784938, 114.16586309 22.24791033, 114.16567966 22.24787753, 114.16562176 22.24816371, 114.16564845 22.24816839, 114.1656503 22.24817075, 114.16565343 22.24817479, 114.16566013 22.24818189, 114.16566758 22.2481883, 114.16567431 22.24819307, 114.16568294 22.24819805, 114.16569207 22.24820216, 114.1657 22.24820489, 114.16570981 22.24820732, 114.16571984 22.24820877, 114.16572997 22.24820925, 114.16573842 22.24820889, 114.16574847 22.24820757, 114.16575831 22.24820528, 114.16576628 22.24820265, 114.16577547 22.24819866, 114.16578393 22.24819393, 114.16580928 22.24819871, 114.16580768 22.24820443, 114.16580583 22.24821152, 114.16580638 22.24821601, 114.16580856 22.24822005, 114.16581211 22.24822313, 114.16581656 22.24822491, 114.1658214 22.24822515, 114.16582688 22.24822339, 114.1658299 22.24822109, 114.16583312 22.24821675, 114.16583506 22.24820974)))</t>
  </si>
  <si>
    <t>MultiPolygon (((114.16769325 22.24825768, 114.1675181 22.24821891, 114.16746226 22.2482485, 114.16741394 22.24843548, 114.16747414 22.24856114, 114.16759999 22.24862187, 114.16761413 22.24856626, 114.1676207 22.24854032, 114.16767809 22.24831726, 114.16769325 22.24825768)))</t>
  </si>
  <si>
    <t>MultiPolygon (((114.16632428 22.2490346, 114.16636782 22.24895573, 114.16637759 22.24893802, 114.16645992 22.24878888, 114.16630257 22.24871238, 114.16621019 22.24887884, 114.16616645 22.24895765, 114.16632428 22.2490346)))</t>
  </si>
  <si>
    <t>MultiPolygon (((114.16816229 22.25003867, 114.168162 22.25003919, 114.16824242 22.25007802, 114.16829034 22.25010114, 114.16835378 22.25013194, 114.16848368 22.25019435, 114.16853823 22.25009661, 114.16867122 22.24985833, 114.16834886 22.24970308, 114.16834495 22.24971012, 114.16834453 22.24971087, 114.16833571 22.24972673, 114.16833437 22.24972913, 114.16832769 22.24974117, 114.1682264 22.24992335, 114.16821638 22.24994137, 114.16820304 22.24996541, 114.16816229 22.25003867)))</t>
  </si>
  <si>
    <t>MultiPolygon (((114.16867122 22.24985833, 114.16853823 22.25009661, 114.16848368 22.25019435, 114.16881952 22.2503571, 114.16883126 22.25036225, 114.16884378 22.25036523, 114.16900387 22.25001963, 114.16867122 22.24985833)))</t>
  </si>
  <si>
    <t>MultiPolygon (((114.17745555 22.2741648, 114.17747353 22.27412538, 114.17755102 22.27395546, 114.17757341 22.27390505, 114.17759751 22.27384965, 114.17761352 22.27381282, 114.17715045 22.27362211, 114.17704578 22.27384965, 114.17703076 22.27388372, 114.1769887 22.2739735, 114.17703713 22.27399298, 114.17707617 22.27400893, 114.17729526 22.27409935, 114.17737714 22.2741328, 114.17745555 22.2741648)))</t>
  </si>
  <si>
    <t>MultiPolygon (((114.17148905 22.2751103, 114.17152678 22.27509066, 114.17148209 22.27501424, 114.17146735 22.27498903, 114.17145388 22.27499587, 114.17144147 22.27497577, 114.17141901 22.27498715, 114.17142011 22.274989, 114.17142062 22.2749899, 114.17148905 22.2751103)))</t>
  </si>
  <si>
    <t>MultiPolygon (((114.16819228 22.27635369, 114.16817963 22.27633798, 114.16816695 22.27634535, 114.168082 22.27640119, 114.16818316 22.27653358, 114.16824236 22.27649626, 114.16827938 22.27647293, 114.16825317 22.27643706, 114.16822832 22.27640303, 114.16819228 22.27635369)))</t>
  </si>
  <si>
    <t>MultiPolygon (((114.16590134 22.27725349, 114.16591921 22.27726714, 114.16596922 22.2773053, 114.16595912 22.27731886, 114.16607859 22.27740459, 114.16609461 22.2773846, 114.16613164 22.2774109, 114.16612622 22.27741762, 114.1661675 22.27744691, 114.16614945 22.27746902, 114.16617269 22.27748556, 114.16615589 22.2775062, 114.16617974 22.27752326, 114.16616209 22.27754499, 114.1661851 22.2775615, 114.16616705 22.27758355, 114.16619414 22.27760274, 114.16616815 22.27763462, 114.16616561 22.27763773, 114.16616737 22.27763898, 114.16617415 22.2776438, 114.16612786 22.27770457, 114.16609926 22.27774211, 114.16611873 22.27775558, 114.16608505 22.2777998, 114.16608878 22.27781158, 114.16612529 22.27783735, 114.16613813 22.27783561, 114.16615311 22.27783359, 114.16616181 22.27783241, 114.16618695 22.27780277, 114.1662188 22.27782317, 114.16628053 22.27781499, 114.16653847 22.27778084, 114.16660165 22.27777248, 114.16672037 22.27761658, 114.16673193 22.2776014, 114.1667446 22.27758476, 114.16671621 22.27756046, 114.16672734 22.27754682, 114.16673346 22.27753932, 114.16653276 22.27737379, 114.16651403 22.27739677, 114.16650013 22.2773875, 114.16651376 22.27737083, 114.16652584 22.27735451, 114.16615727 22.2770507, 114.16611413 22.27710611, 114.1660776 22.27707998, 114.16602012 22.2770867, 114.16590134 22.27725349)))</t>
  </si>
  <si>
    <t>MultiPolygon (((114.17446926 22.2780452, 114.17461677 22.27806021, 114.17463628 22.27790666, 114.17445 22.27788612, 114.1744392 22.27797663, 114.17446401 22.27797915, 114.17445605 22.27804385, 114.17446926 22.2780452)))</t>
  </si>
  <si>
    <t>MultiPolygon (((114.18668542 22.27821049, 114.18670044 22.27819629, 114.18672061 22.27821378, 114.18679485 22.27814765, 114.18677715 22.2781281, 114.18680686 22.27810172, 114.18682702 22.27812093, 114.18690153 22.27805408, 114.18688418 22.2780333, 114.18691621 22.27800741, 114.18693568 22.27802649, 114.18701132 22.27795932, 114.18699038 22.27794016, 114.18700179 22.27792977, 114.18697121 22.27790068, 114.18698343 22.27788898, 114.18692165 22.27782857, 114.18692067 22.27782762, 114.18654412 22.27816056, 114.18667303 22.27828713, 114.18671908 22.27824505, 114.18668542 22.27821049)))</t>
  </si>
  <si>
    <t>MultiPolygon (((114.18633516 22.27889882, 114.18657928 22.27886027, 114.18656643 22.27879598, 114.18650549 22.27880575, 114.18649569 22.27874897, 114.1863732 22.27876805, 114.18638315 22.27882632, 114.18632417 22.27883627, 114.18633516 22.27889882)))</t>
  </si>
  <si>
    <t>MultiPolygon (((114.18328298 22.27925182, 114.18329977 22.2792135, 114.18313078 22.27914988, 114.18311434 22.27918738, 114.18328298 22.27925182)))</t>
  </si>
  <si>
    <t>MultiPolygon (((114.16236015 22.28119207, 114.16238213 22.28126159, 114.16285922 22.28113696, 114.16274895 22.28076969, 114.16273041 22.28070794, 114.16225225 22.28083548, 114.16225119 22.28083577, 114.16217577 22.28085589, 114.16219515 22.28091741, 114.16219616 22.2809206, 114.16228779 22.2812114, 114.16229391 22.28120977, 114.16233556 22.28119864, 114.16236015 22.28119207)))</t>
  </si>
  <si>
    <t>MultiPolygon (((114.1772464 22.28140401, 114.17723815 22.28142403, 114.17726371 22.28149504, 114.17729341 22.28150519, 114.17732181 22.28142972, 114.1772464 22.28140401)))</t>
  </si>
  <si>
    <t>MultiPolygon (((114.15699241 22.28213267, 114.15697632 22.28215303, 114.15733458 22.28240199, 114.15743092 22.28228182, 114.15716176 22.28209637, 114.15715684 22.28210256, 114.15711632 22.28207448, 114.15712144 22.28206859, 114.1570707 22.28203363, 114.15704597 22.28206491, 114.15699241 22.28213267)))</t>
  </si>
  <si>
    <t>MultiPolygon (((114.19201931 22.28378056, 114.19202027 22.28376312, 114.19188858 22.28375618, 114.19189007 22.28373475, 114.19178781 22.28373055, 114.19178572 22.2837699, 114.19201931 22.28378056)))</t>
  </si>
  <si>
    <t>MultiPolygon (((114.15226208 22.28620929, 114.15238739 22.28617974, 114.15235493 22.28606701, 114.15222952 22.28610128, 114.15223025 22.28610374, 114.15225176 22.28617503, 114.15226208 22.28620929)))</t>
  </si>
  <si>
    <t>MultiPolygon (((114.13883769 22.28640886, 114.13871305 22.286415, 114.13871638 22.28646178, 114.13871682 22.2864681, 114.13884469 22.28650208, 114.13883769 22.28640886)))</t>
  </si>
  <si>
    <t>MultiPolygon (((114.21243604 22.28673282, 114.21243375 22.28657623, 114.21242741 22.28657592, 114.21242485 22.28646614, 114.21205303 22.28647513, 114.21205199 22.28647279, 114.21205188 22.28647243, 114.21205176 22.28647207, 114.21205164 22.28647171, 114.2120515 22.28647135, 114.21205136 22.286471, 114.21205122 22.28647065, 114.21205107 22.2864703, 114.21205091 22.28646995, 114.21205074 22.28646961, 114.21205057 22.28646927, 114.21205039 22.28646893, 114.21205021 22.28646859, 114.21205002 22.28646826, 114.21204982 22.28646793, 114.21204962 22.28646761, 114.21204941 22.28646728, 114.21204919 22.28646696, 114.21204897 22.28646665, 114.21204874 22.28646634, 114.21204851 22.28646603, 114.21204827 22.28646573, 114.21204803 22.28646543, 114.21204778 22.28646513, 114.21204752 22.28646484, 114.21204726 22.28646455, 114.212047 22.28646426, 114.21204673 22.28646399, 114.21204645 22.28646371, 114.21204617 22.28646344, 114.21204588 22.28646317, 114.21204559 22.28646291, 114.21204529 22.28646266, 114.21204499 22.28646241, 114.21204468 22.28646216, 114.21204437 22.28646192, 114.21204406 22.28646168, 114.21204374 22.28646145, 114.21204342 22.28646122, 114.21204309 22.286461, 114.21204276 22.28646079, 114.21204242 22.28646058, 114.21204208 22.28646037, 114.21204174 22.28646017, 114.21204139 22.28645998, 114.21204104 22.28645979, 114.21204068 22.28645961, 114.21204033 22.28645943, 114.21203997 22.28645927, 114.2120396 22.2864591, 114.21203923 22.28645894, 114.21203886 22.28645879, 114.21203849 22.28645864, 114.21203812 22.2864585, 114.21203774 22.28645837, 114.21203736 22.28645824, 114.21203697 22.28645812, 114.21203659 22.286458, 114.2120362 22.28645789, 114.21203581 22.28645779, 114.21203542 22.28645769, 114.21203503 22.2864576, 114.21203463 22.28645752, 114.21203424 22.28645744, 114.21203384 22.28645737, 114.21203344 22.28645731, 114.21203304 22.28645725, 114.21203264 22.2864572, 114.21203224 22.28645715, 114.21203184 22.28645711, 114.21203143 22.28645708, 114.21203103 22.28645706, 114.21203063 22.28645704, 114.21203022 22.28645703, 114.21202982 22.28645702, 114.21202933 22.28645702, 114.21191615 22.28645823, 114.21191583 22.28645813, 114.2119155 22.28645805, 114.21191517 22.28645796, 114.21191484 22.28645788, 114.21191451 22.28645781, 114.21191418 22.28645775, 114.21191385 22.28645768, 114.21191352 22.28645763, 114.21191318 22.28645758, 114.21191285 22.28645753, 114.21191251 22.28645749, 114.21191217 22.28645746, 114.21191184 22.28645743, 114.2119115 22.28645741, 114.21191116 22.28645739, 114.21191082 22.28645738, 114.21191048 22.28645737, 114.21191014 22.28645737, 114.21190981 22.28645737, 114.21190947 22.28645738, 114.21190913 22.2864574, 114.21190879 22.28645742, 114.21190845 22.28645745, 114.21190811 22.28645748, 114.21190778 22.28645752, 114.21190744 22.28645756, 114.21190711 22.28645761, 114.21190677 22.28645766, 114.21190644 22.28645772, 114.21190611 22.28645778, 114.21190578 22.28645785, 114.21190545 22.28645793, 114.21190512 22.28645801, 114.2119048 22.2864581, 114.21190447 22.28645819, 114.21190415 22.28645828, 114.21190383 22.28645839, 114.21190351 22.28645849, 114.21190319 22.2864586, 114.21190288 22.28645872, 114.21190256 22.28645884, 114.21190225 22.28645897, 114.21190195 22.2864591, 114.21190164 22.28645924, 114.21190134 22.28645938, 114.21190104 22.28645953, 114.21190074 22.28645968, 114.21190045 22.28645984, 114.21190016 22.28646, 114.21189987 22.28646017, 114.21189958 22.28646034, 114.2118993 22.28646051, 114.21189902 22.28646069, 114.21189875 22.28646088, 114.21189848 22.28646107, 114.21189821 22.28646126, 114.21189795 22.28646146, 114.21189769 22.28646166, 114.21189743 22.28646187, 114.21189718 22.28646207, 114.21189693 22.28646229, 114.21189668 22.28646251, 114.21189644 22.28646273, 114.21189621 22.28646296, 114.21189598 22.28646319, 114.21189575 22.28646342, 114.21189552 22.28646366, 114.21189531 22.2864639, 114.21189509 22.28646414, 114.21189488 22.28646439, 114.21189468 22.28646464, 114.21189448 22.2864649, 114.21189428 22.28646515, 114.21189409 22.28646542, 114.21189391 22.28646568, 114.21189373 22.28646595, 114.21189355 22.28646622, 114.21189338 22.28646649, 114.21189321 22.28646676, 114.21189305 22.28646704, 114.2118929 22.28646732, 114.21189275 22.28646761, 114.21189261 22.28646789, 114.21189247 22.28646818, 114.21189233 22.28646847, 114.21189221 22.28646876, 114.21189208 22.28646905, 114.21189197 22.28646935, 114.21189185 22.28646965, 114.21189175 22.28646995, 114.21189165 22.28647025, 114.21189155 22.28647055, 114.21189147 22.28647086, 114.21189138 22.28647116, 114.21189131 22.28647147, 114.21189123 22.28647178, 114.21189117 22.28647209, 114.21189111 22.2864724, 114.21189105 22.28647271, 114.21189101 22.28647302, 114.21189096 22.28647333, 114.21189093 22.28647365, 114.2118909 22.28647396, 114.21189087 22.28647428, 114.21189085 22.28647459, 114.21189084 22.28647491, 114.21189083 22.28647522, 114.21189083 22.28647554, 114.21189084 22.28647585, 114.21189085 22.28647617, 114.21189086 22.28647648, 114.21189089 22.2864768, 114.2118911 22.28647912, 114.21176375 22.28648229, 114.21152601 22.28648391, 114.21152805 22.28657416, 114.21152857 22.28659512, 114.21152307 22.28659508, 114.21152609 22.28671035, 114.21152786 22.28675744, 114.21152886 22.28676055, 114.2115302 22.28676248, 114.21153176 22.28676425, 114.21153354 22.28676584, 114.2115355 22.28676724, 114.21153762 22.28676841, 114.21153987 22.28676936, 114.21154222 22.28677006, 114.21154478 22.28677052, 114.21156455 22.28677056, 114.21158337 22.2867704, 114.21197738 22.28676145, 114.21237403 22.2867515, 114.21241458 22.28675057, 114.21241703 22.28675028, 114.21241944 22.28674976, 114.21242177 22.28674901, 114.21242401 22.28674803, 114.21242612 22.28674684, 114.21242809 22.28674546, 114.21242989 22.28674389, 114.21243151 22.28674216, 114.21243292 22.28674028, 114.21243412 22.28673828, 114.21243508 22.28673616, 114.2124358 22.28673397, 114.21243604 22.28673282)))</t>
  </si>
  <si>
    <t>MultiPolygon (((114.13753667 22.28700035, 114.13755618 22.28693714, 114.13753509 22.28693022, 114.13754105 22.28691126, 114.13756209 22.28691801, 114.13756819 22.28689824, 114.13754777 22.28689115, 114.1375579 22.28685778, 114.1375785 22.28686485, 114.13760179 22.28678942, 114.13753087 22.28676815, 114.13750729 22.28684288, 114.1375166 22.28684714, 114.13749405 22.28691844, 114.13747102 22.28691258, 114.13745189 22.2869751, 114.13753667 22.28700035)))</t>
  </si>
  <si>
    <t>MultiPolygon (((114.21164548 22.28751701, 114.2116497 22.28767285, 114.21164976 22.2876748, 114.21180933 22.28767245, 114.21203324 22.2876698, 114.21202847 22.28750862, 114.21180457 22.28751127, 114.21164784 22.28751457, 114.21164542 22.28751462, 114.21164548 22.28751701)))</t>
  </si>
  <si>
    <t>MultiPolygon (((114.17227747 22.30730215, 114.17228135 22.30726291, 114.17229029 22.30717188, 114.17229039 22.30717086, 114.17229039 22.30716996, 114.17229032 22.30716906, 114.17229015 22.30716817, 114.1722899 22.30716729, 114.17228957 22.30716644, 114.17228916 22.30716563, 114.17228868 22.30716484, 114.17228812 22.3071641, 114.1722875 22.30716341, 114.17228681 22.30716277, 114.17228607 22.3071622, 114.17228527 22.30716168, 114.17228443 22.30716123, 114.17228355 22.30716085, 114.17228264 22.30716055, 114.1722817 22.30716032, 114.17228074 22.30716017, 114.17227976 22.30716008, 114.17161521 22.3071025, 114.17161415 22.30710241, 114.17161318 22.3071024, 114.17161222 22.30710248, 114.17161126 22.30710263, 114.17161032 22.30710286, 114.17160941 22.30710317, 114.17160853 22.30710355, 114.17160769 22.307104, 114.17160689 22.30710451, 114.17160615 22.3071051, 114.17160546 22.30710573, 114.17160484 22.30710643, 114.17160429 22.30710717, 114.1716038 22.30710795, 114.1716034 22.30710877, 114.17160307 22.30710962, 114.17160282 22.30711049, 114.17160266 22.30711138, 114.17160258 22.30711229, 114.17159767 22.30716338, 114.17158997 22.30724361, 114.17158991 22.30724463, 114.1715899 22.30724553, 114.17158998 22.30724643, 114.17159015 22.30724732, 114.1715904 22.30724819, 114.17159073 22.30724904, 114.17159113 22.30724986, 114.17159162 22.30725064, 114.17159217 22.30725138, 114.1715928 22.30725207, 114.17159349 22.30725271, 114.17159423 22.30725329, 114.17159503 22.30725381, 114.17159587 22.30725425, 114.17159675 22.30725463, 114.17159766 22.30725494, 114.1715986 22.30725517, 114.17159956 22.30725532, 114.17160053 22.30725539, 114.1722648 22.30731195, 114.17226588 22.30731205, 114.17226685 22.30731205, 114.17226782 22.30731198, 114.17226878 22.30731182, 114.17226972 22.30731159, 114.17227063 22.30731129, 114.17227151 22.30731091, 114.17227235 22.30731046, 114.17227314 22.30730994, 114.17227389 22.30730936, 114.17227457 22.30730872, 114.17227519 22.30730803, 114.17227575 22.30730728, 114.17227623 22.3073065, 114.17227664 22.30730568, 114.17227697 22.30730483, 114.17227721 22.30730396, 114.17227737 22.30730307, 114.17227747 22.30730215)))</t>
  </si>
  <si>
    <t>MultiPolygon (((114.22432807 22.30778832, 114.2243647 22.30774741, 114.22442145 22.30768401, 114.22448202 22.30761634, 114.22453633 22.30755568, 114.22457431 22.30751325, 114.22465937 22.30741823, 114.22448189 22.30728147, 114.22445606 22.30726157, 114.22442143 22.30730002, 114.22437902 22.3073471, 114.22439523 22.30735958, 114.22410567 22.3076841, 114.22405913 22.30773626, 114.22424545 22.30788062, 114.22432807 22.30778832)))</t>
  </si>
  <si>
    <t>MultiPolygon (((114.2244745 22.31020193, 114.22448265 22.31020816, 114.22461369 22.31030833, 114.2247525 22.31015246, 114.22481229 22.31008532, 114.22484112 22.31005294, 114.22484291 22.31005093, 114.2249063 22.30997974, 114.22502104 22.3098509, 114.2248814 22.30974333, 114.22484282 22.3097868, 114.22484103 22.30978882, 114.22481219 22.30982132, 114.22467158 22.30997981, 114.22451834 22.31015253, 114.22448265 22.31019275, 114.2244745 22.31020193)))</t>
  </si>
  <si>
    <t>MultiPolygon (((114.18837529 22.31033689, 114.18837531 22.31033859, 114.1883764 22.31042327, 114.18837664 22.31044227, 114.18837731 22.31049441, 114.18837799 22.31054699, 114.18873768 22.31054234, 114.18873558 22.31042324, 114.18872727 22.30997003, 114.18872498 22.30984539, 114.18871528 22.30984546, 114.18869794 22.30984558, 114.18838471 22.30984787, 114.18835411 22.30984809, 114.18835535 22.30993126, 114.18835604 22.30997722, 114.18835664 22.31001793, 114.18835786 22.31009928, 114.18836011 22.31025053, 114.18837418 22.31025028, 114.18837529 22.31033689)))</t>
  </si>
  <si>
    <t>MultiPolygon (((114.22570623 22.3114017, 114.22572248 22.31138354, 114.22568017 22.31135087, 114.22549528 22.31120806, 114.22512027 22.31163036, 114.22522684 22.31171323, 114.22530119 22.31177103, 114.22534506 22.31180514, 114.22537562 22.31177101, 114.22540441 22.31173882, 114.22543013 22.31171006, 114.22570623 22.3114017)))</t>
  </si>
  <si>
    <t>MultiPolygon (((114.21986653 22.31232944, 114.21995665 22.31239872, 114.22011767 22.31252032, 114.22028864 22.31236629, 114.220189 22.31228949, 114.2201576 22.31226529, 114.22012547 22.31224052, 114.22002691 22.31216456, 114.21988904 22.31230589, 114.21986653 22.31232944)))</t>
  </si>
  <si>
    <t>MultiPolygon (((114.21844689 22.31277896, 114.21855308 22.31268239, 114.21838814 22.31252642, 114.21836735 22.31254533, 114.21828209 22.31262284, 114.21844689 22.31277896)))</t>
  </si>
  <si>
    <t>MultiPolygon (((114.22032587 22.31350231, 114.22041757 22.31358819, 114.22058914 22.31343163, 114.2205844 22.31332748, 114.22035463 22.31314966, 114.22015133 22.31333514, 114.22024251 22.31342419, 114.22026582 22.31340371, 114.22034866 22.31348142, 114.22032587 22.31350231)))</t>
  </si>
  <si>
    <t>MultiPolygon (((114.21738349 22.314757, 114.21760784 22.31455144, 114.21765973 22.3145039, 114.21753034 22.31438165, 114.2172541 22.31463475, 114.21738349 22.314757)))</t>
  </si>
  <si>
    <t>MultiPolygon (((114.2176926 22.31505233, 114.21769403 22.31505368, 114.21794882 22.31529518, 114.21796395 22.31530952, 114.21810786 22.31517657, 114.21816732 22.31509418, 114.21817286 22.31508092, 114.21817759 22.31506737, 114.21818157 22.31505363, 114.21818467 22.31503964, 114.21818528 22.31502908, 114.21818497 22.3150186, 114.21818398 22.31500812, 114.21818216 22.31499774, 114.21817962 22.31498744, 114.21817624 22.31497742, 114.21817214 22.31496758, 114.21816505 22.31495583, 114.21815682 22.31494465, 114.21814749 22.31493427, 114.21798779 22.31478331, 114.21794868 22.31481896, 114.2176926 22.31505233)))</t>
  </si>
  <si>
    <t>MultiPolygon (((114.17130222 22.31533357, 114.17137185 22.31499307, 114.17118833 22.3149605, 114.17103307 22.31493283, 114.17099252 22.31513264, 114.17089062 22.31511453, 114.17086882 22.31511136, 114.17085619 22.31517676, 114.17085215 22.31519767, 114.17082688 22.31519359, 114.17081854 22.31523618, 114.17084852 22.31524139, 114.17083617 22.31530265, 114.17129195 22.31538383, 114.17130222 22.31533357)))</t>
  </si>
  <si>
    <t>MultiPolygon (((114.21337276 22.31559853, 114.21285085 22.3150936, 114.2126238 22.31487387, 114.21213425 22.31531439, 114.21285109 22.31600447, 114.21307772 22.31622376, 114.21356772 22.31578507, 114.21337276 22.31559853)))</t>
  </si>
  <si>
    <t>MultiPolygon (((114.21552716 22.31567491, 114.2156499 22.31579166, 114.21576202 22.3156854, 114.21573959 22.31566392, 114.21577788 22.31562896, 114.21576918 22.31562106, 114.21578226 22.31560893, 114.21580506 22.31563058, 114.21586616 22.3155739, 114.21585253 22.31556076, 114.21589076 22.31552583, 114.21591352 22.31554675, 114.21603014 22.31544424, 114.21590777 22.31532588, 114.21552716 22.31567491)))</t>
  </si>
  <si>
    <t>MultiPolygon (((114.21201196 22.31541029, 114.2119105 22.31531226, 114.21181787 22.31531063, 114.21172362 22.31538881, 114.21139184 22.31568608, 114.21136024 22.31572065, 114.21135823 22.31577059, 114.21136496 22.3157771, 114.21134399 22.31579589, 114.21160978 22.31605271, 114.21163075 22.31603392, 114.21169609 22.31597538, 114.21172126 22.31595283, 114.21173809 22.31596909, 114.21182618 22.31589016, 114.21180935 22.3158739, 114.21196386 22.31573547, 114.21198069 22.31575173, 114.21206878 22.3156728, 114.21205195 22.31565654, 114.21207712 22.31563399, 114.21215053 22.31556822, 114.21213706 22.31555521, 114.21199905 22.31542186, 114.21201196 22.31541029)))</t>
  </si>
  <si>
    <t>MultiPolygon (((114.16028067 22.31957686, 114.15995319 22.31957672, 114.15995318 22.3197059, 114.15995311 22.32016245, 114.1599531 22.32024081, 114.16031033 22.32024094, 114.16031062 22.31963337, 114.16028061 22.31963336, 114.16028067 22.31957686)))</t>
  </si>
  <si>
    <t>MultiPolygon (((114.20949733 22.32221371, 114.20950675 22.32211623, 114.20952227 22.321959, 114.20952623 22.32192493, 114.2094969 22.32187687, 114.20948094 22.32185163, 114.20917147 22.32181685, 114.20911451 22.32185046, 114.20910705 22.32192122, 114.20909051 22.32208395, 114.20908175 22.3221777, 114.20911668 22.32218072, 114.20941947 22.32220702, 114.20946227 22.3222107, 114.20949733 22.32221371)))</t>
  </si>
  <si>
    <t>MultiPolygon (((114.20904417 22.32253292, 114.20903599 22.32261179, 114.20901293 22.32284751, 114.2093874 22.32287995, 114.20941371 22.32261171, 114.2094149 22.32259952, 114.20945449 22.32260286, 114.20945775 22.32256777, 114.20937654 22.32256093, 114.20904417 22.32253292)))</t>
  </si>
  <si>
    <t>MultiPolygon (((114.16321225 22.32374868, 114.16323285 22.32373363, 114.16326151 22.3237652, 114.16329156 22.32374192, 114.16317826 22.32361495, 114.16312812 22.32365394, 114.16321225 22.32374868)))</t>
  </si>
  <si>
    <t>MultiPolygon (((114.20393236 22.3248691, 114.20405019 22.3248056, 114.20407602 22.32461442, 114.20407969 22.32458754, 114.20410024 22.32443667, 114.20411884 22.32430184, 114.20418293 22.32383148, 114.2041866 22.3238046, 114.20420716 22.32365374, 114.20425601 22.32329523, 114.20427935 22.32312398, 114.20429995 22.32296847, 114.20410233 22.32295098, 114.20388811 22.32293187, 114.20369495 22.32291447, 114.20353332 22.32305338, 114.20339178 22.32318237, 114.20337605 22.32319636, 114.20321767 22.32333873, 114.20318302 22.32336771, 114.20314886 22.32339724, 114.2031152 22.32342723, 114.20308222 22.32345786, 114.2030497 22.32348892, 114.20301778 22.32352054, 114.2029865 22.32355269, 114.20295576 22.32358529, 114.20294109 22.32360147, 114.20292714 22.32361809, 114.20291395 22.32363525, 114.2029014 22.32365294, 114.20288969 22.32367101, 114.2028787 22.32368953, 114.20286862 22.32370849, 114.20285929 22.32372772, 114.20285088 22.32374732, 114.2028433 22.32376728, 114.20283652 22.32378743, 114.20283148 22.32380674, 114.20282727 22.32382634, 114.2028242 22.32384604, 114.20282197 22.3238659, 114.2028208 22.32388576, 114.2028205 22.32390573, 114.2028213 22.32392559, 114.20282293 22.32394546, 114.20282578 22.32396631, 114.20282954 22.32398709, 114.20283413 22.32400767, 114.20283956 22.32402809, 114.20284597 22.32404831, 114.20285314 22.32406827, 114.20286122 22.32408795, 114.20287006 22.32410728, 114.20287977 22.32412633, 114.20289023 22.32414494, 114.20290654 22.32417157, 114.20292376 22.32419767, 114.20294189 22.32422331, 114.20296081 22.32424841, 114.20298065 22.32427289, 114.2030045 22.32430124, 114.203029 22.32432914, 114.20305422 22.32435649, 114.20308004 22.32438332, 114.20310655 22.32440959, 114.20313363 22.32443532, 114.20316139 22.32446042, 114.20318975 22.32448498, 114.20321868 22.32450891, 114.20324072 22.32452605, 114.2032643 22.32454503, 114.20327848 22.32453554, 114.20329225 22.32455079, 114.20330673 22.32456552, 114.20332187 22.32457959, 114.2033376 22.32459313, 114.20335391 22.32460606, 114.20337078 22.32461833, 114.20338827 22.32462997, 114.20339206 22.32463229, 114.20340613 22.3246409, 114.20342459 22.32465111, 114.2034434 22.32466058, 114.20346168 22.32466825, 114.20348018 22.3246753, 114.20349903 22.3246817, 114.20351814 22.32468731, 114.20353747 22.32469226, 114.20355696 22.32469642, 114.20357668 22.32469992, 114.20359647 22.32470264, 114.20361649 22.32470472, 114.20363647 22.32470596, 114.20365646 22.32470651, 114.20364854 22.3247672, 114.2037714 22.32481648, 114.20393236 22.3248691)))</t>
  </si>
  <si>
    <t>MultiPolygon (((114.19837763 22.33404589, 114.19838611 22.33402622, 114.19836893 22.33401973, 114.19839585 22.33395729, 114.19836374 22.33394516, 114.19834997 22.33397709, 114.19832668 22.3339683, 114.1983339 22.33395154, 114.19827958 22.33393102, 114.19822525 22.33391051, 114.19821563 22.33390687, 114.19820128 22.33394015, 114.19818051 22.3339323, 114.19801076 22.33432578, 114.19803072 22.33433338, 114.19801396 22.33437227, 114.1981559 22.33442632, 114.19815214 22.33443504, 114.19818476 22.33444746, 114.19819271 22.33442902, 114.19820968 22.33443548, 114.19823511 22.33437651, 114.19837763 22.33404589)))</t>
  </si>
  <si>
    <t>MultiPolygon (((114.14663392 22.33465157, 114.14665386 22.33437355, 114.14645837 22.33436209, 114.14643935 22.33464017, 114.14663392 22.33465157)))</t>
  </si>
  <si>
    <t>MultiPolygon (((114.19922394 22.33491031, 114.19944398 22.33499104, 114.19948054 22.33490661, 114.19951681 22.33482284, 114.19954813 22.3347505, 114.19955308 22.33473908, 114.19959075 22.33465208, 114.19962702 22.33456831, 114.19966518 22.33448018, 114.19967744 22.33445187, 114.19968559 22.33443303, 114.19946602 22.3343508, 114.19945779 22.33436981, 114.19944578 22.33439758, 114.19926473 22.33481604, 114.19926464 22.33481624, 114.19922394 22.33491031)))</t>
  </si>
  <si>
    <t>MultiPolygon (((114.14768971 22.3358267, 114.14774832 22.33584581, 114.14781699 22.3358682, 114.14783555 22.3358586, 114.14797038 22.33592087, 114.14814896 22.33598302, 114.14819151 22.33596614, 114.14825185 22.33583315, 114.1482329 22.33579478, 114.14806374 22.33572118, 114.1479227 22.33567197, 114.14791309 22.33565702, 114.14783852 22.3356241, 114.1477808 22.33559862, 114.14774679 22.33568644, 114.14773763 22.33570882, 114.14768971 22.3358267)))</t>
  </si>
  <si>
    <t>MultiPolygon (((114.19872267 22.3366714, 114.1988744 22.33687512, 114.19896464 22.33681711, 114.19890106 22.33673174, 114.19902929 22.33664931, 114.1989287 22.33651404, 114.19890711 22.33648501, 114.19886946 22.33650898, 114.19890425 22.33655577, 114.19872267 22.3366714)))</t>
  </si>
  <si>
    <t>MultiPolygon (((114.20011214 22.33873171, 114.20022469 22.33867758, 114.2003222 22.33863068, 114.20005084 22.33820348, 114.19986426 22.33830546, 114.19984806 22.33831432, 114.20011214 22.33873171)))</t>
  </si>
  <si>
    <t>MultiPolygon (((114.1561088 22.33916965, 114.15608533 22.33914352, 114.15602482 22.33907615, 114.15591966 22.33915789, 114.15605156 22.33930669, 114.15615775 22.33922414, 114.1561088 22.33916965)))</t>
  </si>
  <si>
    <t>MultiPolygon (((114.15025802 22.33991303, 114.15023483 22.33990483, 114.15030678 22.33972629, 114.15009922 22.33965485, 114.15000613 22.33989037, 114.15023605 22.3399711, 114.15025802 22.33991303)))</t>
  </si>
  <si>
    <t>MultiPolygon (((114.13786877 22.36528352, 114.1378044 22.3652429, 114.13766703 22.36543228, 114.13752157 22.36563259, 114.13765011 22.36571328, 114.13781691 22.36548294, 114.13793228 22.3653231, 114.13786877 22.36528352)))</t>
  </si>
  <si>
    <t>MultiPolygon (((114.10847117 22.37333388, 114.10830162 22.37307021, 114.10808601 22.37318681, 114.10811444 22.37323248, 114.10824615 22.37344403, 114.10825201 22.37345327, 114.10847117 22.37333388)))</t>
  </si>
  <si>
    <t>MultiPolygon (((114.10928291 22.37423085, 114.10964693 22.37403554, 114.10947187 22.37375614, 114.10914712 22.37393242, 114.10910893 22.37395295, 114.10913957 22.37400189, 114.10915479 22.37399337, 114.10925929 22.37416028, 114.10924394 22.3741686, 114.10928291 22.37423085)))</t>
  </si>
  <si>
    <t>MultiPolygon (((114.10782195 22.37538451, 114.10782983 22.3753915, 114.10824519 22.37539075, 114.10846032 22.37539031, 114.10845333 22.37501074, 114.10837689 22.37501095, 114.10818305 22.37501147, 114.10814303 22.37501157, 114.10814307 22.37500492, 114.10810042 22.37500472, 114.10810017 22.37504912, 114.10810056 22.37510624, 114.10801978 22.37510629, 114.10784552 22.3751066, 114.10783001 22.37510672, 114.10782218 22.37510674, 114.10782218 22.37514758, 114.1078225 22.37535007, 114.10782195 22.37538451)))</t>
  </si>
  <si>
    <t>LAND120</t>
  </si>
  <si>
    <t>Tung Chung Area 57</t>
  </si>
  <si>
    <t>Tung Chung East New Town Extension (Other than Area 57)</t>
  </si>
  <si>
    <t>MultiPolygon (((113.95628347553157766 22.29757413836986046, 113.95631185320743839 22.29753576992289865, 113.95632090736192765 22.29752343743782816, 113.95633011715338512 22.29751087036889601, 113.95634689329014577 22.29748790133315239, 113.95637032183880422 22.29745562178541718, 113.95638750689211349 22.29743179539661924, 113.9563991971099739 22.29741552012887595, 113.95641805531462865 22.2973891403581419, 113.95643745841589123 22.29736183117641701, 113.95645707571389948 22.29733407075464058, 113.95648837448801771 22.29728940290397432, 113.9565179134106927 22.29724686387218568, 113.95655534130980868 22.29719237003795484, 113.95656992172321509 22.29717096931642217, 113.95660115490034059 22.29712476615659611, 113.95662793368443033 22.29708479707009161, 113.95663240821555462 22.29707808439744454, 113.95664729102497859 22.29705567265493471, 113.95666165842372664 22.29703394653501292, 113.95666969336016905 22.29702173907442742, 113.95665722502765504 22.29701440739556162, 113.95665027341925679 22.29701030711490617, 113.95664210992804044 22.29700546468277622, 113.95662801296612088 22.29699704712329478, 113.95660817652350261 22.29698511791218252, 113.95658677938301651 22.29697210291191567, 113.95656808735243715 22.29696062677768253, 113.95655529000308093 22.29695270765731863, 113.95653836273841364 22.29694214600285918, 113.9565234424348148 22.29693276104551813, 113.95650110580137948 22.29691858884547884, 113.95648401406674566 22.29690771089204304, 113.95646827958296399 22.29689770171473739, 113.95643711114507823 22.29687788243625235, 113.95642544842515065 22.2968704705586056, 113.95641830345216761 22.29686591847690025, 113.95639527854035578 22.29685129379890185, 113.95637652899560521 22.29683938409712241, 113.95635741104349847 22.29682724812839467, 113.95632782281393247 22.29680846949151274, 113.9563114484616051 22.29679808014557096, 113.95629014918594635 22.29678457758847898, 113.95626055124172638 22.29676581698729265, 113.95624141388685757 22.29675369000911545, 113.95622688152707269 22.2967444771327763, 113.95620914990219319 22.29673324608831564, 113.95619706058457155 22.29672559881947791, 113.95616974088498807 22.29670830425179773, 113.95615167961996406 22.29669688311082965, 113.95613412248643215 22.29668577872345736, 113.95611545045045432 22.29667397746385049, 113.95607484895558059 22.29664832056732138, 113.95606320559748781 22.29664096287346098, 113.95604650159283722 22.29663041050210026, 113.95603911420661802 22.29662574970704014, 113.95603608945211249 22.29662384014109833, 113.95601743093817504 22.29661579560607265, 113.95595664531730051 22.29658958744047936, 113.9559185912928001 22.29657317224622659, 113.95589756654331381 22.29656410402170152, 113.95586785259321516 22.29655129433728433, 113.95583090411464866 22.29653536827872173, 113.95579997797551641 22.29652202412737694, 113.95579648678022977 22.29652052029734222, 113.95574463287597666 22.29649816221072101, 113.95571845864063221 22.29648687445743604, 113.95568113198388005 22.29647078529930582, 113.95565031253553911 22.29645749544836519, 113.95562710582970567 22.29644748503553942, 113.95556466878954893 22.29641011268694228, 113.95534941154224384 22.29672150015027299, 113.95507668287989134 22.29722426589272288, 113.95509113633791287 22.29722811460513654, 113.95510648204243864 22.29723231672761941, 113.95512330195622042 22.29723706269704309, 113.95514017985514954 22.29724196226360178, 113.95515064597714172 22.2972450740471686, 113.95517220842215522 22.29725166872645659, 113.95519364439911669 22.29725846190269678, 113.95539109324261062 22.29730556400093278, 113.95540148929568147 22.29731003928877087, 113.95541231195744558 22.29731475898345749, 113.95542799298027603 22.29732172488750663, 113.95544092940376402 22.29732758531605441, 113.95545665848183603 22.29733484929170828, 113.95547282368919184 22.2973424750835747, 113.95548660320191914 22.2973490952264406, 113.95549876313840798 22.29735504489693199, 113.9555080138978127 22.29735963601323334, 113.95551634339668112 22.29736381046632943, 113.95552483765706597 22.29736812060226825, 113.95554188414962482 22.29737690350210144, 113.95556040415920052 22.29738667274152064, 113.95557863292636114 22.29739651382628196, 113.95559675469205274 22.29740651731338374, 113.9556209067820447 22.29742021349165171, 113.95562947766053696 22.29742517392758927, 113.95564023962505473 22.29743147387405955, 113.95578959304506839 22.29755928836902612, 113.95595689661270455 22.29767685037214164, 113.95595863707764295 22.29767470346562064, 113.95595965802627347 22.29767344057553302, 113.95596103871881155 22.2976717447077597, 113.95596287641208733 22.29766948053611841, 113.95596415987608907 22.29766790193339077, 113.9559655989084348 22.29766613390042096, 113.9559664156814307 22.29766511455776268, 113.95596786443229576 22.29766333750743712, 113.95596904093494572 22.29766189421761169, 113.95596990631504752 22.29766082075768807, 113.95597091754488872 22.29765956688486028, 113.9559716467795738 22.29765867385100364, 113.9559722399114321 22.29765793415160147, 113.95597299831607074 22.29765700503515546, 113.9559736400408525 22.29765622024902783, 113.95597435955691878 22.29765533623249851, 113.95597487491167499 22.2976546867329084, 113.95597587638025061 22.29765346896903466, 113.95597640143940055 22.29765281948265709, 113.95597714042099824 22.29765189937034009, 113.95597759740743982 22.29765134009698713, 113.95597887113831348 22.2976497795420201, 113.9559794837073099 22.29764902180789221, 113.95597988236799836 22.29764852566915323, 113.95598088386491042 22.29764728984415001, 113.95598165200217977 22.29764634267978352, 113.95598226457111934 22.29764558494563786, 113.95598370360301033 22.29764381691250819, 113.9559842967205725 22.29764308624360325, 113.95598483149821334 22.29764242773982375, 113.95598596912618916 22.29764102051925789, 113.95598653305957271 22.29764033496346798, 113.9559868539431875 22.29763992902454817, 113.95598788459568595 22.29763866614747769, 113.95598883748533581 22.29763748443969007, 113.95598947920994704 22.29763669965349138, 113.95599044180394799 22.29763551795891274, 113.95599094742580348 22.29763488650716496, 113.95599127799958694 22.29763448961200112, 113.95599238647166374 22.2976331094434066, 113.95599288234650714 22.29763250507008721, 113.95599391301311698 22.29763123316241646, 113.95599439918356666 22.29763062877589874, 113.95599534231193672 22.29762948317707227, 113.95599583821513079 22.29762886074266959, 113.95599679109047031 22.2976276880653792, 113.95599721892098444 22.29762715584400112, 113.95599756894610266 22.29762673188357525, 113.95600649487651879 22.29761573576625011, 113.95603272817774609 22.29758340590182186, 113.95606332720625176 22.29754569072241566, 113.95609534579601529 22.2975062345679973, 113.95611442275976799 22.29748272685211674, 113.9561238348269967 22.29747113537160885, 113.95614834272355154 22.29748694510897522, 113.95619105703649154 22.29751451030930198, 113.95622193429210256 22.29753442857463597, 113.95628347553157766 22.29757413836986046)))</t>
  </si>
  <si>
    <t>LAND084</t>
  </si>
  <si>
    <t>MultiPolygon (((114.13157487 22.36038774, 114.13166593 22.36036016, 114.13165368 22.36032608, 114.13140345 22.36040233, 114.13141526 22.36043608, 114.13153626 22.36039943, 114.13157487 22.36038774)))</t>
  </si>
  <si>
    <t>MULTIPOLYGON (((114.063381797542 22.2708011919241,114.061901524847 22.2738089872121,114.059679981728 22.2783227142052,114.059257352473 22.2792254712934,114.057833051717 22.2822677536677,114.056763728874 22.2845517131967,114.056711458427 22.2846419807143,114.053575109612 22.2900579985823,114.053313736259 22.2905093304568,114.057822998681 22.2941440499984,114.059481407683 22.2954807420932,114.065096494431 22.300006235652,114.066210274444 22.3009038315965,114.07237059754 22.3058680934514,114.072939661116 22.3063266405548,114.074867445544 22.3078799974658,114.075083033196 22.3074633414416,114.075670288427 22.3063283663448,114.078472800787 22.3009117285454,114.079654372586 22.2986278697229,114.080595826856 22.2968080735992,114.080596726293 22.2954946370919,114.080600436052 22.2900762706098,114.080604144656 22.2846579005235,114.080607852103 22.2792395268339,114.080608268791 22.2786304373788,114.079668489558 22.2782033874853,114.072393609868 22.2748973004897,114.070011243693 22.2738145235432,114.065119073251 22.2715908875288,114.063662902285 22.2709289727437,114.063381797542 22.2708011919241)))</t>
  </si>
  <si>
    <t>MULTIPOLYGON (((114.211791169994 22.3149821358764,114.212355174044 22.3144768145308,114.21199697882 22.314130713618,114.211432722457 22.3146357719057,114.211791169994 22.3149821358764)))</t>
  </si>
  <si>
    <t>LAND122</t>
  </si>
  <si>
    <t>LAND123</t>
  </si>
  <si>
    <t>MULTIPOLYGON (((114.16673482096 22.2494240066279,114.166813836773 22.2494318952412,114.166844472917 22.2494338208344,114.166844578918 22.2494322228249,114.166877136559 22.2494349158284,114.1668778615 22.2494292912007,114.166991628639 22.2494402960153,114.167121564555 22.2494508335651,114.167173786317 22.2494553515581,114.167197759657 22.2494564008232,114.167221680895 22.2494545874735,114.16724085813 22.2494491623899,114.167258871148 22.2494410052255,114.167275268995 22.2494303213432,114.167289640243 22.2494173768002,114.167301626464 22.2494024966852,114.167310926722 22.2493860534788,114.167317308353 22.2493684579071,114.167320611459 22.2493501514597,114.167320754291 22.2493315914234,114.167315333857 22.2492989535898,114.167304181272 22.249267586176,114.167287601067 22.249238346389,114.167263455251 22.2492137177169,114.167235676647 22.2491926234579,114.167204862636 22.2491755175754,114.167132366796 22.2491417206889,114.167076116988 22.2491128558516,114.167022512718 22.249079960223,114.166993332743 22.2490607117245,114.166986333969 22.2490555809529,114.166961853979 22.2490419321516,114.166957973257 22.2490415156037,114.166954070975 22.2490416818903,114.166950247745 22.2490424276856,114.166946604178 22.2490437330352,114.166943235496 22.2490455638503,114.166940227937 22.2490478719079,114.16693766145 22.2490505981761,114.166935602511 22.2490536711518,114.16684169353 22.2492236774387,114.16678371177 22.2493306776805,114.16673482096 22.2494240066279)))</t>
  </si>
  <si>
    <t>MULTIPOLYGON (((114.219486692302 22.3145593549685,114.21949939948 22.3143951491599,114.219411535704 22.3143095441197,114.219375263198 22.31434252887,114.219222815249 22.314481163192,114.219047074987 22.3146409774775,114.219040474046 22.3146469809313,114.219055274631 22.3146614088772,114.219260292907 22.3148612729382,114.219266446163 22.3148672712573,114.219375410138 22.3148274204795,114.219468584715 22.3147933443327,114.219486692302 22.3145593549685)))</t>
  </si>
  <si>
    <t>MULTIPOLYGON (((114.106266361757 22.3744180699861,114.106191745841 22.3742144956458,114.105981551843 22.374327748626,114.106150371189 22.3747786896223,114.106230712789 22.3747540352311,114.106269340939 22.3747296606237,114.106264505946 22.3747094391635,114.106348810459 22.3746820501915,114.106251250971 22.3744227863625,114.106266361757 22.3744180699861)))</t>
  </si>
  <si>
    <t>MULTIPOLYGON (((114.17886575624 22.2779475883868,114.178662605618 22.2779035655348,114.178659122388 22.2779177292306,114.178636753762 22.2779129513696,114.178596430464 22.2779041911896,114.178563867484 22.2780340322826,114.178586265238 22.2780388977506,114.178583592163 22.2780495539351,114.178600751195 22.2780532770816,114.178601054903 22.278053343002,114.178596529595 22.278071137025,114.178751455807 22.2781051112409,114.178748618769 22.2781163074623,114.178826270141 22.2781327233258,114.178826403074 22.2781327513191,114.178872325263 22.2779490160484,114.17886575624 22.2779475883868)))</t>
  </si>
  <si>
    <t>MULTIPOLYGON (((114.178997431083 22.277998501431,114.179015936907 22.2780019544994,114.17900248154 22.2780604795511,114.179014104938 22.2780629510812,114.179007573218 22.2780897468849,114.178990815881 22.2780861050518,114.178966013312 22.2781850766818,114.179088518714 22.2782206593565,114.179157515965 22.2779442395128,114.179018307001 22.2779155447847,114.178997431083 22.277998501431)))</t>
  </si>
  <si>
    <t>MULTIPOLYGON (((114.145057821671 22.2883793571527,114.145060023377 22.2883771554469,114.145060023377 22.2883771554469,114.145060023377 22.2883771554469,114.14564567711 22.2883419281547,114.1456225592 22.2881052447852,114.145050115701 22.2881481780476,114.145057821671 22.2883793571527)))</t>
  </si>
  <si>
    <t>MULTIPOLYGON (((113.999922478639 22.4460249299361,114.000952876936 22.4458713609591,114.001388814677 22.4458267764174,114.001656321927 22.4458664071212,114.001938690691 22.4460199760981,114.002349859242 22.4461537297232,114.002389489946 22.4459852992324,114.001884198473 22.4455840383571,114.001388814677 22.4452025928337,114.000809215635 22.444860778014,114.00038318557 22.4446428091435,113.999729278958 22.4443257635136,113.999922478639 22.4460249299361)))</t>
  </si>
  <si>
    <t>MULTIPOLYGON (((114.028779668445 22.450750891356,114.029218083105 22.4513286327088,114.029316540634 22.4513509249797,114.030093054736 22.4508326296824,114.029613770912 22.4501880115171,114.028779668445 22.450750891356)))</t>
  </si>
  <si>
    <t>MULTIPOLYGON (((113.940926293454 22.2886679698185,113.941955453292 22.2894742069475,113.942018614726 22.2892159881435,113.94198517632 22.2890302192197,113.941912726439 22.288844450296,113.941728815205 22.2885657969104,113.941531900146 22.288296431971,113.941461307955 22.2882276974692,113.941388858075 22.2882314128477,113.940926293454 22.2886679698185)))</t>
  </si>
  <si>
    <t>MULTIPOLYGON (((113.94002438533 22.3179904333744,113.942749615441 22.3188932703438,113.942911234404 22.3185031556039,113.94299483042 22.3181966368798,113.943044988029 22.3178789720202,113.943005976556 22.3175780263637,113.942866649863 22.3170430118634,113.942621434883 22.3162906477222,113.942448669784 22.3157389140187,113.942348354565 22.3157556332219,113.942058555044 22.3158392292376,113.941724170982 22.3159005329824,113.941283898632 22.315889386847,113.940810187877 22.3158838137793,113.940782322538 22.3160231404721,113.940737737997 22.3162627823837,113.940626276642 22.316586020311,113.940336477121 22.3172213500302,113.94002438533 22.3179904333744)))</t>
  </si>
  <si>
    <t>MULTIPOLYGON (((114.204781326594 22.3198985124323,114.20547238699 22.3191182829526,114.205483533125 22.3190625522755,114.205338633365 22.3189232255827,114.205266183484 22.3189232255827,114.20520487974 22.3189232255827,114.205110137589 22.3188619218379,114.205071126115 22.3187504604837,114.204318761973 22.3194303747445,114.204781326594 22.3198985124323)))</t>
  </si>
  <si>
    <t>MULTIPOLYGON (((114.204006670182 22.3207623379277,114.204770180458 22.3198985124323,114.204307615838 22.3194303747445,114.203410351936 22.3202384695628,114.204006670182 22.3207623379277)))</t>
  </si>
  <si>
    <t>MULTIPOLYGON (((114.203471655681 22.3213419369698,114.204017816317 22.3207623379277,114.203404778869 22.3202328964951,114.202780595285 22.3208069224694,114.203471655681 22.3213419369698)))</t>
  </si>
  <si>
    <t>MULTIPOLYGON (((114.203237586837 22.3213530831052,114.202674706998 22.3208905184851,114.201771870029 22.3216930402356,114.202262299988 22.3221946163297,114.20252423417 22.3220943011109,114.202763876082 22.3219438282827,114.202958933452 22.3217710631836,114.203120552415 22.321531421272,114.203153990822 22.3214032407146,114.203170710025 22.3214032407146,114.203237586837 22.3213530831052)))</t>
  </si>
  <si>
    <t>MULTIPOLYGON (((114.201328764962 22.3326466050679,114.200899832678 22.3322245981107,114.200657984723 22.332443471883,114.200475580625 22.3324298804829,114.200381214701 22.3323396426101,114.200228889715 22.3321939743298,114.200228886804 22.3321939808322,114.20016849697 22.33233048025,114.19998589164 22.3327431677998,114.200367892079 22.3328894984603,114.200668402146 22.332911913589,114.200736719124 22.3329107024593,114.200804958126 22.3329076219825,114.200873070616 22.3329026811965,114.200940998351 22.3328958891406,114.201008683087 22.3328872367933,114.201076066584 22.3328767512552,114.201143090596 22.3328644235048,114.201193612899 22.3328522697892,114.201242950311 22.3328364407906,114.201290792229 22.332817044924,114.201336837754 22.3327941996336,114.201380805412 22.3327680494529,114.201422423432 22.3327387479446,114.201328764962 22.3326466050679)),((114.202107741964 22.3314048800462,114.202103476791 22.3313294211794,114.201967767256 22.3313358088432,114.20153157667 22.331356339202,114.201594856248 22.3314168705584,114.201604457175 22.3315868697695,114.20122133138 22.3319336208848,114.201660329371 22.3323534400642,114.20175508447 22.3324440654465,114.20179566236 22.3324073408649,114.201832308854 22.3323700840754,114.201864141114 22.3323350134213,114.201894332678 22.3322987058251,114.201922825316 22.3322612245109,114.201949570509 22.3322226507622,114.201974519736 22.3321830478014,114.201997624475 22.3321424878815,114.202018836207 22.3321010432556,114.202038135533 22.3320587952025,114.202055464228 22.3320158159767,114.202070812601 22.3319721868554,114.202084132132 22.3319279891221,114.202095413132 22.3318832950233,114.202104626498 22.3318382039004,114.202111762537 22.3317927789692,114.202116801856 22.3317471195696,114.202119744468 22.3317012889157,114.202120570981 22.3316553953777,114.202119291115 22.331609502168,114.202107741964 22.3314048800462)))</t>
  </si>
  <si>
    <t>MULTIPOLYGON (((114.146210886403 22.3354234133943,114.146266168724 22.3352867080199,114.14634318848 22.3350925567932,114.146228025359 22.335086890742,114.146152131192 22.3350975306866,114.146077304225 22.3351133680413,114.146003960375 22.3351343172192,114.145932506581 22.3351602593965,114.145863339897 22.3351910524832,114.145796844803 22.3352265244752,114.145733390507 22.3352664784411,114.145673329147 22.3353106925215,114.145664469961 22.3353178035329,114.145667701202 22.3353208206025,114.145599038474 22.3353846535039,114.145594399574 22.3353803360468,114.145580661638 22.3353931022917,114.145499122458 22.3355227563872,114.14549170956 22.3355369468132,114.145486856861 22.3355520537407,114.145484689226 22.335567684976,114.145485265046 22.3355834358618,114.145488567253 22.3355988967554,114.145494510507 22.3356136663235,114.145513716488 22.335633284296,114.146037209719 22.3358120727812,114.146055438333 22.3358182980098,114.146210886403 22.3354234133943)))</t>
  </si>
  <si>
    <t>MULTIPOLYGON (((114.209786085701 22.3181050545206,114.209770368358 22.3181049195462,114.209754643196 22.3181049672607,114.209738913613 22.3181051979345,114.209723183587 22.3181056115667,114.209707456515 22.3181062083373,114.209691736281 22.3181069882454,114.209676026571 22.3181079510194,114.209660331074 22.3181090965682,114.209644653382 22.3181104246202,114.209628997182 22.3181119347232,114.209613366162 22.3181136264248,114.209597764011 22.3181154991826,114.209582194318 22.3181175523635,114.209566660579 22.3181197853348,114.209551166579 22.3181221972831,114.209546570927 22.3181337924106,114.209542117866 22.3181454417831,114.209537808561 22.318157143233,114.209533644078 22.3181688943219,114.209529625291 22.3181806927015,114.209525753267 22.3181925361141,114.209522028684 22.3182044222116,114.209518452513 22.3182163485555,114.209517820097 22.3182185145809,114.209517383591 22.3182200449032,114.209515025336 22.3182283126172,114.209511747831 22.3182403121389,114.209508620775 22.3182523446821,114.209505644651 22.3182644077183,114.209502819946 22.318276498809,114.209500147046 22.3182886154256,114.20949762634 22.3183007552202,114.209495258214 22.318312915664,114.209472460576 22.3184608760731,114.209453621856 22.3186494339811,114.209463400133 22.3187214637364,114.209440589363 22.3190610678807,114.209436956665 22.3191151502192,114.209774026094 22.3191387132532,114.210116408082 22.3191626470078,114.21055069701 22.3191930042806,114.210673955962 22.3192016199753,114.210695853906 22.3192034366933,114.211241680702 22.3192487203733,114.211302258496 22.3187736807496,114.211367849589 22.3182593245918,114.210634969362 22.3181750663657,114.210284309637 22.3181406619056,114.210201756465 22.318133735834,114.209951230505 22.3181127169258,114.209932575115 22.3181114313469,114.209913910626 22.3181102507033,114.209895238106 22.3181091749043,114.209876558623 22.3181082041305,114.209859574897 22.3181074172332,114.209857873244 22.3181073383815,114.209839182843 22.3181065777475,114.209820488488 22.3181059222283,114.209801791342 22.3181053718236,114.209786085701 22.3181050545206)))</t>
  </si>
  <si>
    <t>MULTIPOLYGON (((114.16050717011 22.3011525872772,114.16050716943 22.3011525960368,114.160499260688 22.3012576971427,114.160484749212 22.3014505327069,114.160476814473 22.3015560780211,114.160476622021 22.301558637368,114.160803494104 22.3015799303963,114.160818870092 22.3013755788719,114.160818870286 22.3013755758015,114.160854332625 22.3009042615074,114.160527465904 22.3008828545245,114.16050717011 22.3011525872772)),((114.159903824429 22.3024700120673,114.159944335782 22.3024544196975,114.159998315961 22.3024369239785,114.16005351866 22.3024216950517,114.160082498203 22.3024155401609,114.160109322642 22.3024098436173,114.160165727976 22.3024008188073,114.160254285482 22.302390108541,114.160401072585 22.3023720622444,114.160744623183 22.3023635625572,114.160744623197 22.3023635625568,114.160793520975 22.301724118874,114.160465784453 22.3017027755285,114.160465771448 22.3017027749853,114.160449513501 22.301918983213,114.159674681899 22.3018684671629,114.159654657581 22.3021344707928,114.159616095955 22.3026468817474,114.159646494255 22.3026237124175,114.159694421628 22.3025825108004,114.159716259159 22.3025684072881,114.159741124861 22.302552037408,114.159789652304 22.3025238218468,114.159840003957 22.3024978641152,114.159891558645 22.3024747330754,114.159900069081 22.3024714574766,114.159903824429 22.3024700120673)))</t>
  </si>
  <si>
    <t>MULTIPOLYGON (((114.163079537673 22.3018730027704,114.161758816488 22.3017869907886,114.161740185492 22.3020346550793,114.161709726803 22.3024395351311,114.161940485342 22.3024647745989,114.162884269333 22.3025416186728,114.163030432576 22.3025497947388,114.163079537673 22.3018730027704)),((114.162094836794 22.3016640351675,114.162094970684 22.3016623973715,114.16209475419 22.301662381987,114.162096976114 22.3016378662314,114.162132762934 22.301200108868,114.161819089434 22.3011798786685,114.161804562264 22.3011789435584,114.161769661858 22.3016428603999,114.162094836794 22.3016640351675)))</t>
  </si>
  <si>
    <t>MULTIPOLYGON (((114.164146141974 22.3019424597574,114.163195712103 22.3018805681272,114.163146685789 22.3025562977002,114.163410771494 22.3025713286352,114.164097841694 22.3025814532287,114.164121258163 22.3022731769355,114.164146141974 22.3019424597574)),((114.164374423624 22.3008868618551,114.164332235979 22.3014476868624,114.165803756263 22.301543519033,114.165840566182 22.3010539419431,114.164374423624 22.3008868618551)))</t>
  </si>
  <si>
    <t>MULTIPOLYGON (((114.165868426788 22.3016925724349,114.165794650361 22.3026735869331,114.166513833566 22.3027143319389,114.166526522656 22.3027150507692,114.16656134834 22.3027170237276,114.166633574375 22.3017423993351,114.165868426788 22.3016925724349)))</t>
  </si>
  <si>
    <t>MULTIPOLYGON (((114.167485236492 22.3015120011769,114.167490611059 22.3014406161968,114.1678772458 22.3014657924943,114.1678876127 22.3013526963616,114.167897494204 22.3012448960232,114.167138375444 22.3011958884678,114.166995522806 22.3011858468601,114.166822295143 22.301166059223,114.166789491463 22.301607699389,114.166789490783 22.3016077084196,114.167474671602 22.3016523232169,114.167482574558 22.3015473567811,114.167485236492 22.3015120011769)))</t>
  </si>
  <si>
    <t>MULTIPOLYGON (((114.162873319485 22.3007138666253,114.16287314868 22.3007161210914,114.162877412954 22.3007166217974,114.162833940874 22.3012935160658,114.163120226411 22.301312166254,114.16316075836 22.3007535719771,114.163145163198 22.3007519086682,114.162873319485 22.3007138666253)))</t>
  </si>
  <si>
    <t>MULTIPOLYGON (((114.158161763642 22.3038042105922,114.158164063911 22.3038026304999,114.15816618952 22.3038008426834,114.158168121054 22.3037988742323,114.158169829399 22.3037967341739,114.158171304846 22.3037944495989,114.158172527981 22.3037920475969,114.158173498803 22.3037895371986,114.158174188193 22.303786954523,114.158174615558 22.3037843266643,114.15817475178 22.3037816626496,114.158174616265 22.3037789986036,114.158174199304 22.3037763706478,114.158173500895 22.3037737878126,114.158172540444 22.3037712771922,114.158171308244 22.3037688658773,114.158169833404 22.303766580963,114.158106802132 22.3036789496785,114.158018795237 22.3035565972885,114.158013157668 22.3035494127832,114.158006918335 22.3035426932844,114.158000096644 22.3035364704014,114.157992750819 22.3035307802633,114.157984929377 22.3035256770594,114.157976690543 22.3035211878883,114.15796808284 22.3035173398472,114.157959154786 22.3035141600337,114.157949993722 22.3035116755497,114.157940628761 22.3035098954292,114.157931147245 22.3035088377434,114.157921597698 22.3035085024982,114.157912057758 22.303508898733,114.157902585653 22.3035100264547,114.157893239615 22.3035118676089,114.157884087579 22.3035144131729,114.157874838474 22.3035171032148,114.157865424456 22.3035192784921,114.157855903754 22.3035209299809,114.157846286074 22.3035220667129,114.157836610236 22.3035226706314,114.157826915059 22.3035227507717,114.157817239364 22.3035222981075,114.15780760256 22.3035213126412,114.157798043467 22.3035198034081,114.157788591197 22.303517779442,114.157779294275 22.3035152407487,114.15777017211 22.3035121963612,114.157761253813 22.3035086643441,114.1577525685 22.3035046447009,114.157744164692 22.3035001645291,114.157736052092 22.30349522383,114.157728259813 22.3034898496988,114.157720826671 22.3034840602014,114.157713772073 22.303477882432,114.157707115427 22.3034713163928,114.157700885843 22.3034644072405,114.157695102729 22.3034571640079,114.157689785489 22.30344962282,114.157684963237 22.3034418017413,114.157680635967 22.3034337278637,114.157676823086 22.303425437312,114.157667325088 22.3034029680285,114.157636531811 22.3033300873512,114.157611083969 22.3032716111268,114.157584364746 22.3032136224003,114.157556393548 22.3031561572957,114.157527160671 22.3030992248419,114.157496704929 22.3030428611654,114.157465026322 22.3029870843265,114.157432134552 22.3029319123871,114.157398049028 22.3028773724406,114.15736277945 22.3028234915793,114.157127732066 22.3024724598218,114.156445707443 22.3014538774425,114.156430920966 22.3014295742022,114.156418386145 22.3014042056313,114.156408190296 22.301377943323,114.156400401325 22.3013509769292,114.156395067725 22.3013234960991,114.156392247696 22.3012956995139,114.156391941207 22.3012677768166,114.156394157931 22.3012399357126,114.156398888137 22.3012123568127,114.156406083269 22.3011852478149,114.156415714184 22.3011587983579,114.156400783907 22.3011425896869,114.156400780996 22.3011425865259,114.156412934799 22.3011184311626,114.156427009996 22.3010951881319,114.156442928929 22.3010730019136,114.156460594531 22.3010519989233,114.156479909739 22.3010322875159,114.156500758081 22.301013985074,114.156523042493 22.3009971999523,114.156546607687 22.300982022437,114.156571346899 22.3009685428204,114.156597095142 22.3009568242956,114.156623726241 22.300946948122,114.156638251899 22.3009627264136,114.156666862404 22.3009552977758,114.156696025753 22.3009500997632,114.156725567256 22.3009471865377,114.156755254001 22.3009465671009,114.156784901599 22.3009482414299,114.156814286844 22.3009522185278,114.156843225354 22.3009584441883,114.15687150363 22.3009669003242,114.156898917888 22.3009775056353,114.156925303155 22.3009902059181,114.156950455649 22.3010048927807,114.1573219673 22.3012402395578,114.15748179969 22.3013414918797,114.157893487301 22.3016022903951,114.158127458517 22.3017505099036,114.158253260342 22.3018302014592,114.158293376318 22.3018565573775,114.158294307893 22.3018571715656,114.158334345997 22.3018854238936,114.158373326135 22.3019149223159,114.158411199785 22.3019456487666,114.158447937841 22.3019775490594,114.158531010603 22.3020522145302,114.158533155124 22.3020540028335,114.158535474359 22.3020555834523,114.158537958602 22.302056947355,114.158540569038 22.3020580764759,114.15854328626 22.3020589527517,114.158546090856 22.3020595852107,114.15854894401 22.3020599557873,114.158551816609 22.3020600554477,114.158554698947 22.3020598932213,114.1585575425 22.3020594691028,114.158560318153 22.3020587830887,114.158563016201 22.3020578442087,114.158565607528 22.3020566614901,114.158568053313 22.3020552529897,114.158570334147 22.3020536187054,114.15857244032 22.3020517857279,114.158612118375 22.302013554571,114.158612604544 22.3020131133899,114.158614641905 22.3020113152622,114.158616951832 22.3020098254703,114.158619465518 22.3020086608034,114.158622134435 22.3020078393171,114.158624900352 22.3020073880968,114.158627705039 22.3020073161665,114.158630490268 22.3020076144892,114.158633207515 22.30200829209,114.158635788849 22.3020093218694,114.158638176044 22.3020106947903,114.158640339991 22.3020123656963,114.159025206613 22.30235827184,114.159027370558 22.302360033047,114.159029699511 22.3023615865679,114.159032193474 22.3023629143416,114.159034813629 22.3023640073332,114.159037530863 22.3023648565088,114.159040335471 22.3023654618674,114.159043178933 22.3023657963118,114.159046051542 22.3023658688716,114.159048914479 22.3023656795425,114.159051738629 22.3023652373519,114.15905451429 22.3023645242376,114.159057192933 22.3023635672861,114.159059755149 22.3023623755258,114.159062181527 22.3023609489547,114.159064452656 22.3023593056318,114.159066529714 22.3023574636142,114.159068402995 22.3023554319313,114.159070053086 22.3023532467036,114.159071460574 22.3023509259901,114.159072625458 22.3023484788215,114.159073518619 22.302345941317,114.159074140056 22.3023433315379,114.159074344006 22.3023421485499,114.159074586831 22.3023405230661,114.159074751992 22.3023391052779,114.159074907466 22.3023375429989,114.159075014424 22.3023359175003,114.159075092317 22.3023339036821,114.159075102199 22.3023324949075,114.159075073288 22.3023308874552,114.159075005549 22.3023293522436,114.15907485053 22.3023273113081,114.159074685753 22.3023256948103,114.159074443359 22.3023239067225,114.159074181525 22.302322362459,114.159073856276 22.3023203898666,114.159117290404 22.3024746503968,114.159279919874 22.3025807326168,114.159315825032 22.3026017778243,114.159336067361 22.302617032713,114.159322539501 22.3025339947695,114.159325093347 22.3025220926974,114.159327463236 22.3025067047888,114.15933022216 22.3024845439625,114.159331602568 22.3024658597734,114.159332167544 22.3024490177413,114.159331965804 22.3024324736367,114.159331657068 22.3024178801329,114.159329418147 22.3023947073386,114.15932672266 22.3023750835259,114.159321281796 22.302346799059,114.159316645036 22.3023297216693,114.159310174732 22.3023073431117,114.159302171005 22.3022855242861,114.159298949971 22.3022778750088,114.159295243847 22.3022690246075,114.159291537592 22.3022612307878,114.159288316466 22.3022543310512,114.159284610194 22.3022466817211,114.159281864377 22.3022415791278,114.159276382412 22.3022316809828,114.15926784406 22.3022168337308,114.159259363755 22.302203449444,114.159256743973 22.3021993853844,114.15925451229 22.3021960528464,114.15925252319 22.3021930183449,114.159245798998 22.3021832735846,114.159240782485 22.3021764278361,114.159238608994 22.3021733933145,114.159235212932 22.3021685254457,114.159223423526 22.3021533707979,114.159213662009 22.3021415035125,114.159210110584 22.3021373309836,114.159204240047 22.3021305393248,114.15919887406 22.302124533384,114.159193886481 22.3021191596271,114.159183620197 22.3021082766219,114.159181029357 22.3021056123091,114.159179845527 22.3021044020782,114.159179370054 22.3021039143734,114.1591789431 22.3021034718269,114.159006846822 22.3019625844762,114.158736957282 22.3017876151706,114.158736605417 22.3017875948263,114.158736623747 22.3017873989404,114.158455266303 22.3016049949963,114.158398293464 22.3015680592841,114.158305233 22.3015077241854,114.157299956656 22.3006842490695,114.157262345291 22.3006558522853,114.15722304504 22.3006295142684,114.15718219176 22.3006053072789,114.157139911595 22.3005833306679,114.157096340401 22.3005636386343,114.157051623737 22.3005463124705,114.157005926572 22.3005313973487,114.156959375056 22.3005189564979,114.156912134163 22.3005090170295,114.15686435916 22.3005016150844,114.156816205315 22.3004967777731,114.156767827898 22.3004945141451,114.156719401588 22.3004948422832,114.156671071955 22.3004977531747,114.156622994269 22.300503246839,114.156575343216 22.3005112962064,114.156528264368 22.3005218742035,114.156481913001 22.3005349447279,114.156436444393 22.3005504807079,114.156392004121 22.3005684099175,114.156348757169 22.3005886872254,114.156306820004 22.3006112313717,114.156266347908 22.3006359881934,114.156227467054 22.3006628583708,114.156190303612 22.3006917696762,114.156154983761 22.3007226047288,114.156121633673 22.3007552822704,114.156090340706 22.3007896939459,114.156061231041 22.3008257043135,114.156034392035 22.3008632230794,114.156009901347 22.3009021057648,114.155987856043 22.3009422349852,114.155968314373 22.3009834752898,114.155951353997 22.3010256912304,114.155937023461 22.3010687383242,114.155925371309 22.3011124901495,114.155916436388 22.3011567841608,114.155912181501 22.3011851668327,114.15591060425 22.3011984774836,114.155910247834 22.3012014849031,114.155906825081 22.3012464388588,114.155906187564 22.3012915015408,114.155908325601 22.3013365284579,114.155913229514 22.3013813660885,114.155920899327 22.3014258699424,114.155931296246 22.3014698864938,114.15594439118 22.3015132802793,114.155960145334 22.3015558977728,114.155978490799 22.3015976035056,114.155999388776 22.3016382620126,114.15613019198 22.3018174912789,114.156573242888 22.3024245759821,114.157156331948 22.3032165060109,114.157299051457 22.3032165954991,114.158217044829 22.3044436016385,114.15821704484 22.304443601631,114.158352498875 22.3043563188332,114.158437424168 22.3043015758901,114.158317347295 22.3041378824105,114.158105130933 22.3038392699297,114.158161763642 22.3038042105922)))</t>
  </si>
  <si>
    <t>MULTIPOLYGON (((114.156445707443 22.3014538774425,114.157127732066 22.3024724598218,114.15736277945 22.3028234915793,114.156445707443 22.3014538774425)),((114.156400780996 22.3011425865259,114.156400783907 22.3011425896869,114.156415714184 22.3011587983579,114.156400780996 22.3011425865259)),((114.15934883702 22.3026320519982,114.159369971999 22.3026489234585,114.159395765378 22.3026651000594,114.159439707089 22.3026786506941,114.159478418984 22.3026835404002,114.159497964451 22.302683750103,114.159517519624 22.3026839599852,114.159542412928 22.3026802329965,114.159563745021 22.3026727940432,114.159616095955 22.3026468817474,114.159654657581 22.3021344707928,114.159674681899 22.3018684671629,114.160449513501 22.301918983213,114.160465771448 22.3017027749853,114.160465784453 22.3017027755285,114.160793520975 22.301724118874,114.160744623197 22.3023635625568,114.160832937031 22.30236137703,114.16119686405 22.3023851178621,114.161449797215 22.3024111050477,114.161709726803 22.3024395351311,114.161740185492 22.3020346550793,114.161758816488 22.3017869907886,114.163079537673 22.3018730027704,114.163030432576 22.3025497947388,114.163146685789 22.3025562977002,114.163195712103 22.3018805681272,114.164146141974 22.3019424597574,114.164121258163 22.3022731769355,114.164097841694 22.3025814532287,114.164239881056 22.3025834959294,114.164556149378 22.3026019698849,114.164556149864 22.3026019609446,114.164579214664 22.3023029589989,114.164631156448 22.3016119945422,114.165790973615 22.3016875283723,114.165717149616 22.3026691961627,114.165794650361 22.3026735869331,114.165868426788 22.3016925724349,114.166633574375 22.3017423993351,114.16656134834 22.3027170237276,114.166629183818 22.3027212883787,114.166700825319 22.3027257921891,114.167016686587 22.3027456699176,114.167357421305 22.3027668850158,114.167547646818 22.3027787308083,114.167787508052 22.3027936672599,114.167836167831 22.3027966952197,114.167837662661 22.3027921980574,114.167838895466 22.3027876376663,114.167839856538 22.3027830230764,114.167840545878 22.3027783633184,114.167846527846 22.3027189602786,114.167850549445 22.3026594126398,114.167852581561 22.302599783615,114.167852643602 22.3025401183582,114.167850725862 22.3024804891139,114.16784682834 22.3024209410351,114.16784096074 22.3023615283058,114.167833123063 22.3023022689871,114.167825595994 22.3022422601439,114.167819961376 22.3021820617621,114.167816228905 22.3021217460874,114.167814388874 22.3020613492417,114.167814470389 22.3020009254106,114.167816444331 22.3019405378066,114.167820320398 22.3018802225526,114.16782610829 22.3018200428635,114.167826341318 22.3018182728761,114.167827643257 22.3017948204441,114.167833371042 22.3017638909092,114.167865310377 22.3015960587157,114.1678772458 22.3014657927653,114.1678876127 22.3013526963616,114.1678772458 22.3014657924943,114.167490611059 22.3014406161968,114.167485236492 22.3015120011769,114.167482574558 22.3015473567811,114.167474671602 22.3016523232169,114.166789490783 22.3016077084196,114.166789491463 22.301607699389,114.166822295143 22.301166059223,114.166995522806 22.3011858468601,114.167138375444 22.3011958884678,114.167897494204 22.3012448960232,114.167909021687 22.3011190821354,114.167884672486 22.3011160030712,114.167020447302 22.3010067170969,114.166699127412 22.300970014997,114.165416760912 22.3008235526318,114.165059593108 22.3007827538905,114.16411824868 22.3006752275896,114.163975310022 22.3006588980076,114.163973380542 22.3006397710121,114.16396654972 22.3006259355684,114.163949703439 22.3006147182082,114.163818701373 22.3006008999462,114.16347049199 22.3005602880671,114.163214650903 22.3005289305673,114.163067501104 22.3005082290142,114.162908230148 22.3004883119517,114.162474756673 22.3004428411573,114.162078558825 22.3003996121903,114.161657906728 22.3003449833345,114.161589431265 22.3003398204362,114.161567721591 22.3003432229376,114.161555133309 22.3003556298186,114.161547619888 22.3003742050868,114.161142388032 22.3003261235421,114.16049658157 22.3002495163256,114.160294407523 22.3002255285959,114.160224962068 22.3002172946136,114.160219228225 22.3002152425418,114.159727533451 22.3000392675781,114.15903023901 22.299788385297,114.159037102243 22.2997720225738,114.15904253879 22.2997565085718,114.15905030634 22.299725994972,114.159043282088 22.2997111027166,114.159028901175 22.2997007159313,114.159002128284 22.2996840063526,114.158894426341 22.2996097537899,114.158793324016 22.2995325488775,114.158626519653 22.2993964388652,114.158520463571 22.2992809885648,114.158340112807 22.2990664638816,114.158227968004 22.2989113141005,114.158153824477 22.2987708885228,114.158074068088 22.2986588635509,114.158061997282 22.2986466166385,114.15805060542 22.2986371783258,114.158024114561 22.2986183644826,114.158011334609 22.2986115177932,114.15799179064 22.2986043723074,114.157970674358 22.2985985721985,114.15748191571 22.2985960583317,114.156999086098 22.2985967405557,114.156700282814 22.2986022034107,114.155730430769 22.2986063155635,114.155483605178 22.2986098774679,114.155466069116 22.2986097035784,114.155448533032 22.2986096741769,114.155430996927 22.2986097802328,114.155413460802 22.298610021746,114.155395934359 22.2986104077484,114.155378398192 22.2986109201764,114.155360881412 22.2986115770948,114.155343354979 22.2986118998773,114.155326002928 22.2986141732943,114.155309067879 22.2986183612555,114.155292792451 22.2986244096096,114.155277720033 22.2986327518985,114.155262705826 22.2986411844999,114.155247759533 22.2986497164457,114.155230464513 22.2986597381294,114.155051562485 22.2987780333597,114.154887491056 22.2988813034508,114.154754528448 22.299008445529,114.154517290755 22.2992531698768,114.154296678463 22.2995443135451,114.154302936588 22.3000369164351,114.154303616432 22.3003968678188,114.154303374856 22.3011167341937,114.154312919333 22.3013292981117,114.154313476745 22.3013633797259,114.15431340335 22.3013974612524,114.15431267974 22.3014315336579,114.154311325323 22.3014655969452,114.154309330398 22.3014996330515,114.154301240117 22.3017201143596,114.154301632362 22.3017553428372,114.154302405266 22.3017770254473,114.154303585772 22.3017986900528,114.154305173882 22.301820327623,114.154307169597 22.3018419381578,114.154309563211 22.3018635216559,114.15431237414 22.3018850510282,114.154315573267 22.3019065353011,114.154319189709 22.3019279654482,114.154323194352 22.3019493324347,114.154327606606 22.3019706362633,114.154332416771 22.3019918588713,114.154337624844 22.3020130092894,114.154343230829 22.3020340604257,114.154349234727 22.3020550213108,114.154355617128 22.3020758829112,114.154367315098 22.3021133073917,114.154374793962 22.3021353070004,114.154382690156 22.3021571712071,114.154390993972 22.3021789090412,114.154399695709 22.3022005114706,114.154408805074 22.3022219604354,114.154418322066 22.3022432649662,114.154428227278 22.3022644069989,114.154438540119 22.3022853865361,114.154449231477 22.3023062035739,114.154460320764 22.3023268310229,114.154471788569 22.302347277911,114.154483644599 22.3023675442394,114.154495879152 22.3023876029149,114.154506308062 22.3024111471576,114.15450903419 22.3024169361554,114.154513225288 22.3024255790283,114.154517018661 22.3024331472035,114.154524566703 22.3024475610992,114.154530087137 22.3024576129299,114.154535782272 22.3024675744784,114.154541166991 22.3024766780758,114.154548890024 22.3024892045963,114.154555361527 22.3024992836485,114.154562279408 22.3025096427108,114.154568440542 22.3025185658016,114.15457693037 22.3025303970687,114.154583848427 22.3025396634259,114.154591775625 22.3025499323192,114.154598732593 22.3025586297525,114.15467179645 22.3026430759743,114.154804019761 22.3027970297972,114.154810443248 22.3028040745467,114.154816420262 22.3028114533681,114.154821931396 22.3028191391668,114.154826947541 22.3028271138777,114.1548314687 22.3028353413786,114.154835465763 22.3028437945736,114.15483892903 22.3028524554002,114.1548418488 22.3028612877347,114.154844215372 22.302870264484,114.154846019048 22.3028793495243,114.154847250127 22.3028885157625,114.154847918317 22.3028977361081,114.154848004215 22.302906974436,114.154847527234 22.302916203657,114.15484646797 22.3029253966767,114.154847989594 22.3029383919338,114.154849161979 22.302950538266,114.154850382138 22.302967470829,114.154851281129 22.3029902190627,114.154851405737 22.3030001527529,114.154851394539 22.3030096981084,114.154851277103 22.303015947276,114.154851140388 22.3030213656247,114.154850721386 22.3030321932719,114.154850166658 22.3030421178393,114.154849485789 22.3030518978999,114.154848484481 22.3030628248048,114.154847327918 22.3030736071989,114.154846035559 22.3030839290133,114.154844685026 22.3030938986259,114.15484330563 22.3031022607857,114.154841858281 22.3031107403342,114.154839206788 22.3031239698213,114.154836992274 22.3031355287045,114.154835331209 22.3031453447545,114.154833932241 22.3031547364012,114.154832649657 22.3031645976555,114.154831930514 22.3031708828639,114.154831133468 22.3031788567862,114.154830258321 22.3031897837079,114.154829625812 22.3032006022951,114.154829235993 22.3032109784153,114.154829049799 22.3032224833896,114.154829077745 22.3032299426787,114.154829251018 22.3032389733141,114.15482957957 22.3032479949398,114.154830111854 22.3032574681238,114.154830751018 22.3032661285672,114.154831516379 22.303274572293,114.154832175323 22.3032808667187,114.154833619521 22.3032925254343,114.154835190027 22.3033032630446,114.154836217763 22.3033095123673,114.154869356082 22.3033956779224,114.154896879068 22.3033956958235,114.154956884225 22.3033957348993,114.157197629955 22.3033971413118,114.158057472754 22.3045464244708,114.158217044829 22.3044436016385,114.157299051457 22.3032165954991,114.157156331948 22.3032165060109,114.156573242888 22.3024245759821,114.15613019198 22.3018174912789,114.155999388776 22.3016382620126,114.155978490799 22.3015976035056,114.155960145334 22.3015558977728,114.15594439118 22.3015132802793,114.155931296246 22.3014698864938,114.155920899327 22.3014258699424,114.155913229514 22.3013813660885,114.155908325601 22.3013365284579,114.155906187564 22.3012915015408,114.155906825081 22.3012464388588,114.155910247834 22.3012014849031,114.15591060425 22.3011984774836,114.155912181501 22.3011851668327,114.155916436388 22.3011567841608,114.155925371309 22.3011124901495,114.155937023461 22.3010687383242,114.155951353997 22.3010256912304,114.155968314373 22.3009834752898,114.155987856043 22.3009422349852,114.156009901347 22.3009021057648,114.156034392035 22.3008632230794,114.156061231041 22.3008257043135,114.156090340706 22.3007896939459,114.156121633673 22.3007552822704,114.156154983761 22.3007226047288,114.156190303612 22.3006917696762,114.156227467054 22.3006628583708,114.156266347908 22.3006359881934,114.156306820004 22.3006112313717,114.156348757169 22.3005886872254,114.156392004121 22.3005684099175,114.156436444393 22.3005504807079,114.156481913001 22.3005349447279,114.156528264368 22.3005218742035,114.156575343216 22.3005112962064,114.156622994269 22.300503246839,114.156671071955 22.3004977531747,114.156719401588 22.3004948422832,114.156767827898 22.3004945141451,114.156816205315 22.3004967777731,114.15686435916 22.3005016150844,114.156912134163 22.3005090170295,114.156959375056 22.3005189564979,114.157005926572 22.3005313973487,114.157051623737 22.3005463124705,114.157096340401 22.3005636386343,114.157139911595 22.3005833306679,114.15718219176 22.3006053072789,114.15722304504 22.3006295142684,114.157262345291 22.3006558522853,114.157299956656 22.3006842490695,114.158305233 22.3015077241854,114.158398293464 22.3015680592841,114.158455266303 22.3016049949963,114.158736623747 22.3017873989404,114.158754620196 22.3015950829048,114.159138403782 22.3016174456608,114.159123387862 22.301809957952,114.158736957282 22.3017876151706,114.159006846822 22.3019625844762,114.1591789431 22.3021034718269,114.159179370054 22.3021039143734,114.159179845527 22.3021044020782,114.159181029357 22.3021056123091,114.159183620197 22.3021082766219,114.159193886481 22.3021191596271,114.15919887406 22.302124533384,114.159204240047 22.3021305393248,114.159210110584 22.3021373309836,114.159213662009 22.3021415035125,114.159223423526 22.3021533707979,114.159235212932 22.3021685254457,114.159238608994 22.3021733933145,114.159240782485 22.3021764278361,114.159245798998 22.3021832735846,114.15925252319 22.3021930183449,114.15925451229 22.3021960528464,114.159256743973 22.3021993853844,114.159259363755 22.302203449444,114.15926784406 22.3022168337308,114.159276382412 22.3022316809828,114.159281864377 22.3022415791278,114.159284610194 22.3022466817211,114.159288316466 22.3022543310512,114.159291537592 22.3022612307878,114.159295243847 22.3022690246075,114.159298949971 22.3022778750088,114.159302171005 22.3022855242861,114.159310174732 22.3023073431117,114.159316645036 22.3023297216693,114.159321281796 22.302346799059,114.15932672266 22.3023750835259,114.159329418147 22.3023947073386,114.159331657068 22.3024178801329,114.159331965804 22.3024324736367,114.159332167544 22.3024490177413,114.159331602568 22.3024658597734,114.15933022216 22.3024845439625,114.159327463236 22.3025067047888,114.159325093347 22.3025220926974,114.159322539501 22.3025339947695,114.159336067361 22.302617032713,114.15934883702 22.3026320519982),(114.156386215823 22.2996891926551,114.15689594975 22.299516272502,114.156919930509 22.2995553362535,114.157213714401 22.2999013391772,114.157183720528 22.2999794571592,114.157111753576 22.3000352495798,114.156512078666 22.3001411977831,114.156386203644 22.2997728943812,114.156368220391 22.2997282511932,114.156386215823 22.2996891926551),(114.159723237445 22.3003117616013,114.159642138187 22.3014975273528,114.158496785191 22.3014304406135,114.158589891994 22.3002084060339,114.159723237445 22.3003117616013),(114.159774156454 22.3007414357947,114.159885118598 22.300537773236,114.160157963695 22.3005461716716,114.160226926447 22.3005322284559,114.160415818257 22.3005461979607,114.160331760774 22.3014390077415,114.159894008598 22.3014082720127,114.159735117621 22.3012408519251,114.15975314656 22.3009199972492,114.159774156454 22.3007414357947),(114.161573047934 22.3016288530856,114.161033352569 22.3015897406424,114.161114429217 22.300501626209,114.161654117111 22.300571429016,114.161573047934 22.3016288530856),(114.160484749212 22.3014505327069,114.160499260688 22.3012576971427,114.16050716943 22.3011525960368,114.16050717011 22.3011525872772,114.160527465904 22.3008828545245,114.160854332625 22.3009042615074,114.160818870286 22.3013755758015,114.160818870092 22.3013755788719,114.160803494104 22.3015799303963,114.160476622021 22.301558637368,114.160476814473 22.3015560780211,114.160484749212 22.3014505327069),(114.162132762934 22.301200108868,114.162096976114 22.3016378662314,114.162187809502 22.3006356493719,114.16287314868 22.3007161210914,114.162873319485 22.3007138666253,114.163145163198 22.3007519086682,114.16316075836 22.3007535719771,114.163120226411 22.301312166254,114.162833940874 22.3012935160658,114.162802355698 22.3017126657305,114.162094970684 22.3016623973715,114.162094836794 22.3016640351675,114.161769661858 22.3016428603999,114.161804562264 22.3011789435584,114.161819089434 22.3011798786685,114.162132762934 22.301200108868),(114.155846170184 22.3020550922134,114.154772765869 22.3020437896123,114.154742895625 22.3013239508696,114.155810301961 22.3013073523181,114.155846170184 22.3020550922134),(114.159483208829 22.3016425934033,114.159444171816 22.3021168988967,114.159183317782 22.3021029204515,114.159216359357 22.3016258243129,114.159483208829 22.3016425934033),(114.156580607295 22.3031405175566,114.15653563546 22.3031154014297,114.156511653797 22.3030791276945,114.15649366887 22.3030428547073,114.156478681101 22.3030149522634,114.156472690038 22.3029758907212,114.155399276931 22.3029757524862,114.15540536428 22.3023814712418,114.15559725897 22.302378706411,114.155594278334 22.30226152364,114.156250915975 22.3022616082541,114.15679351423 22.3029787207152,114.156784514769 22.3030094102248,114.156769516588 22.3030540492744,114.156739526182 22.3031014765231,114.156712537316 22.3031265836868,114.156679553313 22.3031405298757,114.156634577449 22.30314331434,114.156580607295 22.3031405175566),(114.165840566182 22.3010539419431,114.165803756263 22.301543519033,114.164332235979 22.3014476868624,114.164374423624 22.3008868618551,114.165840566182 22.3010539419431),(114.163920814442 22.3008394706839,114.163845770705 22.301768553722,114.163324063633 22.3017350304511,114.163372127575 22.3007892050728,114.163920814442 22.3008394706839),(114.166679242048 22.3011493630448,114.166646228154 22.3015957701176,114.165884656122 22.3015427094486,114.165917675457 22.3010572417279,114.166679242048 22.3011493630448),(114.166775141427 22.3018050324339,114.16684710446 22.3017631860224,114.167350822846 22.3017911168012,114.167701626471 22.3018162474286,114.16785149585 22.3025584109163,114.167788521842 22.3026923301417,114.167644595341 22.3027760237579,114.166712110072 22.3027257472693,114.166775141427 22.3018050324339)),((114.159944335782 22.3024544196975,114.159903824429 22.3024700120673,114.159900069081 22.3024714574766,114.159891558645 22.3024747330754,114.159944335782 22.3024544196975)),((114.160109322642 22.3024098436173,114.160082498203 22.3024155401609,114.16005351866 22.3024216950517,114.160109322642 22.3024098436173)),((114.16656134834 22.3027170237276,114.166526522656 22.3027150507692,114.166513833566 22.3027143319389,114.16656134834 22.3027170237276)))</t>
  </si>
  <si>
    <t>West Kowloon Cultural District (ALL)</t>
  </si>
  <si>
    <t>POLYGON((114.16360393166539 22.24881970088515,114.16379034519194 22.24879611700011,114.16376620531081 22.248556554153424,114.16357710957526 22.248595033187513,114.16360393166539 22.24881970088515))</t>
  </si>
  <si>
    <t>POLYGON((114.22074973583221 22.31329435003842,114.22197282314298 22.312840258658625,114.22177970409393 22.312425867968514,114.22150343656537 22.312170285073336,114.2204922437668 22.31308591483436,114.22074973583221 22.31329435003842))</t>
  </si>
  <si>
    <t>MULTIPOLYGON (((114.160644282655 22.2860261887976,114.161057085441 22.2858704141614,114.161384212177 22.2849747100027,114.160994775586 22.2837752453032,114.159740789764 22.2844528649711,114.160644282655 22.2860261887976)))</t>
  </si>
  <si>
    <t>MULTIPOLYGON (((114.159717423569 22.2844528649711,114.159125479951 22.2836116819351,114.160036761573 22.283113203099,114.159849832009 22.282482315822,114.160535240409 22.2822564425994,114.16101035305 22.2837830340351,114.159717423569 22.2844528649711)))</t>
  </si>
  <si>
    <t>14,775/8,850</t>
  </si>
  <si>
    <t>24,400/12,306</t>
  </si>
  <si>
    <t>30,817-32,490/ 16,408-17,991</t>
  </si>
  <si>
    <t>6,480-6,930</t>
  </si>
  <si>
    <t>7,200-7,700</t>
  </si>
  <si>
    <t>8,250/3,900</t>
  </si>
  <si>
    <t>11,000/5,200</t>
  </si>
  <si>
    <t>25,500-27,750/ 23,250-24,750</t>
  </si>
  <si>
    <t>34,000/37,000-31,000/33,000</t>
  </si>
  <si>
    <t>22,066/26,910</t>
  </si>
  <si>
    <t>POLYGON ((114.164173064962 22.3062856538389,114.164173064962 22.3029066829196,114.166221258032 22.3031038351937,114.166182922867 22.3035912394268,114.16608434673 22.3041388846325,114.165947435429 22.3046262888656,114.165635277662 22.3052286985919,114.165186208593 22.306006354784,114.165109538264 22.3061213602772,114.164173064962 22.3062856538389))</t>
  </si>
  <si>
    <t>POLYGON((114.15409952402113 22.283529631628014,114.15360063314438 22.283048142525246,114.1538447141647 22.282736662866725,114.15399223566054 22.282860758431354,114.1540566086769 22.28278381919425,114.15441468358037 22.283128804475083,114.15437310934065 22.28318340638397,114.15420144796369 22.283033251083253,114.15401369333264 22.283239249223257,114.15419206023215 22.28342290995961,114.15409952402113 22.283529631628014))</t>
  </si>
  <si>
    <t>MULTIPOLYGON (((114.174830346 22.2996842730001,114.174847126 22.2996318240001,114.174942245 22.2996585990001,114.175003454 22.299467296,114.174852672 22.2994253020001,114.174770018 22.2996871050001,114.174824529 22.29970245,114.174830346 22.2996842730001)))</t>
  </si>
  <si>
    <t>MULTIPOLYGON (((114.150213458 22.3388642,114.150290204 22.338671905,114.150094899 22.338604542,114.149998219 22.338847463,114.150031777 22.338858595,114.150050887 22.3388076410001,114.150213458 22.3388642)))</t>
  </si>
  <si>
    <t>MULTIPOLYGON (((114.175063536 22.2982295270001,114.175053883 22.2983822330001,114.175115847 22.2983857720001,114.175126259 22.2982331290001,114.175063536 22.2982295270001)))</t>
  </si>
  <si>
    <t>MULTIPOLYGON (((114.168127385 22.277488366,114.16796888 22.277589421,114.168056425 22.2776996280001,114.168281618 22.2776808430001,114.168127385 22.277488366)))</t>
  </si>
  <si>
    <t>MULTIPOLYGON (((114.225297969 22.308142904,114.225311827 22.3081273720001,114.225324176 22.3081369110001,114.225403248 22.3080482810001,114.225341636 22.3079998710001,114.225351544 22.307988743,114.225206101 22.307876845,114.225093137 22.307990456,114.225222997 22.30809059,114.22520298 22.3081130620001,114.225287327 22.308178215,114.22531032 22.308152444,114.225297969 22.308142904)))</t>
  </si>
  <si>
    <t>MULTIPOLYGON (((114.156082121 22.284894273,114.156070856 22.284907698,114.156036824 22.284882963,114.155987252 22.284942038,114.15598755 22.284968744,114.156076646 22.285033498,114.156151696 22.284944061,114.156082121 22.284894273)))</t>
  </si>
  <si>
    <t>MULTIPOLYGON (((114.152910576 22.2849401170001,114.153114842 22.2847421660001,114.153062951 22.2847068030001,114.153027612 22.284741059,114.152997418 22.2847161610001,114.152972792 22.2847404900001,114.152978472 22.284759325,114.152882334 22.284828167,114.152910576 22.2849401170001)))</t>
  </si>
  <si>
    <t>MULTIPOLYGON (((114.222365464 22.3095479070001,114.222384817 22.3095619280001,114.22272006 22.3091872300001,114.222644615 22.309130409,114.222622333 22.3091553150001,114.222481264 22.3090459900001,114.222350142001 22.309055596,114.222095843 22.3093391790001,114.222365464 22.3095479070001)))</t>
  </si>
  <si>
    <t>MULTIPOLYGON (((114.22321758 22.311698273,114.22335021 22.3118011930001,114.223673823 22.311437202,114.223540679 22.3113342830001,114.22321758 22.311698273)))</t>
  </si>
  <si>
    <t>MULTIPOLYGON (((114.220268647 22.312620328,114.220149508 22.312728737,114.220157576 22.3128393880001,114.220443895 22.3130591190001,114.220590384 22.3129254380001,114.220268647 22.312620328)))</t>
  </si>
  <si>
    <t>MULTIPOLYGON (((114.225081949 22.3112402570001,114.225266912 22.311031689,114.225044049 22.310854717,114.224854612 22.3110645470001,114.225081949 22.3112402570001)))</t>
  </si>
  <si>
    <t>MULTIPOLYGON (((114.220275762 22.310913575,114.220267733 22.310885894,114.220285466 22.310867102,114.220301158 22.3108850710001,114.220371643 22.3108067820001,114.220236785 22.310703346,114.220144819001 22.310812569,114.220275762 22.310913575)))</t>
  </si>
  <si>
    <t>MULTIPOLYGON (((114.165393499 22.248636931,114.165385083 22.248693363,114.165612667 22.248737566,114.165857361 22.2488261290001,114.165957554 22.248571019,114.16576346 22.2485070960001,114.165423676 22.248437988,114.165393499 22.248636931)))</t>
  </si>
  <si>
    <t>MULTIPOLYGON (((114.224443212 22.308866494,114.224149984 22.308640323,114.223854827001 22.308971884,114.224148927 22.309198844,114.224443212 22.308866494)))</t>
  </si>
  <si>
    <t>MULTIPOLYGON (((114.219605532 22.311053401,114.219729618 22.310906191,114.219330096 22.3106037860001,114.219308013 22.3106147060001,114.219256109 22.3106621850001,114.219230262 22.3107283390001,114.219212403 22.310715105,114.219194521 22.3107392800001,114.219605532 22.311053401)))</t>
  </si>
  <si>
    <t>MULTIPOLYGON (((114.22386678 22.3093727180001,114.224031708 22.309188324,114.223851447 22.309049448,114.223686558 22.309235244,114.22386678 22.3093727180001)))</t>
  </si>
  <si>
    <t>MULTIPOLYGON (((114.132156113 22.361163731,114.132700114 22.3609980950001,114.132674181 22.360925756,114.132700755 22.360916284,114.132651162 22.360777766,114.132624163 22.360786236,114.132598965 22.360715946,114.132057844 22.3608816060001,114.132082434 22.3609522010001,114.132054838 22.3609616630001,114.132103739 22.361102057,114.132131412 22.3610928150001,114.132156113 22.361163731)))</t>
  </si>
  <si>
    <t>MULTIPOLYGON (((114.156940949 22.283695181,114.156848526 22.2838377040001,114.156989033 22.283933959,114.157112098 22.283780044,114.156957901 22.2836740600001,114.156940949 22.283695181)))</t>
  </si>
  <si>
    <t>MULTIPOLYGON (((114.206469273 22.321991672,114.206458827 22.3221000730001,114.206408884 22.3220958400001,114.206387891 22.322306699,114.206438494 22.322311075,114.206428099 22.322418946,114.206731057 22.322445997,114.206741671 22.3223372940001,114.206793659 22.322341791,114.206814942 22.3221302630001,114.20676232 22.322125802,114.206772867 22.322017782,114.206469273 22.321991672)))</t>
  </si>
  <si>
    <t>MULTIPOLYGON (((114.217978681 22.313858353,114.217797035 22.313679794,114.217652975 22.313810521,114.21764748 22.314155967,114.217692945 22.314198361,114.218018997 22.3138974550001,114.217978681 22.313858353)))</t>
  </si>
  <si>
    <t>MULTIPOLYGON (((114.157090618 22.2826602190001,114.156914794 22.282558298,114.156841129 22.282668001,114.157025822 22.2827918570001,114.15711771 22.282675923,114.157090618 22.2826602190001)))</t>
  </si>
  <si>
    <t>MULTIPOLYGON (((114.146732642688 22.2878067196868,114.146559763708 22.2878136527471,114.146436383697 22.287845727186,114.146445490818 22.2879329959217,114.146520940319 22.287926176742,114.146527966941 22.2879935140495,114.146583066905 22.2879885351528,114.146580972034 22.2879684558174,114.146668847032 22.2879605136859,114.146670941903 22.2879805930225,114.146716509844 22.2879764735877,114.146709492205 22.2879092243794,114.146793893418 22.2879015956077,114.146784675805 22.2878132762124,114.146732642688 22.2878067196868)))</t>
  </si>
  <si>
    <t>MULTIPOLYGON (((114.152269889 22.286240445,114.152302042 22.286349865,114.152461677 22.2863097070001,114.152442988 22.2862445280001,114.152373417 22.286262021,114.152366321 22.2862460980001,114.152345415 22.2862514060001,114.152337268 22.2862236580001,114.152269889 22.286240445)))</t>
  </si>
  <si>
    <t>MULTIPOLYGON (((114.208831895 22.3221785720001,114.208869626 22.3218031220001,114.208820412 22.3217587450001,114.208489418 22.3217290480001,114.208402037 22.321796022,114.208367778 22.3221391570001,114.208831895 22.3221785720001)))</t>
  </si>
  <si>
    <t>MULTIPOLYGON (((114.11303452 22.3757593290001,114.113218938 22.375686374,114.113226085 22.375701995,114.113293021001 22.375675734,114.113285789 22.3756599270001,114.113472028 22.3755862500001,114.113442171 22.3755209930001,114.113463206 22.3755127750001,114.113450246 22.375484432,114.113469464 22.3754768260001,114.11343752 22.375406997,114.113418305 22.37541458,114.113405296 22.3753863660001,114.113384457 22.3753947390001,114.113304589 22.3752201680001,114.113325596 22.3752118690001,114.113312646 22.375183609,114.113331849 22.3751760010001,114.113299921 22.375106208,114.113280706 22.375113807,114.113267785 22.375085563,114.113246808 22.375093872,114.113197706 22.3749866690001,114.113014439 22.375059193,114.112999239 22.3750259730001,114.112928218 22.3750540390001,114.112943438 22.375087305,114.112760258 22.3751597830001,114.112809331001 22.3752670220001,114.112788315 22.375275286,114.112801216 22.375303548,114.112782735 22.375310873,114.112814561 22.375380647,114.11283311 22.3753733030001,114.112846176 22.375401574,114.112867076 22.375393283,114.112946908 22.3755677930001,114.112925902 22.3755760930001,114.112938832 22.375604355,114.11292003 22.3756118520001,114.112951876 22.375681625,114.112970833 22.3756741640001,114.112983686 22.375702408,114.113004692 22.375694081,114.11303452 22.3757593290001)))</t>
  </si>
  <si>
    <t>MULTIPOLYGON (((114.154310341 22.282110878,114.154069873 22.282176346,114.154100343 22.2823138490001,114.154200101 22.282304946,114.154201652 22.2823199990001,114.154393435 22.282302062,114.154310341 22.282110878)))</t>
  </si>
  <si>
    <t>MULTIPOLYGON (((114.164421632 22.248916748,114.16442733 22.2489492820001,114.164207521 22.248984377,114.164201975 22.248953193,114.16416612 22.248958918,114.164175626 22.2490123750001,114.164129077 22.249019615,114.164191181 22.2493287900001,114.164568968 22.2492706890001,114.164514403 22.248958288,114.164467089 22.2489658410001,114.164457489 22.248911024,114.164421632 22.248916748)))</t>
  </si>
  <si>
    <t>MULTIPOLYGON (((114.109934141 22.375025178,114.109922576 22.3745398,114.109281908 22.374553405,114.109282885 22.3745820860001,114.109237239 22.3745832050001,114.109248164 22.375041563,114.109934141 22.375025178)))</t>
  </si>
  <si>
    <t>MULTIPOLYGON (((114.153624398 22.284494532,114.153747642 22.2844027680001,114.1536849 22.2843330880001,114.153669657 22.2843463540001,114.153620896 22.2842866060001,114.153578076 22.284319968,114.153595347001 22.2843393440001,114.153530319 22.284389745,114.153624398 22.284494532)))</t>
  </si>
  <si>
    <t>MULTIPOLYGON (((114.193124833878 22.2886299951312,114.193208718559 22.2887146908222,114.193294788841 22.2886474993216,114.193221610282 22.2885660219888,114.193258060323 22.2885282839304,114.193134600362 22.288391117032,114.193089133032 22.2884187269691,114.19304633819 22.288371269659,114.192955782619 22.2884420321224,114.193124833878 22.2886299951312)))</t>
  </si>
  <si>
    <t>MULTIPOLYGON (((114.212402487 22.28504761,114.212549711 22.2849965180001,114.212541744 22.284949831,114.21251389 22.2849009130001,114.212458278 22.2848909150001,114.212118055 22.285003601,114.212118533 22.285019946,114.212174126 22.2850374110001,114.212161423 22.28505826,114.212396166 22.28517991,114.212402487 22.28504761)))</t>
  </si>
  <si>
    <t>MULTIPOLYGON (((114.162557195 22.247721977,114.162570836 22.2479158220001,114.162879366 22.247872451,114.16284811 22.2476795870001,114.162557195 22.247721977)))</t>
  </si>
  <si>
    <t>MULTIPOLYGON (((114.133417956 22.361431761,114.133217257 22.3614947350001,114.13329935 22.361721086,114.133500069 22.3616570360001,114.133491133 22.361632764,114.13354191 22.361616561,114.133478008 22.3614403670001,114.133426894 22.3614564050001,114.133417956 22.361431761)))</t>
  </si>
  <si>
    <t>MULTIPOLYGON (((114.153747642438 22.2844027682997,114.15386464441 22.2843025992675,114.153792146773 22.2842259712559,114.153733113086 22.2842546925305,114.153668246638 22.2842539544038,114.153630229935 22.2842980441632,114.153669656993 22.2843463540286,114.153684899607 22.2843330877068,114.153747642438 22.2844027682997)))</t>
  </si>
  <si>
    <t>MULTIPOLYGON (((114.15632929 22.282231344,114.156271957 22.282302036,114.156366184 22.2823682360001,114.156377057 22.282354829,114.156432624 22.2823863040001,114.156473617 22.2823357600001,114.156453188 22.2823214070001,114.156461403 22.2823112780001,114.156424654 22.2822854590001,114.156411112001 22.282302157,114.156329796 22.282245029,114.15632929 22.282231344)))</t>
  </si>
  <si>
    <t>MULTIPOLYGON (((114.20954575 22.38963516,114.209325023 22.3898182290001,114.209432996 22.3899299170001,114.20951222 22.389864491,114.209543202 22.3898971670001,114.209516701 22.38992016,114.209571798 22.389981419,114.209692807 22.389879905,114.209599125 22.389785342,114.209663353 22.3897196780001,114.209574092 22.389624769,114.20954575 22.38963516)))</t>
  </si>
  <si>
    <t>MULTIPOLYGON (((114.167691745 22.248264826,114.167606822 22.2485949970001,114.167711931 22.2486186940001,114.167702618 22.2486549160001,114.167789564 22.248687433,114.167886899 22.2483083010001,114.167691745 22.248264826)))</t>
  </si>
  <si>
    <t>MULTIPOLYGON (((114.17158606 22.27839758,114.17157306 22.278268057,114.171315304 22.278290465,114.171328302 22.278419987,114.17158606 22.27839758)))</t>
  </si>
  <si>
    <t>MULTIPOLYGON (((114.193325024 22.2888601060001,114.193357165 22.288896029,114.193418831 22.288848701,114.193403055 22.2888308970001,114.193434923 22.288807138,114.193418038 22.288788119,114.193325024 22.2888601060001)))</t>
  </si>
  <si>
    <t>POLYGON ((114.195985130674 22.3234508518802,114.1961777085 22.3232857851723,114.196122686264 22.3229988835134,114.196067664028 22.3228652580832,114.196071594187 22.3221735499739,114.195721809973 22.3218237657596,114.194955428829 22.3225036833897,114.195092984419 22.3226962612156,114.195226609849 22.3228495374443,114.195450628953 22.3230774867076,114.195670717897 22.3232504137349,114.195863295723 22.3233879693248,114.195985130674 22.3234508518802))</t>
  </si>
  <si>
    <t>23 Wang Chiu Road (14 Wang Tai Road)</t>
  </si>
  <si>
    <t>Oct 2022: news OP 2024
Jun 2022: brochure OP Q4 2023, floorplate 13,268 –14,969 sf
Dec 2017: First Group targets to complete the development by 2022
Jun 2019: The lease can be extend to Jul 2020. Likely to be redeveloped in late 2020.</t>
  </si>
  <si>
    <t>One Bedford Place</t>
  </si>
  <si>
    <t>88WL</t>
  </si>
  <si>
    <t>Park Aura</t>
  </si>
  <si>
    <t>H Development</t>
  </si>
  <si>
    <t>299 Queen's Road Central</t>
  </si>
  <si>
    <t>28 + 1 basement levels</t>
  </si>
  <si>
    <t>NS281</t>
  </si>
  <si>
    <t>299 QRC Redevelopment</t>
  </si>
  <si>
    <t>44,000-52,000</t>
  </si>
  <si>
    <t>55,000-65,000</t>
  </si>
  <si>
    <t>Nov 2022: GFA was 250,000 sf</t>
  </si>
  <si>
    <t>The Millennity</t>
  </si>
  <si>
    <t>Orient International Tower (Global Commerce City 3)</t>
  </si>
  <si>
    <t>Owned by Wong's family
2021: Long lease to a tenant</t>
  </si>
  <si>
    <t>Jan 2023: office GFA was 562311
11 Nov 2020: meeting with K11, phase 1 Q1 2022, phase 2 Q2 2023 (retail), total GFA 3751980
The whole development will be returned to AA in 2066; Three phase for retail. Office will be opened in the first in 2021</t>
  </si>
  <si>
    <t>Jan 2023: was 180,226 and 124254
Nov 2021: changed from 2023 to 2022 based on inspection</t>
  </si>
  <si>
    <t>Sun Hung Kai Properties &amp; Kowloon Motor Bus (50/50)</t>
  </si>
  <si>
    <t>29 Nov 2022: OP obtained (Ada) Nov 2022: GFA was 804400 sf
Jun 2022: Judy Dec 2022 OP
Aug 2016: Land premium agreed at HK$4.305 bil (HK$3,743/sf)
Jun 2013: still haven't agreed land premium.
Mar 2013: Could be half retail, half office (half million each)
Nov 2012 (Rhodri): SHK looking at making half retail, not confirmed yet
Aug 2012 (JD): delay due to lease modification issues
Jun 2012: subject to lease modification.</t>
  </si>
  <si>
    <t>The Burrow</t>
  </si>
  <si>
    <t>228 Electric Road</t>
  </si>
  <si>
    <t>83 Wing Hong Street</t>
  </si>
  <si>
    <t>Lot 636 S.B ss.5 in D.D. 124</t>
  </si>
  <si>
    <t>Kiu Tau Wai integrated project</t>
  </si>
  <si>
    <t>Hong Kong Pacific Investments</t>
  </si>
  <si>
    <t>Viva Properties</t>
  </si>
  <si>
    <t>Lofter Group</t>
  </si>
  <si>
    <t>CK Asset</t>
  </si>
  <si>
    <t>Qi Feng Capital</t>
  </si>
  <si>
    <t>Garden Centre redevelopment</t>
  </si>
  <si>
    <t>Hysan/Chinachem</t>
  </si>
  <si>
    <t>Mandarin Oriental International Group</t>
  </si>
  <si>
    <t>ACE project</t>
  </si>
  <si>
    <t>S22</t>
  </si>
  <si>
    <t>22 Heung Yip Road</t>
  </si>
  <si>
    <t>Judy Wai</t>
  </si>
  <si>
    <t>918 Cheung Sha Wan Road</t>
  </si>
  <si>
    <t>Global Commerce City 1</t>
  </si>
  <si>
    <t>Global Commerce City 2</t>
  </si>
  <si>
    <t>926 Cheung Sha Wan Road</t>
  </si>
  <si>
    <t>POLYGON((114.14561837911604 22.336885218371933,114.14569079875946 22.336690463651664,114.14598315954206 22.336787220807835,114.14590403437613 22.33698197539296,114.14561837911604 22.336885218371933))</t>
  </si>
  <si>
    <t>POLYGON((114.1459201276302 22.33696088732998,114.14598450064659 22.336790942235567,114.14619103074074 22.336861649343803,114.14612397551535 22.337031594352055,114.1459201276302 22.33696088732998))</t>
  </si>
  <si>
    <t>NS283</t>
  </si>
  <si>
    <t>NS284</t>
  </si>
  <si>
    <t>8 Hong Yip Street</t>
  </si>
  <si>
    <t>POLYGON((474.17204082012177 22.28047934532367,474.17208641767496 22.279977990027845,474.17266845703125 22.280022665325177,474.1727140545845 22.279533718238824,474.1732800006867 22.279570947772513,474.17319416999817 22.280558767779866,474.17204082012177 22.28047934532367))</t>
  </si>
  <si>
    <t>POLYGON((474.1750824451447 22.279292967014882,474.17561084032064 22.279347570421592,474.1756537556648 22.27897279206462,474.1751280426979 22.278920670491743,474.1750824451447 22.279292967014882))</t>
  </si>
  <si>
    <t>Viva Place</t>
  </si>
  <si>
    <t>偉華匯</t>
  </si>
  <si>
    <t>10,749/11,963</t>
  </si>
  <si>
    <t>8,707/9,690</t>
  </si>
  <si>
    <t>AIA Hong Kong Tower redevelopment</t>
  </si>
  <si>
    <t>734 King's Road</t>
  </si>
  <si>
    <t>25+4 basement</t>
  </si>
  <si>
    <t>NS285</t>
  </si>
  <si>
    <t>38 Heung Yip Road (24 Wong Chuk Hang Road)</t>
  </si>
  <si>
    <t>https://www.prc-magazine.com/viva-properties-viva-place-a-new-iconic-office-tower-at-the-heart-of-island-south/</t>
  </si>
  <si>
    <t>29 + 3 basement levels &amp; 2 basement</t>
  </si>
  <si>
    <t>21 + 3 basement</t>
  </si>
  <si>
    <t>Kiu Cheong Road</t>
  </si>
  <si>
    <t>Aug 2021: still no work done, expecting a delay to 2026
Aug 2020: Wing Tai said recently applied for redevelopment, not sure if going for office or industrial, no certain year, boss assumes 2025
Jan 2020: Applying for revitalisation 2.0 for 20% plot ratio relaxation for office development
Jun 2023: Not to proceed to office redevelopment</t>
  </si>
  <si>
    <t>MultiPolygon (((114.1840562 22.282212, 114.1845591 22.2813285, 114.1847415 22.2813967, 114.1843982 22.2823051, 114.1840562 22.282212)))</t>
  </si>
  <si>
    <t>Jun 2023: Judy said retail only 65k sf
31 May 2022: boss said HKL confirm Q1 2025
Oct 18 (Peter): Mandarin Oriental decided to redevelop the building</t>
  </si>
  <si>
    <t>31-37 Hankow Road</t>
  </si>
  <si>
    <t>NS286</t>
  </si>
  <si>
    <t>Jun 2023: A/K14/819
Mar 2017: 觀塘市中心重建項目 分拆發展
第4區建地標酒店商廈 最快今年度招標
由於觀塘裕民坊收購進度未如理想，市建局決定將觀塘市中心重建第4及5區分拆發展，當中第4區將興建地標式酒店及商廈，總樓面料120萬平方呎，有望最快今年度招標。
第1至3區 住宅部分批出
觀塘市中心重建屬於市建局最大型的重建計劃之一，近50萬平方呎的重建範圍，分為5區發展，當中第1至3區的住宅部分已經批出，而涉及裕民坊及前政府大樓的第4及5區，屬於商業發展方面。
根據原有方案，第4及5區合整合單一發展，地盤範圍約20萬平方呎，總樓面達218.5萬平方呎，包括興建一個12至18層高、總樓面逾百萬平方呎的大型商場外，還會興建1幢53層高的綜合式商廈，提供辦公室及酒店樓面，合共105.3萬平方呎，計劃最快2024年落成。
裕民坊第5區 作純商場發展
不過，根據市建局資料顯示，截至今年1月底，當局就裕民坊所收購的466份業權之中，仍然有7份業權不接受收購，需要繼續與小業主進行磋商。據悉，當局為加快項目發展進度，確保能夠如期落成，將會分拆第4及5區發展。
根據資料顯示，第4區將會維持興建1幢地標式商廈，最高10餘層將作酒店樓面，而中間逾30層的樓面則會作辦公室用途，基座則會由6至7層的小型商場組成，同時將會申請放寬項目建築高度25米至最高280米高。粗略估計，整個第4區項目商業樓面合共約120萬平方呎，市場相信可以較快推出招標。
現為裕民坊的第5區，會作純商場發展，但由於部分商業樓面劃作第4區使用，相信整個商場的規模將較原方案的104萬平方呎有所減少，但仍然是區內最大型的零售商場之一。
高力國際估價及諮詢副常務董事張翹楚稱，認同分拆發展的方案，因能夠較快釋放出土地，而分拆後兩區的發展規模亦較適中，招標時可以吸引更多發展商競投，對提升項目地價有利。以目前商業地價上升的趨勢，相信若第4區項目推出招標，估值將達逾百億元，每呎樓面地價可達1萬元。
至於早在2014年由信置（00083）、華置（00127）合作投得的觀塘市中心第2及3區項目，將會興建4幢39至43層高住宅大廈，住宅樓面約149.6萬平方呎，將會提供約2,000伙，將分兩期預售樓花，最快今年第四季開售，約85%屬2房、3房戶，並提供小量1房戶，實用面積由約300平方呎起。
Dec 2015: Plan saved in: I:\CBRE Research\Hong Kong\02. Databases\Office Database\Town Planning Board\s16_A_K14_727_0_gist_Kwun Tong Town Centre Redevelopment (Yue Man Square Redevelopment).pdf
Sep 2011: Mostly retail and residential, the commercial part most likely to be used by the government.
Max commercial space is 111,780 sm (including office/retail/hotel) Total GFA : 401,250 square metres
URA website (16Aug2011): Residential flats : 1,980/ Commercial space : 111,780 square metres/ Other uses : 97,860 square metres/ G/IC GFA : 31,000 square metres/ Open space : 13,400 square metres</t>
  </si>
  <si>
    <t>14 Aug 2023: late 2023 https://www.nwd.com.hk/content/new-world-development-and-ares-ssg-partner-develop-commercial-complex-cheung-sha-wan-0</t>
  </si>
  <si>
    <t>A/K5/813
KLNOS (Jul-23): Not going to redevelop in next six years</t>
  </si>
  <si>
    <t>Dec 2021: CLP bought the office portion for self-use
Aug 2021: annual report 2024
s. 16 A/K22/17 saved:I:\CBRE Research\Hong Kong\02. Databases\Infrastructure Database\Kowloon East</t>
  </si>
  <si>
    <t>31 Aug 2023: Judy 
- T1 office self use
- T2 office space for medical, 
- T1 retail for brand consignment
- T2 for whole floor entertainment and other semi retail
- both towers have designated F&amp;B floors
Approved Kai Tak OZP No. S/K22/4: The “C(6)” zone comprising 2 linked sites is located in the eastern side of Kai Tak City Centre near the proposed SCL Kai Tak Station. An iconic gateway twin-tower development is planned so as to anchor the vista towards the Station Square. NBAs are imposed in the eastern part of the 2 linked sites to create a wider pedestrian vista in the green corridor between the proposed commercial/office developments in these sites and the mixed use and public housing developments to their east. As for the western part of the northern “C(6)” site, a NBA is imposed in order to maintain a breezeway from Kai Tak to San Po Kong as well as to allow a vehicular access serving the two linked sites. A vehicular access restricted for loading/unloading only will be provided via Road L3B to serve the southern “C(6)” site. The area in between the 2 linked “C(6)” sites will remain as open space for a gateway plaza. Developments within this zone are subject to a max plot ratio of 6, a max site coverage (excluding basement(s)) of 65% and a max building height of 100mPD.
Delayed from 2021</t>
  </si>
  <si>
    <t>Horizon Sea</t>
  </si>
  <si>
    <t>(blank)</t>
  </si>
  <si>
    <t>29 Sep 2023: Judy: delay to Dec 2023/Jan 2024
3 Dec 2021: Mr Chan's photo, switch back from 2024 to 2023
9 Aug 2021: still no superstructure vs Murrary Road 5-10 floors, unlikely to be in 2023
Jul 2021: Will be delayed but landlord would like to stick with 2023
Jun 2013: no Sales &amp; Redevelopment clause for new leases and can now do leases up to 2019.
Mar 2011 (Roy): New plan approved for 41 storeys instead of 47 but GFA remain approximately same. They needed to apply to beat a deadline relating to being able exclude some of the car parking spaces from the GFA
Sep 2011 (Cynthia): CBRE OS and research group meeting held on 9 Sep 2011, and confirm this will not be subject to redevelopment in the next 5-10 years.
Aug 2011: Benny (OS) advised building will be knocked down around Q3, 2012.  Completion of new blg around Q3, 2016.  Benny advised not to contact Landlord directly.
From OS (Benny): L/L said no offical plan at meeting on Apr 2009</t>
  </si>
  <si>
    <t>83 King Lam Street</t>
  </si>
  <si>
    <t>2029-2033</t>
  </si>
  <si>
    <t>2033+</t>
  </si>
  <si>
    <t>The Twins</t>
  </si>
  <si>
    <t>11-21 Nanking Street</t>
  </si>
  <si>
    <t>NS287</t>
  </si>
  <si>
    <t>POLYGON((114.1719710826874 22.30611680391931,114.17198047041894 22.305936895258142,114.1720421612263 22.305939376758502,114.1723304986954 22.30595302500963,114.17232379317286 22.30613913739211,114.1719710826874 22.30611680391931))</t>
  </si>
  <si>
    <t>470-472 Hennessy Road</t>
  </si>
  <si>
    <t>Bank of China</t>
  </si>
  <si>
    <t>11 Jan 2024: BOC self-use</t>
  </si>
  <si>
    <t>26 + 1 basement</t>
  </si>
  <si>
    <t>163 QRE</t>
  </si>
  <si>
    <t>Lai Yip Street</t>
  </si>
  <si>
    <t>Lai Yip Street Site</t>
  </si>
  <si>
    <t>EKEO</t>
  </si>
  <si>
    <t>The site next to NEO is studied for commercial development</t>
  </si>
  <si>
    <t>POLYGON((114.21638309955596 22.313650426125477,114.21684578061102 22.314085904704697,114.21686992049214 22.31400029791176,114.2168632149696 22.31380799260583,114.2168618738651 22.313772012874026,114.21684712171553 22.313745958579688,114.21656414866446 22.313485415368802,114.21638309955596 22.313650426125477))</t>
  </si>
  <si>
    <t>2034+</t>
  </si>
  <si>
    <t>First Group Centre</t>
  </si>
  <si>
    <t>39 Sha Tsui Road</t>
  </si>
  <si>
    <t>92-103A Connaught Road West</t>
  </si>
  <si>
    <t>22/2/2024</t>
  </si>
  <si>
    <t>22 Feb 2024: OP obtained Judy
Aug 2022: OP 2024 Judy
Apr 2022: may delay to 2024 but Judy said stay in 2023
3 Aug 2021: Alan Lok - name Six PP
Dec 2015 (HKET): 根據EPRC經濟地產庫資料顯示，寶華大廈近日連錄5宗收購，收購價介乎608萬至1,300萬元，合共涉資3,862萬元，例如9樓G室，實用面積300平方呎，以608萬元收購，實用呎價達2萬元，較1年前收購價提高14%。此外，寶華大廈11樓D室，實用面積810平方呎，收購價1,300萬元，實用呎價1.6萬元，與早前收購價相若。
太古地產今年初就位於皇后大道東的寶華大廈，以及周邊晏頓街、蘭杜街一帶舊樓申請強拍，物業估值多達14.7億元，屬於今年最大型的收購項目。
由於項目餘下不接受收購的小業主不少屬「非富則貴」，包括大生地產馬氏家族等，早前更在法庭各自聘請專業人士作提供抗辯理據，令重建的風險增加，為加快重建步伐，發展商亦願意提高收購出價。
Aug 2014 (Jerry): Swire may redevelop the building toegther with the buildings on Anton Road (90% ownership) and Landale Street
Apr 2018 (Peter): Check supply info A/H5/411. 22 floors for office. Will be connecting 28 Hennessy</t>
  </si>
  <si>
    <t>HE011</t>
  </si>
  <si>
    <t>TS031</t>
  </si>
  <si>
    <t>KK018</t>
  </si>
  <si>
    <t>KK019</t>
  </si>
  <si>
    <t>KK022</t>
  </si>
  <si>
    <t>SP001</t>
  </si>
  <si>
    <t>HE014</t>
  </si>
  <si>
    <t>KK025</t>
  </si>
  <si>
    <t>CC038</t>
  </si>
  <si>
    <t>WCH003</t>
  </si>
  <si>
    <t>KK035</t>
  </si>
  <si>
    <t>CC040</t>
  </si>
  <si>
    <t>CW017</t>
  </si>
  <si>
    <t>WC023</t>
  </si>
  <si>
    <t>KK039</t>
  </si>
  <si>
    <t>KK040</t>
  </si>
  <si>
    <t>CC042</t>
  </si>
  <si>
    <t>WCH002</t>
  </si>
  <si>
    <t>CC041</t>
  </si>
  <si>
    <t>KF009</t>
  </si>
  <si>
    <t>CW018</t>
  </si>
  <si>
    <t>WCH009</t>
  </si>
  <si>
    <t>WCH008</t>
  </si>
  <si>
    <t>WCH006</t>
  </si>
  <si>
    <t>TS035</t>
  </si>
  <si>
    <t>KK045</t>
  </si>
  <si>
    <t>CS011</t>
  </si>
  <si>
    <t>ST006</t>
  </si>
  <si>
    <t>CC046</t>
  </si>
  <si>
    <t>KK048</t>
  </si>
  <si>
    <t>ST007</t>
  </si>
  <si>
    <t>CW019</t>
  </si>
  <si>
    <t>NP009</t>
  </si>
  <si>
    <t>KK051</t>
  </si>
  <si>
    <t>KK050</t>
  </si>
  <si>
    <t>SP004</t>
  </si>
  <si>
    <t>WCH012</t>
  </si>
  <si>
    <t>KK054</t>
  </si>
  <si>
    <t>KK052</t>
  </si>
  <si>
    <t>CS014</t>
  </si>
  <si>
    <t>WC026</t>
  </si>
  <si>
    <t>KK057</t>
  </si>
  <si>
    <t>KK055</t>
  </si>
  <si>
    <t>KK056</t>
  </si>
  <si>
    <t>KF012</t>
  </si>
  <si>
    <t>KF019</t>
  </si>
  <si>
    <t>CS015</t>
  </si>
  <si>
    <t>WCH013</t>
  </si>
  <si>
    <t>YL001</t>
  </si>
  <si>
    <t>CC047</t>
  </si>
  <si>
    <t>HE016</t>
  </si>
  <si>
    <t>KK059</t>
  </si>
  <si>
    <t>KK069</t>
  </si>
  <si>
    <t>CS017</t>
  </si>
  <si>
    <t>CS016</t>
  </si>
  <si>
    <t>KK060</t>
  </si>
  <si>
    <t>KK068</t>
  </si>
  <si>
    <t>SP006</t>
  </si>
  <si>
    <t>KK058</t>
  </si>
  <si>
    <t>KF020</t>
  </si>
  <si>
    <t>WCH014</t>
  </si>
  <si>
    <t>WCH015</t>
  </si>
  <si>
    <t>TS034</t>
  </si>
  <si>
    <t>NP011</t>
  </si>
  <si>
    <t>WCH010</t>
  </si>
  <si>
    <t>WC005</t>
  </si>
  <si>
    <t>WC027</t>
  </si>
  <si>
    <t>KK070</t>
  </si>
  <si>
    <t>TS037</t>
  </si>
  <si>
    <t>SW06B</t>
  </si>
  <si>
    <t>CC54B</t>
  </si>
  <si>
    <t>CC73B</t>
  </si>
  <si>
    <t>CC66B</t>
  </si>
  <si>
    <t>WCH013B</t>
  </si>
  <si>
    <t>WC40B</t>
  </si>
  <si>
    <t>WC38B</t>
  </si>
  <si>
    <t>WC41B</t>
  </si>
  <si>
    <t>SW22B</t>
  </si>
  <si>
    <t>KK046B</t>
  </si>
  <si>
    <t>KK047B</t>
  </si>
  <si>
    <t>KK062B</t>
  </si>
  <si>
    <t>KF010B</t>
  </si>
  <si>
    <t>KK053B</t>
  </si>
  <si>
    <t>NS288</t>
  </si>
  <si>
    <t>KK007</t>
  </si>
  <si>
    <t>KF006</t>
  </si>
  <si>
    <t>KK024</t>
  </si>
  <si>
    <t>KK023</t>
  </si>
  <si>
    <t>CC037</t>
  </si>
  <si>
    <t>CC039</t>
  </si>
  <si>
    <t>18 Wang Chiu Road</t>
  </si>
  <si>
    <t>KF008</t>
  </si>
  <si>
    <t>WCH001</t>
  </si>
  <si>
    <t>KK037</t>
  </si>
  <si>
    <t>KK036</t>
  </si>
  <si>
    <t>KK042</t>
  </si>
  <si>
    <t>CS010</t>
  </si>
  <si>
    <t>KK044</t>
  </si>
  <si>
    <t>KK043</t>
  </si>
  <si>
    <t>HH005</t>
  </si>
  <si>
    <t>SP003</t>
  </si>
  <si>
    <t>TS036</t>
  </si>
  <si>
    <t>HH007</t>
  </si>
  <si>
    <t>HE015</t>
  </si>
  <si>
    <t>CC004</t>
  </si>
  <si>
    <t>NP010</t>
  </si>
  <si>
    <t>TS024</t>
  </si>
  <si>
    <t>TC002</t>
  </si>
  <si>
    <t>KK066</t>
  </si>
  <si>
    <t>KF021</t>
  </si>
  <si>
    <t>CC048</t>
  </si>
  <si>
    <t>Junction of On Sum Street and On Ping Street, Shek Mun, Sha Tin, New Territories</t>
  </si>
  <si>
    <t>NS289</t>
  </si>
  <si>
    <t>POLYGON((114.20733600854872 22.39226390278202,114.20775979757309 22.391760469241873,114.20811116695404 22.39211014494829,114.20809239149094 22.39220438364073,114.20768469572067 22.392539178479055,114.20759618282318 22.392539178479055,114.20733600854872 22.39226390278202))</t>
  </si>
  <si>
    <t>One Causeway Bay</t>
  </si>
  <si>
    <t>New Henry House redevelopment</t>
  </si>
  <si>
    <t>10 Ice House Street</t>
  </si>
  <si>
    <t>30 + 1 basement</t>
  </si>
  <si>
    <t>303 Des Voeux Road Central &amp; 153 Connaught Road Central</t>
  </si>
  <si>
    <t>NS290</t>
  </si>
  <si>
    <t>Edwin Leong (Tai Hung Fai)</t>
  </si>
  <si>
    <t>May 2024: Ellen Li said they will merge the site with Cheung Wah Industrial Buildings, TBC
Feb 2018: Swire has acquired 87% of Zung Fu and 82% of Wah Ha, and has applied compulsory sale through Land Tribunal</t>
  </si>
  <si>
    <t>KK071</t>
  </si>
  <si>
    <t>WC028</t>
  </si>
  <si>
    <t>Residential 36-39; Office 29; Retail mixed use: 6</t>
  </si>
  <si>
    <t>Jun 2023: revised GFA according to BD; May 2024: submit a new plan to TPB</t>
  </si>
  <si>
    <t>International Gateway Centre (IGC)</t>
  </si>
  <si>
    <t>AIA Building</t>
  </si>
  <si>
    <t>23 July 2024: Judy said Empire said they will not redevelop and keep as industrial
17 Nov 2021: Paid land premium</t>
  </si>
  <si>
    <t>China Merchants Plaza</t>
  </si>
  <si>
    <t>May 2024: Judy: According to SHK OP of Artist Square postponed to Jan 2027
2024: delay to end-2026, foundation problem
Aug 2022: tender cancelled, push to 2026
Jan 2022: WKCD Authority expects 2025
Aug 2021: Closed EOI</t>
  </si>
  <si>
    <t>TCTL 45</t>
  </si>
  <si>
    <t>Aug 2024: updated building info based on landlord slides from Judy
Will build an office, retail and data centre mix</t>
  </si>
  <si>
    <t>Aug 2024: change from Q4 2025 to Q2 2026 based on inspection
1 Jun 2022: Judy: resumed construction, mid 2024 OP</t>
  </si>
  <si>
    <t>15 Sheung Yuet Road</t>
  </si>
  <si>
    <t>Lee Garden Eight</t>
  </si>
  <si>
    <t>THE CENDAS</t>
  </si>
  <si>
    <t>Dec 2024: The building was named as "THE CENDAS" https://www.thecendas.com/workspace-evolution/
Aug 2024: Rocky April 2025
Aug 2021: still no work done, landlord status unknown
Feb 2018: Executed lease modification in Dec 2017</t>
  </si>
  <si>
    <t>Jan 2025: will be Industrial use
Jan 2020: Applying for revitalisation 2.0 for 20% plot ratio relaxation for office development
Jul 2023: Currently temp. car parking. The developer is short of cash to proceed</t>
  </si>
  <si>
    <t>2 Hung To Road</t>
  </si>
  <si>
    <t>22 + 1 basement</t>
  </si>
  <si>
    <t>Pofied Holdings</t>
  </si>
  <si>
    <t>Central Crossing</t>
  </si>
  <si>
    <t>Green Heart</t>
  </si>
  <si>
    <t>Feb 2025: named as Green Heart https://ps.hket.com/article/3746050/%E6%97%BA%E8%A7%92%E8%A6%8F%E5%8A%83%E2%94%82%E6%96%B0%E5%9C%B0%E6%B4%97%E8%A1%A3%E8%A1%97%E9%A0%85%E7%9B%AE%E3%80%8CGreen%20Heart%E3%80%8D%E7%8D%B2%E6%89%B9%E5%87%86%20%20%E6%A8%93%E9%AB%98320%E7%B1%B3%E5%B0%87%E6%88%90%E7%82%BA%E6%97%BA%E8%A7%92%E6%96%B0%E5%9C%B0%E6%A8%99
8 Mar 2024: Gist application
Mar 2016 (RN): The car park is up for tender for 1 year.
PlanD Study: Expected to be available in 2021</t>
  </si>
  <si>
    <t>77 How Ming Street</t>
  </si>
  <si>
    <t>Crystal Tower</t>
  </si>
  <si>
    <t>Jun 2025: GFA updated from Unicorn/Landlord's brochure</t>
  </si>
  <si>
    <t>Tak Shing House</t>
  </si>
  <si>
    <t>283 King's Road</t>
  </si>
  <si>
    <t>Four Seas Group Centre (The Vision)</t>
  </si>
  <si>
    <t>KTR350</t>
  </si>
  <si>
    <t>43 Shing Kai Road</t>
  </si>
  <si>
    <t>Global Plaza</t>
  </si>
  <si>
    <t>Aug 2025: Applied to Land Tribunal to delay to Nov 2027
Jul 2025: Judy: 140k office, 8500sf floorplate, OP Q4 2026, open for both sale/lease
Residential and retail project</t>
  </si>
  <si>
    <t>Aug 2025: only has superstructure, pushing to 2027
Jul 2023: still have no superstructure
Dec 2023: bare site
A/K9/274</t>
  </si>
  <si>
    <t>The government has decided to rezone the site for private residential use. (Sept 2025)
The development bureau plans to ask funding from Legco in early 2016 to relocate the existing park to King Yip St site, involving costs of $167M. Estimate to begin works 2016 Q3 earliest and finish by end-2017 to mid-2018. Site estimated to be released in 2018/19.
28Aug2014: EKEO suggests to combine the site with the garden next door; buildable area could be inflated from 630,000sf to 1,240,000sf
14Oct2011: One of nine sites announced in CBD2-Kowloon East by Ms Carrie Lam. 18Oct2011: (HKET)</t>
  </si>
  <si>
    <t>Oct 2025: Phoebe - May 2026 OP (target), low zone floor area 10,598 sf approx; high zone floor area 10,558 sf gross approx.
Jun 2025: boss - Q2 2026 OP
Mar 2023: boss - Jun 2025 OP; 100k hotel, 300k office, 30k retail; soft marketing in Q3 2023; car access from Wellington Street
Nov 2021: boss asked Wing Tai and said 2024
Oct 2021: Ellen - delay to 2025 becos of heritage, net floor plate 9k sf
Two Resi Blocks on site A/B and Hotel and office on Site C.
Site B: Completion 2016
Site A/C: Completion 2021
http://www.ura.org.hk/en/projects/redevelopment/central/peel-street-graham-street-development-scheme.aspx
http://www1.ozp.tpb.gov.hk/gos/download.aspx?type=apply&amp;caseno=A/H3/380&amp;lang=0</t>
  </si>
  <si>
    <t>Oct 2025: 2024年6月地皮10億登記易手，該地皮目前已由具備營運日本環球影城等世界級文娛景點經驗的國際投資公司MBK Partners 持有 (https://www.hk01.com/article/60286816?utm_source=01articlecopy&amp;utm_medium=referral)
Aug 2023: 財團後來因陷入財困，地盤遭人接管須招標出售 https://www.leasinghub.com/zh/resources/market-news/article?id=467
Jan 19 (Jerry): Gist open for comments until 8 Feb 2019</t>
  </si>
  <si>
    <t>MBK Partners</t>
  </si>
  <si>
    <t>Hankow 33</t>
  </si>
  <si>
    <t>Nov 2025: 1 retail floor (6300sf), 19 medical/office floors, Sep 2026
Dec 2023: bare site
4 Sep 2023: Q4 2025 according to landlord</t>
  </si>
  <si>
    <t>Nov 2025: Renamed to Central Yards, according to Henderson Land (https://www.hld.com/en/our-news/press-releases/henderson-land-reinvents-central-with-its-global-harbourfront-icon-central-yardsset-to-become-hong-kongs-most-sustainable-district-for-commerce-culture-and-lifestyle-launching-2027)
Nov 2022: TPB plan submitted
Aug 2021: As Site 3A delayed, Site 3B will be available after the relocation of GPO to 3A
Aug 2011 (Cynthia): No official programme indicated / announced.  Outisde GPO, in front of ferry pier.
No official programme yet/ http://www.pland.gov.hk/p_study/prog_s/UDS/eng_v1/images_eng/OI07_eng.jpg
Site 3 Total Area:157,400 sm (including 103,400/ 104,200 sm for retail; 44,800/44,000 sm for office; 3,800 sm for 150 public car parking spaces; 5,400 sm for mini-bus, taxi and coach facilities)
https://www.hld.com/en/press/pressdetail.shtml?region=hk&amp;id=426</t>
  </si>
  <si>
    <t>Central Yards Phase 1</t>
  </si>
  <si>
    <t>Central Yards Phase 2</t>
  </si>
  <si>
    <t>Nov 2025: got OP (on OS meeting from Anson)
Jun 2025: no naming right, OP Q4 2025
Aug 2024: Anson/Judy Q1/Q2 2025
Feb 2024: Judy - Q4 2025
Feb 2023: still bare site by end 2022, move to 2024
Nov 2021: still bare site, moved to 2023
Aug 2020: Demolished and active construction. Small development so should be quick. Changed from 2023 Q3 to 2022 Q4
Retail WC: Tenants need to move out by April 2019</t>
  </si>
  <si>
    <t>440,809</t>
  </si>
  <si>
    <t>728 King's Road</t>
  </si>
  <si>
    <t>Jan 2026 (Zac): revised OP from Q4 to Q2 (June)
Feb 2016 (Roy): doing ground work
May 2015 (HKET): applied to Town Planning board in March for a 29 storey building of 488k sf GFA composed of Office, Exhibition and F&amp;B. 4/F to 24/F will be for office with floorplate of 1.9k sf GFA. 2/F will be a exhibition hall of 9m.
9Jul14: Could be a 28-storey residential building
New World Development bought two retail units to speed up the redevelopment process</t>
  </si>
  <si>
    <t>Tsim Sha Tsui West</t>
  </si>
  <si>
    <t>38,000-39,000/10,500-10,800</t>
  </si>
  <si>
    <t>Mar 2026: HKU is currently in negotiations to acquire the entire building for self-use.
May 2024: Tai Hung Fai said 2026
Jan 19 (Peter): Can combine with the sites nearby to be a 400,000sf project</t>
  </si>
  <si>
    <t>State Theatre Composite Development</t>
  </si>
  <si>
    <t>News: Completion date delayed to 2030
Jan 2025: MC said SHK said end-2027
Jul 2024: revised to 2028 as SHK suggest 2028/29 in news https://www.hk01.com/%E8%B2%A1%E7%B6%93%E5%BF%AB%E8%A8%8A/964094/%E6%96%B0%E5%9C%B0%E7%9C%8B%E5%A5%BD%E5%A4%A9%E6%B0%B4%E5%9C%8D%E5%8D%80%E5%89%8D%E6%99%AF-%E6%93%AC%E5%BB%BA%E8%BF%91%E7%99%BE%E8%90%AC%E5%91%8E%E5%95%86%E6%A5%AD%E9%A0%85%E7%9B%AE-%E6%96%99%E6%88%90%E5%A4%A7%E7%81%A3%E5%8D%80%E4%B8%AD%E4%BB%8B%E6%A8%9E%E7%B4%90
Mar 2017: SHK applied change of land use to TPB, gist saved: I:\CBRE Research\Hong Kong\02. Databases\Office Database\Supply info\Sun Hung Kai Kiu Tau Wai
A/YL-PS/520
Paid land premium to commercial use</t>
  </si>
  <si>
    <t>Aug 2026: got OP from zac's email re Savills' news (https://www.retalkasia.com/properties/2026/08/13/brand-new-crystal-tower-kwun-tong-hong-kong-lease-%E2%80%93-savills/1786595503)
Dec 2023: bare site
Jul 2020: Changed from 2024-2028 to 2025 after inspection
Jan 2020: Applying for revitalisation 2.0 for 20% plot ratio relaxation for office development</t>
  </si>
  <si>
    <t>Sep 2026: Judy - OP end-2028; now only foundation work
Jun 2025: Judy's email: Target OP: mid 2028
Feb 2025: MC said CITIC said 2029
A/K3/583
Nov-2021: Kicking tenants out and will redevelop in 2022
Oct-2022: Redevelopment starts in Apr 2023</t>
  </si>
  <si>
    <t>Oct 2026: Central Yards Phase I will get OP at the end of 2026. (from  media: https://hk.finance.yahoo.com/news/kim-jones-%E6%98%8E%E5%B9%B4%E8%90%BD%E6%88%B6-central-yards-081056715.html and Ken Lau from Weekly Meeting)
Nov 2025: Renamed to Central Yards, according to Henderson Land (https://www.hld.com/en/our-news/press-releases/henderson-land-reinvents-central-with-its-global-harbourfront-icon-central-yardsset-to-become-hong-kongs-most-sustainable-district-for-commerce-culture-and-lifestyle-launching-2027)
Jul 2025: David Wood: efficiency is over 90%
Jun 2023: Alan Lok+MC said Henderson said 2027
Nov 2022: TPB plan submitted
Jan 2021: Tender results in Nov 2021. Changed completion from 2024 to 2026. Winner need to complete at lease 1.29 mil sq. ft. by end-2032
Aug 2011 (Cynthia): No official programme indicated / announced.  Outisde GPO, in front of ferry pier.
No official programme yet/ http://www.pland.gov.hk/p_study/prog_s/UDS/eng_v1/images_eng/OI07_eng.jpg
Site 3 Total Area:157,400 sm (including 103,400/ 104,200 sm for retail; 44,800/44,000 sm for office; 3,800 sm for 150 public car parking spaces; 5,400 sm for mini-bus, taxi and coach facilities)
https://www.hld.com/en/press/pressdetail.shtml?region=hk&amp;id=426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</si>
</sst>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409]mmm\-yy;@"/>
    <numFmt numFmtId="166" formatCode="_(* #,##0_);_(* \(#,##0\);_(* &quot;-&quot;??_);_(@_)"/>
    <numFmt numFmtId="167" formatCode="dd\-mmm\-yy"/>
    <numFmt numFmtId="168" formatCode="d/mmm/yyyy"/>
    <numFmt numFmtId="169" formatCode="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color theme="0" tint="-0.34998626667073579"/>
      <name val="Arial"/>
      <family val="2"/>
    </font>
    <font>
      <sz val="10"/>
      <color indexed="10"/>
      <name val="Arial"/>
      <family val="2"/>
    </font>
    <font>
      <sz val="10"/>
      <color rgb="FFFF0000"/>
      <name val="Arial"/>
      <family val="2"/>
    </font>
    <font>
      <b/>
      <sz val="8"/>
      <color indexed="81"/>
      <name val="Tahoma"/>
      <family val="2"/>
    </font>
    <font>
      <sz val="8"/>
      <color indexed="81"/>
      <name val="Tahoma"/>
      <family val="2"/>
    </font>
    <font>
      <sz val="10"/>
      <color theme="1"/>
      <name val="Calibri"/>
      <family val="2"/>
      <scheme val="minor"/>
    </font>
    <font>
      <sz val="10"/>
      <color theme="1"/>
      <name val="Arial"/>
      <family val="2"/>
    </font>
    <font>
      <b/>
      <sz val="10"/>
      <color rgb="FFFFFFFF"/>
      <name val="Arial"/>
      <family val="2"/>
    </font>
    <font>
      <sz val="9"/>
      <color indexed="81"/>
      <name val="Tahoma"/>
      <family val="2"/>
    </font>
    <font>
      <b/>
      <sz val="9"/>
      <color indexed="81"/>
      <name val="Tahoma"/>
      <family val="2"/>
    </font>
    <font>
      <u/>
      <sz val="11"/>
      <color theme="10"/>
      <name val="Calibri"/>
      <family val="2"/>
      <scheme val="minor"/>
    </font>
    <font>
      <b/>
      <sz val="10"/>
      <color theme="0"/>
      <name val="Arial"/>
      <family val="2"/>
    </font>
    <font>
      <sz val="11"/>
      <color theme="1"/>
      <name val="Calibri"/>
      <family val="2"/>
      <scheme val="minor"/>
    </font>
    <font>
      <b/>
      <sz val="11"/>
      <color theme="1"/>
      <name val="Calibri"/>
      <family val="2"/>
      <scheme val="minor"/>
    </font>
    <font>
      <sz val="10"/>
      <color theme="1"/>
      <name val="Calibri"/>
      <family val="2"/>
      <scheme val="minor"/>
    </font>
    <font>
      <sz val="11"/>
      <color theme="1"/>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b/>
      <sz val="10"/>
      <name val="Arial"/>
      <family val="2"/>
    </font>
  </fonts>
  <fills count="17">
    <fill>
      <patternFill patternType="none"/>
    </fill>
    <fill>
      <patternFill patternType="gray125"/>
    </fill>
    <fill>
      <patternFill patternType="solid">
        <fgColor rgb="FFFFFF00"/>
        <bgColor indexed="64"/>
      </patternFill>
    </fill>
    <fill>
      <patternFill patternType="solid">
        <fgColor rgb="FF006A4D"/>
        <bgColor indexed="64"/>
      </patternFill>
    </fill>
    <fill>
      <patternFill patternType="solid">
        <fgColor theme="5" tint="0.79998168889431442"/>
        <bgColor indexed="64"/>
      </patternFill>
    </fill>
    <fill>
      <patternFill patternType="solid">
        <fgColor rgb="FF00B05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8"/>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theme="6" tint="0.79998168889431442"/>
      </patternFill>
    </fill>
  </fills>
  <borders count="4">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right/>
      <top style="thin">
        <color theme="6" tint="0.39997558519241921"/>
      </top>
      <bottom style="thin">
        <color theme="6" tint="0.39997558519241921"/>
      </bottom>
      <diagonal/>
    </border>
  </borders>
  <cellStyleXfs count="6">
    <xf numFmtId="0" fontId="0" fillId="0" borderId="0"/>
    <xf numFmtId="43" fontId="1" fillId="0" borderId="0" applyFont="0" applyFill="0" applyBorder="0" applyAlignment="0" applyProtection="0"/>
    <xf numFmtId="0" fontId="14" fillId="0" borderId="0" applyNumberForma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cellStyleXfs>
  <cellXfs count="113">
    <xf numFmtId="0" fontId="0" fillId="0" borderId="0" xfId="0"/>
    <xf numFmtId="0" fontId="2" fillId="0" borderId="0" xfId="0" applyFont="1"/>
    <xf numFmtId="0" fontId="0" fillId="0" borderId="0" xfId="0" applyAlignment="1">
      <alignment horizontal="left"/>
    </xf>
    <xf numFmtId="3" fontId="0" fillId="0" borderId="0" xfId="0" applyNumberFormat="1" applyAlignment="1">
      <alignment horizontal="left"/>
    </xf>
    <xf numFmtId="3" fontId="6" fillId="0" borderId="1" xfId="0" applyNumberFormat="1" applyFont="1" applyBorder="1" applyAlignment="1">
      <alignment horizontal="left"/>
    </xf>
    <xf numFmtId="165" fontId="0" fillId="0" borderId="0" xfId="0" applyNumberFormat="1" applyAlignment="1">
      <alignment horizontal="left"/>
    </xf>
    <xf numFmtId="0" fontId="9" fillId="0" borderId="0" xfId="0" applyFont="1" applyAlignment="1">
      <alignment horizontal="left"/>
    </xf>
    <xf numFmtId="0" fontId="0" fillId="0" borderId="0" xfId="0" pivotButton="1"/>
    <xf numFmtId="0" fontId="10" fillId="0" borderId="1" xfId="0" applyFont="1" applyBorder="1" applyAlignment="1">
      <alignment horizontal="left"/>
    </xf>
    <xf numFmtId="0" fontId="10" fillId="2" borderId="1" xfId="0" applyFont="1" applyFill="1" applyBorder="1" applyAlignment="1">
      <alignment horizontal="left"/>
    </xf>
    <xf numFmtId="165" fontId="10" fillId="0" borderId="1" xfId="0" applyNumberFormat="1" applyFont="1" applyBorder="1" applyAlignment="1">
      <alignment horizontal="left"/>
    </xf>
    <xf numFmtId="3" fontId="10" fillId="0" borderId="1" xfId="0" applyNumberFormat="1" applyFont="1" applyBorder="1" applyAlignment="1">
      <alignment horizontal="left"/>
    </xf>
    <xf numFmtId="3" fontId="10" fillId="2" borderId="1" xfId="0" applyNumberFormat="1" applyFont="1" applyFill="1" applyBorder="1" applyAlignment="1">
      <alignment horizontal="left"/>
    </xf>
    <xf numFmtId="165" fontId="10" fillId="2" borderId="1" xfId="0" applyNumberFormat="1" applyFont="1" applyFill="1" applyBorder="1" applyAlignment="1">
      <alignment horizontal="left"/>
    </xf>
    <xf numFmtId="3" fontId="10" fillId="0" borderId="1" xfId="1" applyNumberFormat="1" applyFont="1" applyBorder="1" applyAlignment="1">
      <alignment horizontal="left"/>
    </xf>
    <xf numFmtId="1" fontId="10" fillId="0" borderId="1" xfId="0" applyNumberFormat="1" applyFont="1" applyBorder="1" applyAlignment="1">
      <alignment horizontal="left"/>
    </xf>
    <xf numFmtId="1" fontId="10" fillId="2" borderId="1" xfId="0" applyNumberFormat="1" applyFont="1" applyFill="1" applyBorder="1" applyAlignment="1">
      <alignment horizontal="left"/>
    </xf>
    <xf numFmtId="1" fontId="0" fillId="0" borderId="0" xfId="0" applyNumberFormat="1" applyAlignment="1">
      <alignment horizontal="left"/>
    </xf>
    <xf numFmtId="0" fontId="11" fillId="3" borderId="1" xfId="0" applyFont="1" applyFill="1" applyBorder="1" applyAlignment="1">
      <alignment horizontal="left"/>
    </xf>
    <xf numFmtId="3" fontId="10" fillId="0" borderId="1" xfId="0" quotePrefix="1" applyNumberFormat="1" applyFont="1" applyBorder="1" applyAlignment="1">
      <alignment horizontal="left"/>
    </xf>
    <xf numFmtId="3" fontId="3" fillId="0" borderId="1" xfId="0" applyNumberFormat="1" applyFont="1" applyBorder="1" applyAlignment="1">
      <alignment horizontal="left"/>
    </xf>
    <xf numFmtId="3" fontId="5" fillId="0" borderId="1" xfId="1" applyNumberFormat="1" applyFont="1" applyBorder="1" applyAlignment="1">
      <alignment horizontal="left"/>
    </xf>
    <xf numFmtId="3" fontId="5" fillId="0" borderId="1" xfId="0" applyNumberFormat="1" applyFont="1" applyBorder="1" applyAlignment="1">
      <alignment horizontal="left"/>
    </xf>
    <xf numFmtId="3" fontId="3" fillId="0" borderId="1" xfId="1" applyNumberFormat="1" applyFont="1" applyBorder="1" applyAlignment="1">
      <alignment horizontal="left"/>
    </xf>
    <xf numFmtId="3" fontId="6" fillId="0" borderId="1" xfId="1" applyNumberFormat="1" applyFont="1" applyBorder="1" applyAlignment="1">
      <alignment horizontal="left"/>
    </xf>
    <xf numFmtId="0" fontId="2" fillId="0" borderId="0" xfId="0" applyFont="1" applyAlignment="1">
      <alignment horizontal="left"/>
    </xf>
    <xf numFmtId="0" fontId="10" fillId="0" borderId="1" xfId="0" applyFont="1" applyBorder="1" applyAlignment="1">
      <alignment horizontal="left" wrapText="1"/>
    </xf>
    <xf numFmtId="0" fontId="0" fillId="0" borderId="0" xfId="0" applyAlignment="1">
      <alignment horizontal="left" wrapText="1"/>
    </xf>
    <xf numFmtId="167" fontId="10" fillId="0" borderId="1" xfId="0" applyNumberFormat="1" applyFont="1" applyBorder="1" applyAlignment="1">
      <alignment horizontal="center" wrapText="1"/>
    </xf>
    <xf numFmtId="0" fontId="14" fillId="0" borderId="1" xfId="2" applyBorder="1" applyAlignment="1">
      <alignment horizontal="left"/>
    </xf>
    <xf numFmtId="0" fontId="10" fillId="0" borderId="1" xfId="0" applyFont="1" applyBorder="1" applyAlignment="1">
      <alignment horizontal="left" vertical="top" wrapText="1"/>
    </xf>
    <xf numFmtId="0" fontId="10" fillId="5" borderId="1" xfId="0" applyFont="1" applyFill="1" applyBorder="1" applyAlignment="1">
      <alignment horizontal="left"/>
    </xf>
    <xf numFmtId="3" fontId="10" fillId="5" borderId="1" xfId="0" applyNumberFormat="1" applyFont="1" applyFill="1" applyBorder="1" applyAlignment="1">
      <alignment horizontal="left"/>
    </xf>
    <xf numFmtId="0" fontId="10" fillId="0" borderId="1" xfId="0" applyFont="1" applyBorder="1" applyAlignment="1" applyProtection="1">
      <alignment horizontal="left"/>
      <protection locked="0"/>
    </xf>
    <xf numFmtId="0" fontId="10" fillId="6" borderId="1" xfId="0" applyFont="1" applyFill="1" applyBorder="1" applyAlignment="1">
      <alignment horizontal="left"/>
    </xf>
    <xf numFmtId="1" fontId="10" fillId="6" borderId="1" xfId="0" applyNumberFormat="1" applyFont="1" applyFill="1" applyBorder="1" applyAlignment="1">
      <alignment horizontal="left"/>
    </xf>
    <xf numFmtId="3" fontId="10" fillId="6" borderId="1" xfId="0" applyNumberFormat="1" applyFont="1" applyFill="1" applyBorder="1" applyAlignment="1">
      <alignment horizontal="left"/>
    </xf>
    <xf numFmtId="3" fontId="4" fillId="6" borderId="1" xfId="0" applyNumberFormat="1" applyFont="1" applyFill="1" applyBorder="1" applyAlignment="1">
      <alignment horizontal="left"/>
    </xf>
    <xf numFmtId="165" fontId="10" fillId="6" borderId="1" xfId="0" applyNumberFormat="1" applyFont="1" applyFill="1" applyBorder="1" applyAlignment="1">
      <alignment horizontal="left"/>
    </xf>
    <xf numFmtId="0" fontId="10" fillId="6" borderId="1" xfId="0" applyFont="1" applyFill="1" applyBorder="1" applyAlignment="1">
      <alignment horizontal="left" wrapText="1"/>
    </xf>
    <xf numFmtId="0" fontId="0" fillId="6" borderId="0" xfId="0" applyFill="1" applyAlignment="1">
      <alignment horizontal="left"/>
    </xf>
    <xf numFmtId="0" fontId="15" fillId="3" borderId="0" xfId="0" applyFont="1" applyFill="1" applyAlignment="1">
      <alignment vertical="top" wrapText="1"/>
    </xf>
    <xf numFmtId="0" fontId="10" fillId="0" borderId="0" xfId="0" applyFont="1" applyAlignment="1">
      <alignment horizontal="left" vertical="top"/>
    </xf>
    <xf numFmtId="0" fontId="10" fillId="0" borderId="0" xfId="0" applyFont="1" applyAlignment="1">
      <alignment vertical="top"/>
    </xf>
    <xf numFmtId="0" fontId="10" fillId="0" borderId="0" xfId="0" applyFont="1" applyAlignment="1">
      <alignment vertical="top" wrapText="1"/>
    </xf>
    <xf numFmtId="0" fontId="0" fillId="0" borderId="0" xfId="0" applyAlignment="1">
      <alignment vertical="top"/>
    </xf>
    <xf numFmtId="0" fontId="10" fillId="0" borderId="0" xfId="0" applyFont="1" applyAlignment="1">
      <alignment horizontal="left" vertical="top" wrapText="1"/>
    </xf>
    <xf numFmtId="0" fontId="14" fillId="0" borderId="0" xfId="2" applyAlignment="1">
      <alignment vertical="top" wrapText="1"/>
    </xf>
    <xf numFmtId="0" fontId="10" fillId="8" borderId="0" xfId="0" applyFont="1" applyFill="1" applyAlignment="1">
      <alignment vertical="top" wrapText="1"/>
    </xf>
    <xf numFmtId="0" fontId="15" fillId="3" borderId="0" xfId="0" applyFont="1" applyFill="1" applyAlignment="1">
      <alignment horizontal="left" vertical="top" wrapText="1"/>
    </xf>
    <xf numFmtId="0" fontId="15" fillId="3" borderId="0" xfId="0" applyFont="1" applyFill="1" applyAlignment="1">
      <alignment wrapText="1"/>
    </xf>
    <xf numFmtId="0" fontId="0" fillId="0" borderId="0" xfId="0" applyAlignment="1">
      <alignment wrapText="1"/>
    </xf>
    <xf numFmtId="3" fontId="10" fillId="0" borderId="0" xfId="0" applyNumberFormat="1" applyFont="1" applyAlignment="1">
      <alignment horizontal="left" vertical="top" wrapText="1"/>
    </xf>
    <xf numFmtId="17" fontId="10" fillId="0" borderId="0" xfId="0" applyNumberFormat="1" applyFont="1" applyAlignment="1">
      <alignment horizontal="left" vertical="top" wrapText="1"/>
    </xf>
    <xf numFmtId="0" fontId="10" fillId="0" borderId="0" xfId="0" applyFont="1" applyAlignment="1">
      <alignment wrapText="1"/>
    </xf>
    <xf numFmtId="0" fontId="10" fillId="8" borderId="0" xfId="0" applyFont="1" applyFill="1" applyAlignment="1">
      <alignment horizontal="left" vertical="top" wrapText="1"/>
    </xf>
    <xf numFmtId="17" fontId="10" fillId="8" borderId="0" xfId="0" applyNumberFormat="1" applyFont="1" applyFill="1" applyAlignment="1">
      <alignment horizontal="left" vertical="top" wrapText="1"/>
    </xf>
    <xf numFmtId="0" fontId="10" fillId="8" borderId="0" xfId="0" applyFont="1" applyFill="1" applyAlignment="1">
      <alignment wrapText="1"/>
    </xf>
    <xf numFmtId="0" fontId="0" fillId="0" borderId="0" xfId="0" applyAlignment="1">
      <alignment vertical="top" wrapText="1"/>
    </xf>
    <xf numFmtId="166" fontId="0" fillId="0" borderId="0" xfId="0" applyNumberFormat="1"/>
    <xf numFmtId="0" fontId="17" fillId="0" borderId="0" xfId="0" applyFont="1" applyAlignment="1">
      <alignment horizontal="left"/>
    </xf>
    <xf numFmtId="0" fontId="16" fillId="0" borderId="0" xfId="0" applyFont="1" applyAlignment="1">
      <alignment horizontal="left"/>
    </xf>
    <xf numFmtId="166" fontId="16" fillId="0" borderId="0" xfId="1" applyNumberFormat="1" applyFont="1" applyAlignment="1">
      <alignment horizontal="left"/>
    </xf>
    <xf numFmtId="0" fontId="18" fillId="0" borderId="0" xfId="0" applyFont="1" applyAlignment="1">
      <alignment horizontal="left"/>
    </xf>
    <xf numFmtId="1" fontId="16" fillId="0" borderId="0" xfId="0" applyNumberFormat="1" applyFont="1" applyAlignment="1">
      <alignment horizontal="left"/>
    </xf>
    <xf numFmtId="165" fontId="16" fillId="0" borderId="0" xfId="0" applyNumberFormat="1" applyFont="1" applyAlignment="1">
      <alignment horizontal="left"/>
    </xf>
    <xf numFmtId="3" fontId="16" fillId="0" borderId="0" xfId="0" applyNumberFormat="1" applyFont="1" applyAlignment="1">
      <alignment horizontal="left"/>
    </xf>
    <xf numFmtId="168" fontId="16" fillId="0" borderId="0" xfId="0" applyNumberFormat="1" applyFont="1" applyAlignment="1">
      <alignment horizontal="left"/>
    </xf>
    <xf numFmtId="0" fontId="19" fillId="0" borderId="0" xfId="0" applyFont="1"/>
    <xf numFmtId="0" fontId="19" fillId="0" borderId="0" xfId="0" applyFont="1" applyAlignment="1">
      <alignment wrapText="1"/>
    </xf>
    <xf numFmtId="0" fontId="0" fillId="0" borderId="0" xfId="0" pivotButton="1" applyAlignment="1">
      <alignment wrapText="1"/>
    </xf>
    <xf numFmtId="166" fontId="0" fillId="0" borderId="0" xfId="0" applyNumberFormat="1" applyAlignment="1">
      <alignment wrapText="1"/>
    </xf>
    <xf numFmtId="0" fontId="20" fillId="0" borderId="0" xfId="0" applyFont="1"/>
    <xf numFmtId="0" fontId="0" fillId="0" borderId="0" xfId="0" applyAlignment="1">
      <alignment horizontal="center" vertical="center"/>
    </xf>
    <xf numFmtId="0" fontId="0" fillId="0" borderId="0" xfId="0" applyAlignment="1">
      <alignment horizontal="center" vertical="center" wrapText="1"/>
    </xf>
    <xf numFmtId="166" fontId="0" fillId="0" borderId="0" xfId="0" applyNumberFormat="1" applyAlignment="1">
      <alignment horizontal="center" vertical="center"/>
    </xf>
    <xf numFmtId="3" fontId="0" fillId="0" borderId="0" xfId="0" applyNumberFormat="1"/>
    <xf numFmtId="0" fontId="10" fillId="0" borderId="0" xfId="0" applyFont="1" applyAlignment="1">
      <alignment horizontal="left" vertical="center"/>
    </xf>
    <xf numFmtId="0" fontId="3"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center" vertical="center"/>
    </xf>
    <xf numFmtId="1" fontId="10" fillId="0" borderId="0" xfId="0" applyNumberFormat="1" applyFont="1" applyAlignment="1">
      <alignment horizontal="center" vertical="center"/>
    </xf>
    <xf numFmtId="3" fontId="10" fillId="0" borderId="0" xfId="1" applyNumberFormat="1" applyFont="1" applyAlignment="1">
      <alignment horizontal="center" vertical="center"/>
    </xf>
    <xf numFmtId="168" fontId="10" fillId="0" borderId="0" xfId="0" applyNumberFormat="1" applyFont="1" applyAlignment="1">
      <alignment horizontal="center" vertical="center"/>
    </xf>
    <xf numFmtId="3" fontId="10" fillId="0" borderId="0" xfId="0" applyNumberFormat="1" applyFont="1" applyAlignment="1">
      <alignment horizontal="left" vertical="center"/>
    </xf>
    <xf numFmtId="165" fontId="10" fillId="0" borderId="0" xfId="0" applyNumberFormat="1" applyFont="1" applyAlignment="1">
      <alignment horizontal="left" vertical="center"/>
    </xf>
    <xf numFmtId="9" fontId="10" fillId="0" borderId="0" xfId="1" applyNumberFormat="1" applyFont="1" applyFill="1" applyAlignment="1">
      <alignment horizontal="center" vertical="center"/>
    </xf>
    <xf numFmtId="1" fontId="0" fillId="0" borderId="2" xfId="0" applyNumberFormat="1" applyBorder="1"/>
    <xf numFmtId="169" fontId="0" fillId="0" borderId="0" xfId="4" applyNumberFormat="1" applyFont="1"/>
    <xf numFmtId="1" fontId="0" fillId="0" borderId="0" xfId="0" applyNumberFormat="1"/>
    <xf numFmtId="0" fontId="23" fillId="10" borderId="0" xfId="0" applyFont="1" applyFill="1" applyAlignment="1">
      <alignment horizontal="center" vertical="center"/>
    </xf>
    <xf numFmtId="0" fontId="23" fillId="11" borderId="0" xfId="0" applyFont="1" applyFill="1" applyAlignment="1">
      <alignment horizontal="center" vertical="center"/>
    </xf>
    <xf numFmtId="0" fontId="23" fillId="12" borderId="0" xfId="0" applyFont="1" applyFill="1" applyAlignment="1">
      <alignment horizontal="center" vertical="center"/>
    </xf>
    <xf numFmtId="0" fontId="23" fillId="13" borderId="0" xfId="0" applyFont="1" applyFill="1" applyAlignment="1">
      <alignment horizontal="center" vertical="center"/>
    </xf>
    <xf numFmtId="166" fontId="23" fillId="13" borderId="0" xfId="1" applyNumberFormat="1" applyFont="1" applyFill="1" applyAlignment="1">
      <alignment horizontal="center" vertical="center"/>
    </xf>
    <xf numFmtId="0" fontId="23" fillId="4" borderId="0" xfId="0" applyFont="1" applyFill="1" applyAlignment="1">
      <alignment horizontal="center" vertical="center"/>
    </xf>
    <xf numFmtId="0" fontId="23" fillId="7" borderId="0" xfId="0" applyFont="1" applyFill="1" applyAlignment="1">
      <alignment horizontal="center" vertical="center"/>
    </xf>
    <xf numFmtId="166" fontId="23" fillId="14" borderId="0" xfId="1" applyNumberFormat="1" applyFont="1" applyFill="1" applyAlignment="1">
      <alignment horizontal="center" vertical="center"/>
    </xf>
    <xf numFmtId="166" fontId="23" fillId="15" borderId="0" xfId="1" applyNumberFormat="1" applyFont="1" applyFill="1" applyAlignment="1">
      <alignment horizontal="center" vertical="center"/>
    </xf>
    <xf numFmtId="0" fontId="23" fillId="6" borderId="0" xfId="0" applyFont="1" applyFill="1" applyAlignment="1">
      <alignment horizontal="center" vertical="center"/>
    </xf>
    <xf numFmtId="168" fontId="23" fillId="6" borderId="0" xfId="0" applyNumberFormat="1" applyFont="1" applyFill="1" applyAlignment="1">
      <alignment horizontal="center" vertical="center"/>
    </xf>
    <xf numFmtId="0" fontId="23" fillId="0" borderId="0" xfId="0" applyFont="1" applyAlignment="1">
      <alignment horizontal="center" vertical="center"/>
    </xf>
    <xf numFmtId="0" fontId="23" fillId="9" borderId="0" xfId="0" applyFont="1" applyFill="1" applyAlignment="1">
      <alignment horizontal="center" vertical="center"/>
    </xf>
    <xf numFmtId="0" fontId="16" fillId="0" borderId="0" xfId="0" applyFont="1"/>
    <xf numFmtId="3" fontId="10" fillId="0" borderId="0" xfId="0" applyNumberFormat="1" applyFont="1" applyAlignment="1">
      <alignment horizontal="center" vertical="center"/>
    </xf>
    <xf numFmtId="3" fontId="10" fillId="0" borderId="3" xfId="1" applyNumberFormat="1" applyFont="1" applyBorder="1" applyAlignment="1">
      <alignment horizontal="center" vertical="center"/>
    </xf>
    <xf numFmtId="3" fontId="10" fillId="16" borderId="0" xfId="1" applyNumberFormat="1" applyFont="1" applyFill="1" applyBorder="1" applyAlignment="1">
      <alignment horizontal="center" vertical="center"/>
    </xf>
    <xf numFmtId="0" fontId="10" fillId="0" borderId="0" xfId="0" applyFont="1" applyAlignment="1">
      <alignment horizontal="left" vertical="center" wrapText="1"/>
    </xf>
    <xf numFmtId="9" fontId="10" fillId="0" borderId="0" xfId="4" applyFont="1" applyAlignment="1">
      <alignment horizontal="center" vertical="center"/>
    </xf>
    <xf numFmtId="166" fontId="0" fillId="0" borderId="0" xfId="1" applyNumberFormat="1" applyFont="1"/>
    <xf numFmtId="4" fontId="10" fillId="0" borderId="0" xfId="1" applyNumberFormat="1" applyFont="1" applyAlignment="1">
      <alignment horizontal="center" vertical="center"/>
    </xf>
    <xf numFmtId="9" fontId="16" fillId="0" borderId="0" xfId="4" applyFont="1" applyAlignment="1">
      <alignment horizontal="left"/>
    </xf>
    <xf numFmtId="9" fontId="0" fillId="0" borderId="0" xfId="4" applyFont="1"/>
  </cellXfs>
  <cellStyles count="6">
    <cellStyle name="Comma" xfId="1" builtinId="3"/>
    <cellStyle name="Comma 2" xfId="3" xr:uid="{00000000-0005-0000-0000-000001000000}"/>
    <cellStyle name="Hyperlink" xfId="2" builtinId="8"/>
    <cellStyle name="Normal" xfId="0" builtinId="0"/>
    <cellStyle name="Normal 2" xfId="5" xr:uid="{648E28AB-6BE3-46F7-9BD5-E02AFE9A2E82}"/>
    <cellStyle name="Percent" xfId="4" builtinId="5"/>
  </cellStyles>
  <dxfs count="275">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theme="0" tint="-0.499984740745262"/>
      </font>
    </dxf>
    <dxf>
      <font>
        <color auto="1"/>
      </font>
      <fill>
        <patternFill>
          <bgColor theme="3" tint="0.79998168889431442"/>
        </patternFill>
      </fill>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theme="0" tint="-0.499984740745262"/>
      </font>
    </dxf>
    <dxf>
      <font>
        <color theme="0" tint="-0.499984740745262"/>
      </font>
    </dxf>
    <dxf>
      <font>
        <color auto="1"/>
      </font>
      <fill>
        <patternFill>
          <bgColor theme="3" tint="0.79998168889431442"/>
        </patternFill>
      </fill>
    </dxf>
    <dxf>
      <font>
        <color theme="0" tint="-0.499984740745262"/>
      </font>
    </dxf>
    <dxf>
      <font>
        <color auto="1"/>
      </font>
      <fill>
        <patternFill>
          <bgColor theme="3" tint="0.79998168889431442"/>
        </patternFill>
      </fill>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theme="0" tint="-0.499984740745262"/>
      </font>
    </dxf>
    <dxf>
      <font>
        <color auto="1"/>
      </font>
      <fill>
        <patternFill>
          <bgColor theme="3" tint="0.79998168889431442"/>
        </patternFill>
      </fill>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auto="1"/>
      </font>
      <fill>
        <patternFill>
          <bgColor theme="3" tint="0.79998168889431442"/>
        </patternFill>
      </fill>
    </dxf>
    <dxf>
      <font>
        <color theme="0" tint="-0.499984740745262"/>
      </font>
    </dxf>
    <dxf>
      <font>
        <color theme="0" tint="-0.499984740745262"/>
      </font>
    </dxf>
    <dxf>
      <font>
        <color theme="0" tint="-0.499984740745262"/>
      </font>
    </dxf>
    <dxf>
      <font>
        <color theme="0" tint="-0.499984740745262"/>
      </font>
    </dxf>
    <dxf>
      <font>
        <color auto="1"/>
      </font>
      <fill>
        <patternFill>
          <bgColor theme="3"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numFmt numFmtId="3" formatCode="#,##0"/>
    </dxf>
    <dxf>
      <numFmt numFmtId="1" formatCode="0"/>
      <border diagonalUp="0" diagonalDown="0">
        <left/>
        <right/>
        <top/>
        <bottom style="hair">
          <color auto="1"/>
        </bottom>
        <vertical/>
        <horizontal/>
      </border>
    </dxf>
    <dxf>
      <numFmt numFmtId="3" formatCode="#,##0"/>
    </dxf>
    <dxf>
      <numFmt numFmtId="3" formatCode="#,##0"/>
    </dxf>
    <dxf>
      <numFmt numFmtId="3" formatCode="#,##0"/>
    </dxf>
    <dxf>
      <numFmt numFmtId="3" formatCode="#,##0"/>
    </dxf>
    <dxf>
      <numFmt numFmtId="166" formatCode="_(* #,##0_);_(* \(#,##0\);_(* &quot;-&quot;??_);_(@_)"/>
    </dxf>
    <dxf>
      <numFmt numFmtId="166" formatCode="_(* #,##0_);_(* \(#,##0\);_(* &quot;-&quot;??_);_(@_)"/>
    </dxf>
    <dxf>
      <numFmt numFmtId="166" formatCode="_(* #,##0_);_(* \(#,##0\);_(* &quot;-&quot;??_);_(@_)"/>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dxf>
    <dxf>
      <alignment wrapText="0"/>
    </dxf>
    <dxf>
      <alignment wrapText="0"/>
    </dxf>
    <dxf>
      <alignment wrapText="0"/>
    </dxf>
    <dxf>
      <alignment wrapText="0"/>
    </dxf>
    <dxf>
      <alignment wrapText="1"/>
    </dxf>
    <dxf>
      <alignment wrapText="1"/>
    </dxf>
    <dxf>
      <alignment wrapText="1"/>
    </dxf>
    <dxf>
      <alignment wrapText="1"/>
    </dxf>
    <dxf>
      <alignment wrapText="1"/>
    </dxf>
    <dxf>
      <numFmt numFmtId="166" formatCode="_(* #,##0_);_(* \(#,##0\);_(* &quot;-&quot;??_);_(@_)"/>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dxf>
    <dxf>
      <alignment wrapText="0"/>
    </dxf>
    <dxf>
      <alignment wrapText="0"/>
    </dxf>
    <dxf>
      <alignment wrapText="0"/>
    </dxf>
    <dxf>
      <alignment wrapText="1"/>
    </dxf>
    <dxf>
      <alignment wrapText="1"/>
    </dxf>
    <dxf>
      <alignment wrapText="1"/>
    </dxf>
    <dxf>
      <alignment wrapText="1"/>
    </dxf>
    <dxf>
      <numFmt numFmtId="166" formatCode="_(* #,##0_);_(* \(#,##0\);_(* &quot;-&quot;??_);_(@_)"/>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0"/>
        <name val="Arial"/>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numFmt numFmtId="168" formatCode="d/mmm/yyyy"/>
      <alignment horizontal="center" vertical="center" textRotation="0" wrapText="0" indent="0" justifyLastLine="0" shrinkToFit="0" readingOrder="0"/>
    </dxf>
    <dxf>
      <font>
        <strike val="0"/>
        <outline val="0"/>
        <shadow val="0"/>
        <u val="none"/>
        <vertAlign val="baseline"/>
        <sz val="10"/>
        <name val="Arial"/>
        <family val="2"/>
        <scheme val="none"/>
      </font>
      <numFmt numFmtId="168" formatCode="d/mmm/yyyy"/>
      <alignment horizontal="center"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numFmt numFmtId="1" formatCode="0"/>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numFmt numFmtId="0" formatCode="General"/>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general" vertical="center" textRotation="0" wrapText="0" indent="0" justifyLastLine="0" shrinkToFit="0" readingOrder="0"/>
    </dxf>
    <dxf>
      <font>
        <strike val="0"/>
        <outline val="0"/>
        <shadow val="0"/>
        <u val="none"/>
        <vertAlign val="baseline"/>
        <sz val="10"/>
        <name val="Arial"/>
        <family val="2"/>
        <scheme val="none"/>
      </font>
      <numFmt numFmtId="0" formatCode="General"/>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n, Andrea @ Hong Kong" refreshedDate="46310.620841898148" missingItemsLimit="0" createdVersion="4" refreshedVersion="8" minRefreshableVersion="3" recordCount="293" xr:uid="{00000000-000A-0000-FFFF-FFFF09000000}">
  <cacheSource type="worksheet">
    <worksheetSource name="Table1"/>
  </cacheSource>
  <cacheFields count="48">
    <cacheField name="Chinese Name" numFmtId="0">
      <sharedItems containsBlank="1"/>
    </cacheField>
    <cacheField name="Building Name" numFmtId="0">
      <sharedItems containsBlank="1" count="293">
        <s v="One Island East"/>
        <s v="International Commerce Centre Phase 1"/>
        <s v="Kowloon Commerce Centre Tower A"/>
        <s v="Exchange Tower"/>
        <s v="Manhattan Place"/>
        <s v="One &amp; Two Landmark East"/>
        <s v="AIA Financial Centre"/>
        <s v="International Commerce Centre Phase 2"/>
        <s v="Billion Centre"/>
        <s v="Crocodile Centre"/>
        <s v="C-Bons International Centre (formerly: One Harbour East)"/>
        <s v="The Cameron"/>
        <s v="Legend Tower"/>
        <s v="International Commerce Centre Phase 3"/>
        <s v="Kerry Centre"/>
        <s v="Excel Centre"/>
        <s v="50 Connaught Road Central"/>
        <s v="One Island South"/>
        <s v="18 Kowloon East (Po Lung Centre redevelopment)"/>
        <s v="MG Tower"/>
        <s v="16 Hart Avenue"/>
        <s v="LHT Tower"/>
        <s v="Prosperity Tower (Dragon Seed Building redevelopment)"/>
        <s v="Hysan Place"/>
        <s v="King Palace Plaza (55 King Yip Street)"/>
        <s v="28 Hennessy Road"/>
        <s v="Elite Centre"/>
        <s v="CCB Tower"/>
        <s v="One Pacific Centre (414 Kwun Tong Road)"/>
        <s v="Kowloon Commerce Centre Tower B"/>
        <s v="8 Queen's Road East"/>
        <s v="38 Heung Yip Road (20 Wong Chuk Hang Road)"/>
        <s v="49 King Yip Street"/>
        <s v="6 Wang Kwong Road"/>
        <s v="One Sheung Yuet Road"/>
        <s v="181 Hoi Bun Road"/>
        <s v="Rykaden Capital Tower (135 Hoi Bun Road)"/>
        <s v="Exchange Square - The Forum"/>
        <s v="Global Trade Square"/>
        <s v="33 Des Voeux Road Central"/>
        <s v="Billion Plaza II (Lee Hang Building redevelopment) "/>
        <s v="Wong Tsz Building"/>
        <s v="Pioneer Place"/>
        <s v="South Asia Commercial Centre"/>
        <s v="Hung To Centre"/>
        <s v="The Octagon"/>
        <s v="Southland Building"/>
        <s v="The Wellington"/>
        <s v="10 Shing Yip Street"/>
        <s v="The Mark"/>
        <s v="Genesis Centre"/>
        <s v="Maxim's Centre"/>
        <s v="15 Chong Yip Street"/>
        <s v="56 Tsun Yip Street"/>
        <s v="SML Tower"/>
        <s v="KC100"/>
        <s v="W50"/>
        <s v="KOHO"/>
        <s v="The Rays"/>
        <s v="One Bay East (Citi Tower &amp; Manulife Tower)"/>
        <s v="8 Observatory Road"/>
        <s v="Tower 535"/>
        <s v="41 Heung Yip Road"/>
        <s v="Vertical Sq"/>
        <s v="Kings Wing Plaza 1"/>
        <s v="Shanghai Commercial Bank Tower"/>
        <s v="One HarbourGate"/>
        <s v="3 Tai Yau Street (萬迪廣場)"/>
        <s v="Kings Wing Plaza 2"/>
        <s v="Chinachem Central I"/>
        <s v="Big Star Centre"/>
        <s v="Goldin Financial Global Centre"/>
        <s v="133 Wai Yip Street"/>
        <s v="38 Southside"/>
        <s v="New Bright Building (Centre Parc)"/>
        <s v="Chinachem Central II"/>
        <s v="18 King Wah Road"/>
        <s v="The APEX - Harbourfront (One Harbourfront Extension)"/>
        <s v="Two Harbour Square"/>
        <s v="Atelier (K11 Office)"/>
        <s v="Lee Garden Three"/>
        <s v="33-49 Des Voeux Road West"/>
        <s v="Kingston International Centre"/>
        <s v="Port 33"/>
        <s v="Yien Yieh Commercial Building redevelopment"/>
        <s v="CDW Building (Revitalisation)"/>
        <s v="The Hub (Cavendish Centre Revitalisation)"/>
        <s v="China Shipbuilding Tower"/>
        <s v="Hong Kong Pacific Tower"/>
        <s v="Mapletree Bay Point"/>
        <s v="The Mills Fabrica"/>
        <s v="H Code"/>
        <s v="One Taikoo Place (Taikoo Place Phase 2A redevelopment Somerset House redevelopment)"/>
        <s v="South Island Place"/>
        <s v="43 Tsun Yip Street"/>
        <s v="One Hennessy"/>
        <s v="NEO"/>
        <s v="K83"/>
        <s v="43 Heung Yip Road"/>
        <s v="38 Wai Yip Street"/>
        <s v="The Quayside"/>
        <s v="Alexander House Top Floor"/>
        <s v="Harbour East"/>
        <s v="The Gateway - Sun Life Tower Extension"/>
        <s v="K11 ATELIER King's Road"/>
        <s v="Kam Shan Building redevelopment"/>
        <s v="162 Queen's Road Central"/>
        <s v="LKF Hotel Redevelopment"/>
        <s v="Junction of Castle Peak Road and Kin Chuen Street"/>
        <s v="35 QRC"/>
        <s v="Central Plaza Annex"/>
        <s v="Park Aura"/>
        <s v="Queen's Road Centre"/>
        <s v="Plaza 88"/>
        <s v="W LUXE"/>
        <s v="1 Kwai On Street"/>
        <s v="Marina 8"/>
        <s v="Island Pacific Hotel redevelopment"/>
        <s v="International Enterprise Centre III"/>
        <s v="81 Lockhart Road"/>
        <s v="Rykadan One"/>
        <s v="NCB Innovation Centre"/>
        <s v="1 Irving Street"/>
        <s v="14 Wong Chuk Hang Road (ex E-on Factory)"/>
        <s v="One Continental"/>
        <s v="International Enterprise Centre I"/>
        <s v="11 SKIES"/>
        <s v="Boton Technology Innovation Tower"/>
        <s v="Two Taikoo Place"/>
        <s v="88WL"/>
        <s v="Landmark South"/>
        <s v="AIRSIDE"/>
        <s v="Global Plaza"/>
        <s v="S22"/>
        <s v="The Millennity"/>
        <s v="Four Seas Group Centre (The Vision)"/>
        <s v="One North"/>
        <s v="Plaza 228"/>
        <s v="Regency Centre Phase 1"/>
        <s v="Orient International Tower (Global Commerce City 3)"/>
        <s v="Ex-Mee Wah Factory Building"/>
        <s v="228 Electric Road"/>
        <s v="The Burrow"/>
        <s v="83 Wing Hong Street"/>
        <s v="163 QRE"/>
        <s v="The Twins"/>
        <s v="83 King Lam Street"/>
        <s v="43 Shing Kai Road"/>
        <s v="First Group Centre"/>
        <s v="Horizon Sea"/>
        <s v="3-6 Glenealy"/>
        <s v="One Bedford Place"/>
        <s v="The Henderson"/>
        <s v="AIA Building"/>
        <s v="Six Pacific Place"/>
        <s v="Viva Place"/>
        <s v="Cheung Kong Center II"/>
        <s v="KTR350"/>
        <s v="39 Sha Tsui Road"/>
        <s v="Global Commerce City 1"/>
        <s v="Global Commerce City 2"/>
        <s v="Tak Shing House"/>
        <s v="China Merchants Plaza"/>
        <s v="International Gateway Centre (IGC)"/>
        <s v="THE CENDAS"/>
        <s v="One Causeway Bay"/>
        <s v="Central Crossing"/>
        <s v="Kai Tak Area 2A Site 2 (Lung Tsun Stone Bridge and Preservation Corridor) &amp; 2A Site 3"/>
        <s v="ex-Man Shung Industrial Building"/>
        <s v="ex-Hsin Chong Centre"/>
        <s v="Lee Garden Eight"/>
        <s v="92-103A Connaught Road West"/>
        <s v="Crystal Tower"/>
        <s v="Central Yards Phase 1"/>
        <s v="212-232 Des Voeux Road Central"/>
        <s v="Hankow 33"/>
        <m/>
        <s v="Tung Wah Mansion redevelopment"/>
        <s v="822 Lai Chi Kok Road"/>
        <s v="Novotel Hong Kong Nathan Road Kowloon redevelopment"/>
        <s v="132 Wai Yip Street"/>
        <s v="ex-Conic Investment Tower"/>
        <s v="Artist Square Towers"/>
        <s v="Tin Fung Industrial Mansion Redevelopment"/>
        <s v="Tung Chung Area 57"/>
        <s v="11-21 Nanking Street"/>
        <s v="Redevelopment of DCH Building"/>
        <s v="State Theatre Composite Development"/>
        <s v="ex-Koon Wah Building"/>
        <s v="New Henry House redevelopment"/>
        <s v="470-472 Hennessy Road"/>
        <s v="Gee Luen Hing Industrial Building Redevelopment"/>
        <s v="875-877 Lai Chi Kok Road and adjoining Government land"/>
        <s v="59-63 Chai Wan Kok Street"/>
        <s v="Junction of On Sum Street and On Ping Street, Shek Mun, Sha Tin, New Territories"/>
        <s v="Skyway House Redevelopment"/>
        <s v="Green Heart"/>
        <s v="Kiu Tau Wai integrated project"/>
        <s v="Zung Fu Industrial Building and Wah Ha Factory Building redevelopment"/>
        <s v="Central Yards Phase 2"/>
        <s v="Golden Horse Mansion redevelopment"/>
        <s v="Action Area 1"/>
        <s v="Junction of Wang Chin Street, Wang Kee Street &amp; Lam Lee Street"/>
        <s v="Mariner's Club redevelopment"/>
        <s v="Central Harbour Reclamation Site 5 (North of Citic Tower)"/>
        <s v="Tai Chi Factory Building redevelopment"/>
        <s v="9-13 Luk Hop Street"/>
        <s v="Des Voeux Commercial Centre Redevelopment"/>
        <s v="The Chinese Bank Building and Chinachem Tower redevelopment"/>
        <s v="Kai Tak Area 2A Site 10 (Commercial Belt)"/>
        <s v="Kai Tak Area 2A Site 4 (Commercial Belt)"/>
        <s v="Kai Tak Area 2A Site 5B (Commercial Belt)"/>
        <s v="Kowloon Godown - Part 1"/>
        <s v="Kowloon Godown - Part 2"/>
        <s v="Kowloon Godown - Part 3"/>
        <s v="Site of Red Cross Headquarter &amp; Harcourt Road Pumping Station"/>
        <s v="Kai Tak Area 2A Site 3 (Commercial Belt)"/>
        <s v="Yip On Factory Estate Block 1"/>
        <s v="Yip On Factory Estate Block 2"/>
        <s v="Kwun Tong Town Centre (Site 4 &amp; 5)"/>
        <s v="Leisun Court/ Lei ha Court Caroline hill court/ Lei wan court/ Lei Ka Court redevelopment"/>
        <s v="AIA Hong Kong Tower redevelopment"/>
        <s v="Queensway Plaza redevelopment"/>
        <s v="Hoi Yu Street development"/>
        <s v="Shun Fat Building redevelopment"/>
        <s v="Hoi Wan Building and Sea View Building redevelopment"/>
        <s v="China Travel Hip Kee Godown Co. (HK) Ltd Godown No. 1"/>
        <s v="China Travel Hip Kee Godown Co. (HK) Ltd Godown No. 2"/>
        <s v="Harbourfront Horizon Suites"/>
        <s v="Harbourview Horizon Suites"/>
        <s v="Benefit Industrial Factory Building"/>
        <s v="Kai Tak Area 1D Site 2 (Former North Apron)"/>
        <s v="Kai Tak City Centre (Runway) Site 4C4"/>
        <s v="ex-Shui Hing Centre"/>
        <s v="Kai Tak City Centre (Runway) Site 4C5"/>
        <s v="KITEC Redevelopment"/>
        <s v="Site 2-EPD’s Waste Recycling Centre"/>
        <s v="Site 4-TD’s Vehicle Examination Centres (Above EFLS Station)"/>
        <s v="ex-Kerry D.G. Warehouse (Kowloon Bay)"/>
        <s v="Yip Fat Factory Building Redevelopment (Block 1)"/>
        <s v="Yip Fat Factory Building redevelopment (Block 2)"/>
        <s v="Lucky Building redevelopment"/>
        <s v="Garden Centre redevelopment"/>
        <s v="Kwun Tong Action Area"/>
        <s v="West Kowloon Cultural District (ALL)"/>
        <s v="West Kowloon Cultural District, OU(MU)3"/>
        <s v="West Kowloon Cultural District, OU(MU)4"/>
        <s v="West Kowloon Cultural District, OU(MU)5"/>
        <s v="West Kowloon Cultural District, OU(MU)6"/>
        <s v="West Kowloon Cultural District, OU(MU)7"/>
        <s v="ACE project"/>
        <s v="Wan Chai Sports Ground redevelopment"/>
        <s v="Kai Tak City Centre (Runway) Site 4B5"/>
        <s v="High Court Redevelopment"/>
        <s v="48-94 Pan Hoi Street"/>
        <s v="983-987A King's Road &amp; 16-46 Pan Hoi Street"/>
        <s v="128-130 Leighton Road Redevelopment"/>
        <s v="54-76 Percival Street, 5-27 Lee Garden Road, 60 Russell Street"/>
        <s v="Leighton Centre redevelopment"/>
        <s v="One Hysan Avenue redevelopment"/>
        <s v="Crawford House redevelopment"/>
        <s v="Water Supplies Department Hong Kong Redevelopment"/>
        <s v="Kam Hoi Mansion"/>
        <s v="Chung Kong Road (Sheung Wan Bus Terminus site adjacent to Shun Tak Centre)"/>
        <s v="Rumsey Street Car Park redevelopment"/>
        <s v="ex-Wan Chai Police Station cum Wan Chai Police Married Quarters redevlopment"/>
        <s v="Wan Chai Government Towers and Kong Wan Fire Station redevelopment"/>
        <s v="Kai Tak Area 1M Site 1 (Riverside Plaza)"/>
        <s v="Kai Tak Area 2A Site 1 (Lung Tsun Stone Bridge and Preservation Corridor)"/>
        <s v="Kai Tak City Centre (South Apron) Site 3A6"/>
        <s v="Kai Tak City Centre (South Apron) Site 3B1"/>
        <s v="Kai Tak City Centre (South Apron) Site 3B2"/>
        <s v="Kai Tak City Centre (South Apron) Site 3B3"/>
        <s v="Kai Tak City Centre (South Apron) Site 3B4"/>
        <s v="Kai Tak Site 4D2 Tourism Node"/>
        <s v="Wang Chin Street"/>
        <s v="Cha Kwo Ling Road"/>
        <s v="Lai Yip Street Site"/>
        <s v="Ex-Mong Kok Market redevelopment"/>
        <s v="Lantau Reclamation"/>
        <s v="Tung Chung Area 6"/>
        <s v="Tung Chung East New Town Extension (Other than Area 57)"/>
        <s v="Gala Place - redevelopment"/>
        <s v="Dah Chong Motor Services Centre"/>
        <s v="Crowne Plaza Hong Kong Causeway Bay Redevelopment"/>
        <s v="299 QRC Redevelopment"/>
        <s v="ex-Camelpaint Centre"/>
        <s v="Far East Factory Building &amp; Room Kwun Tong redevelopment"/>
        <s v="OCTA Tower redevelopment"/>
        <s v="712 Prince Edward Road East/112 King Fuk Street"/>
        <s v="7-9 Pat Tat Street"/>
        <s v="Stelux House redevelopment"/>
        <s v="2 Hung To Road"/>
      </sharedItems>
    </cacheField>
    <cacheField name="Street Name" numFmtId="0">
      <sharedItems containsBlank="1"/>
    </cacheField>
    <cacheField name="Lot No." numFmtId="0">
      <sharedItems containsBlank="1"/>
    </cacheField>
    <cacheField name="CBRE sub-markets" numFmtId="0">
      <sharedItems count="26">
        <s v="Quarry Bay"/>
        <s v="Tsim Sha Tsui West"/>
        <s v="Kwai Chung &amp; Tsuen Wan"/>
        <s v="Kowloon Bay"/>
        <s v="Kwun Tong"/>
        <s v="San Po Kong"/>
        <s v="Tsim Sha Tsui"/>
        <s v="Cheung Sha Wan"/>
        <s v="Central"/>
        <s v="Wong Chuk Hang"/>
        <s v="Causeway Bay"/>
        <s v="Wan Chai"/>
        <s v="Sheung Wan"/>
        <s v="Ngau Tau Kok"/>
        <s v="Sha Tin"/>
        <s v="Hung Hom"/>
        <s v="North Point"/>
        <s v="Tung Chung"/>
        <s v="Kai Tak"/>
        <s v="Yuen Long"/>
        <s v="Mong Kok"/>
        <s v="Jordan"/>
        <s v="Admiralty"/>
        <s v="Sham Shui Po"/>
        <s v="Lantau"/>
        <s v="Ap Lei Chau"/>
      </sharedItems>
    </cacheField>
    <cacheField name="CBRE districts" numFmtId="0">
      <sharedItems count="11">
        <s v="Hong Kong East"/>
        <s v="Tsim Sha Tsui West"/>
        <s v="New Territories"/>
        <s v="Kowloon East"/>
        <s v="Kowloon Others"/>
        <s v="Tsim Sha Tsui"/>
        <s v="Central"/>
        <s v="Wong Chuk Hang"/>
        <s v="Wan Chai &amp; Causeway Bay"/>
        <s v="Admiralty &amp; Sheung Wan"/>
        <s v="Ap Lei Chau"/>
      </sharedItems>
    </cacheField>
    <cacheField name="District Order" numFmtId="0">
      <sharedItems containsSemiMixedTypes="0" containsString="0" containsNumber="1" containsInteger="1" minValue="1" maxValue="9" count="9">
        <n v="4"/>
        <n v="6"/>
        <n v="9"/>
        <n v="7"/>
        <n v="8"/>
        <n v="1"/>
        <n v="5"/>
        <n v="3"/>
        <n v="2"/>
      </sharedItems>
    </cacheField>
    <cacheField name="Area" numFmtId="0">
      <sharedItems count="3">
        <s v="Hong Kong Island"/>
        <s v="Kowloon"/>
        <s v="New Territories"/>
      </sharedItems>
    </cacheField>
    <cacheField name="Year" numFmtId="0">
      <sharedItems containsBlank="1" containsMixedTypes="1" containsNumber="1" containsInteger="1" minValue="2008" maxValue="2033" count="37">
        <n v="2008"/>
        <n v="2009"/>
        <n v="2010"/>
        <n v="2011"/>
        <n v="2012"/>
        <n v="2013"/>
        <n v="2014"/>
        <n v="2015"/>
        <n v="2016"/>
        <n v="2017"/>
        <n v="2018"/>
        <n v="2019"/>
        <n v="2020"/>
        <n v="2021"/>
        <n v="2022"/>
        <n v="2023"/>
        <n v="2024"/>
        <n v="2025"/>
        <n v="2026"/>
        <n v="2027"/>
        <n v="2028"/>
        <n v="2029"/>
        <n v="2030"/>
        <n v="2032"/>
        <s v="2022-2026"/>
        <s v="2023-2027"/>
        <s v="2024-2028"/>
        <s v="2025-2029"/>
        <s v="2026-2030"/>
        <s v="2027+"/>
        <n v="2033"/>
        <s v="2029-2033"/>
        <s v="2030+"/>
        <s v="2033+"/>
        <s v="2034+"/>
        <s v="TBC"/>
        <m/>
      </sharedItems>
    </cacheField>
    <cacheField name="Qtr" numFmtId="0">
      <sharedItems containsString="0" containsBlank="1" containsNumber="1" containsInteger="1" minValue="1" maxValue="4" count="5">
        <n v="1"/>
        <n v="2"/>
        <n v="3"/>
        <n v="4"/>
        <m/>
      </sharedItems>
    </cacheField>
    <cacheField name="CBRE EDC" numFmtId="1">
      <sharedItems/>
    </cacheField>
    <cacheField name="Type" numFmtId="0">
      <sharedItems containsBlank="1" count="4">
        <s v="A Office"/>
        <s v="B Office"/>
        <s v="Revitalization"/>
        <m/>
      </sharedItems>
    </cacheField>
    <cacheField name="Status" numFmtId="0">
      <sharedItems containsBlank="1" count="5">
        <s v="Completed"/>
        <s v="Taken out"/>
        <s v="Valid"/>
        <s v="Potential"/>
        <m/>
      </sharedItems>
    </cacheField>
    <cacheField name="No. of Blocks" numFmtId="0">
      <sharedItems containsBlank="1" containsMixedTypes="1" containsNumber="1" containsInteger="1" minValue="1" maxValue="5"/>
    </cacheField>
    <cacheField name="No. of Storeys" numFmtId="0">
      <sharedItems containsBlank="1" containsMixedTypes="1" containsNumber="1" minValue="1" maxValue="60"/>
    </cacheField>
    <cacheField name="No. of Storeys for Office" numFmtId="0">
      <sharedItems containsBlank="1" containsMixedTypes="1" containsNumber="1" minValue="1" maxValue="62"/>
    </cacheField>
    <cacheField name="Floor Plate (GFA) (sf)" numFmtId="3">
      <sharedItems containsBlank="1" containsMixedTypes="1" containsNumber="1" minValue="1035.6371999999999" maxValue="59262.278399999996"/>
    </cacheField>
    <cacheField name="Floor Plate (NFA) (sf)" numFmtId="3">
      <sharedItems containsBlank="1" containsMixedTypes="1" containsNumber="1" minValue="776.72789999999986" maxValue="44446.708799999993" count="247">
        <n v="23000"/>
        <n v="29640"/>
        <n v="13063.908000000001"/>
        <n v="18503.315999999999"/>
        <n v="13805.268292682927"/>
        <n v="11238.961499999999"/>
        <n v="6128.0249333333331"/>
        <n v="27300"/>
        <n v="23151.879987385582"/>
        <n v="7922.199999999998"/>
        <n v="9348.4048320000002"/>
        <n v="2297.3704195936966"/>
        <n v="13875"/>
        <n v="25740"/>
        <n v="12962.543103448277"/>
        <n v="4253.4981572481574"/>
        <n v="4380.295357142857"/>
        <n v="15856.037193548387"/>
        <n v="16720"/>
        <n v="17891.16"/>
        <n v="776.72789999999986"/>
        <n v="3781.8214285714284"/>
        <n v="3532.2586838709672"/>
        <n v="14610.111552484263"/>
        <n v="7587.2749999999996"/>
        <n v="4400.125"/>
        <n v="8906.25"/>
        <n v="5610.1569333333327"/>
        <n v="5243.040232258064"/>
        <n v="19500"/>
        <n v="3340.5"/>
        <n v="4500"/>
        <n v="3877.3103524096991"/>
        <n v="8128.2727272727279"/>
        <n v="6167.4784363636354"/>
        <n v="13140"/>
        <n v="7079.8559999999998"/>
        <n v="10000"/>
        <n v="7275"/>
        <n v="1912.2222222222224"/>
        <n v="5551.3288551724136"/>
        <m/>
        <n v="17320.050000000003"/>
        <n v="11285.74"/>
        <n v="793.30679999999995"/>
        <n v="1857.6808137931032"/>
        <n v="8657"/>
        <n v="7690.5"/>
        <n v="4803.583333333333"/>
        <n v="5597.5418270270266"/>
        <n v="10200"/>
        <n v="17307.692307692309"/>
        <n v="3135"/>
        <n v="12889.0625"/>
        <n v="16533.914057142854"/>
        <n v="6743.7999999999993"/>
        <n v="8198.4"/>
        <n v="7633.6"/>
        <n v="5287.5"/>
        <n v="9946"/>
        <n v="2964.5"/>
        <n v="14965"/>
        <n v="12889"/>
        <n v="11822.534842917816"/>
        <n v="1542.3556499709716"/>
        <n v="14065.5"/>
        <n v="17765.68392857143"/>
        <n v="10670"/>
        <n v="1913.1856714285714"/>
        <n v="12750"/>
        <n v="17204.419999999998"/>
        <n v="17130.78"/>
        <n v="20612.25"/>
        <n v="16016"/>
        <n v="3999.1548999999995"/>
        <n v="22769.600000000002"/>
        <n v="9939.75"/>
        <n v="984.75753103448267"/>
        <n v="30152.374875000001"/>
        <n v="10283.25"/>
        <n v="7132.6711111111117"/>
        <n v="11857.68"/>
        <n v="28779.073684210529"/>
        <n v="13000"/>
        <n v="22199.100000000002"/>
        <n v="13792.795652173912"/>
        <n v="5400.2026928571431"/>
        <n v="9595.5"/>
        <n v="21219.545454545456"/>
        <n v="4409.3957142857143"/>
        <n v="5522.2139503440003"/>
        <n v="9030.75"/>
        <n v="20057.968500000003"/>
        <n v="10373"/>
        <n v="4565"/>
        <n v="19110"/>
        <n v="17470.078664627301"/>
        <n v="2883.0657654166666"/>
        <n v="1628.3986716666668"/>
        <n v="1486.5"/>
        <n v="6036"/>
        <n v="1226.7120034615384"/>
        <n v="1620.6547499999999"/>
        <n v="16247.699999999999"/>
        <n v="6108"/>
        <n v="2232.4328599999999"/>
        <n v="3651.9221725000002"/>
        <n v="4227.306446999999"/>
        <n v="8573.6"/>
        <n v="3934.5"/>
        <n v="3639.9230769230771"/>
        <s v="15670-18470"/>
        <n v="1876.1047143999997"/>
        <n v="5103.7505999999994"/>
        <n v="6542.1111111111113"/>
        <n v="20085.714285714286"/>
        <n v="6308.44921875"/>
        <n v="20394"/>
        <n v="1717.9632895833331"/>
        <n v="6504.6942307692316"/>
        <s v="25,200/37,900"/>
        <n v="15570"/>
        <n v="5341"/>
        <s v="14,775/8,850"/>
        <n v="11151.75"/>
        <n v="12836.538461538461"/>
        <n v="4265.71875"/>
        <n v="6338.5714285714275"/>
        <n v="7273.5"/>
        <n v="3412.5"/>
        <n v="4410.3571428571431"/>
        <n v="11250"/>
        <n v="2299.6130508750002"/>
        <n v="15522.170454545454"/>
        <s v="24,400/12,306"/>
        <n v="15172.194374999999"/>
        <n v="10756.5"/>
        <n v="2522.1547612499999"/>
        <n v="5655"/>
        <n v="4338.1379699279996"/>
        <s v="11,625; 13,950"/>
        <n v="10609.213787083332"/>
        <s v="6,480-6,930"/>
        <s v="8,707/9,690"/>
        <n v="13148"/>
        <n v="7509.4671266999994"/>
        <n v="6201.7222222222226"/>
        <n v="4721.25"/>
        <n v="6290.25"/>
        <n v="6735.0441176470595"/>
        <s v="25,500-27,750/ 23,250-24,750"/>
        <n v="19297.266651764709"/>
        <n v="17600"/>
        <n v="8936.5226785714294"/>
        <n v="11956.920299999998"/>
        <n v="4472.7233670000005"/>
        <n v="5296.6908000000003"/>
        <s v="38,000-39,000/10,500-10,800"/>
        <n v="9858.8437055062495"/>
        <n v="6634.2857142857147"/>
        <s v="44,000-52,000"/>
        <n v="5408.9889168000009"/>
        <n v="5113.5"/>
        <n v="4365.3594444444443"/>
        <n v="6917.7004815749988"/>
        <n v="2801.5186700735294"/>
        <s v="8,250/3,900"/>
        <n v="12923.924932692307"/>
        <n v="13200"/>
        <n v="12225"/>
        <s v="22,066/26,910"/>
        <n v="6375"/>
        <n v="16060.431291071427"/>
        <n v="3950"/>
        <n v="1604.5745730000001"/>
        <n v="4436.25"/>
        <n v="2884.7519999999995"/>
        <n v="3201.6615080624997"/>
        <n v="12781.942881749997"/>
        <n v="16604.845140566038"/>
        <n v="14830.998"/>
        <n v="44000"/>
        <n v="19131.626057142854"/>
        <n v="6727.5"/>
        <n v="10623.491357142857"/>
        <n v="4340.2345583624992"/>
        <n v="4920.4800791999996"/>
        <n v="16415.099999999999"/>
        <n v="17626.05"/>
        <n v="9079.4340000000011"/>
        <n v="17851.971878343749"/>
        <n v="18947.625222881248"/>
        <n v="13414.496920124997"/>
        <n v="5651.1"/>
        <n v="11563.119359999999"/>
        <n v="14628.140099999999"/>
        <n v="14077.566615"/>
        <n v="18164.081249999999"/>
        <n v="8999.9551236000007"/>
        <n v="17477.882625000002"/>
        <n v="14477.4455"/>
        <n v="9779.25"/>
        <n v="33360.741568269223"/>
        <n v="14317.813474137931"/>
        <n v="8238.75"/>
        <n v="22839.48576"/>
        <n v="17034.098310000001"/>
        <n v="7302.2297600000002"/>
        <n v="12080.288160000002"/>
        <n v="7500"/>
        <n v="31101.212659999997"/>
        <n v="31217.701977777779"/>
        <n v="18750"/>
        <n v="7458.8135587874986"/>
        <n v="3759.5611724999994"/>
        <n v="8344.4215256999996"/>
        <n v="22215.397932"/>
        <n v="9696.5516759999991"/>
        <n v="15426.981256640624"/>
        <n v="8094.604885714285"/>
        <n v="4117.6605599999994"/>
        <n v="5315.91525"/>
        <n v="18971.25"/>
        <n v="14700"/>
        <n v="15441.573085714284"/>
        <n v="17663.723999999998"/>
        <n v="3190.4495999999999"/>
        <n v="26909.999999999996"/>
        <n v="19908.017999999996"/>
        <n v="32820.350939999997"/>
        <n v="23303.651287499997"/>
        <n v="15631.335579999999"/>
        <n v="8942.3790224999975"/>
        <n v="12493.658730000001"/>
        <n v="8799.7573475000008"/>
        <n v="44446.708799999993"/>
        <n v="4650.0047999999997"/>
        <n v="15572.816999999999"/>
        <n v="9225.9286411764697"/>
        <n v="3699.6944399999998"/>
        <n v="14170.717414750005"/>
        <n v="14529.375"/>
        <n v="4826.2060756349993"/>
        <n v="2606.4039214285708"/>
        <n v="7938.2686109999995"/>
        <n v="9104.7313106249985"/>
        <n v="1647.5372120454545"/>
      </sharedItems>
    </cacheField>
    <cacheField name="Floor Plate &gt; 15,000 sf (NFA)" numFmtId="0">
      <sharedItems count="3">
        <s v="Yes"/>
        <s v="No"/>
        <s v="Unknown"/>
      </sharedItems>
    </cacheField>
    <cacheField name="Total GFA (sm)" numFmtId="3">
      <sharedItems containsString="0" containsBlank="1" containsNumber="1" minValue="2944.26" maxValue="348570.68534638931"/>
    </cacheField>
    <cacheField name="Total GFA (sf)" numFmtId="3">
      <sharedItems containsString="0" containsBlank="1" containsNumber="1" minValue="10373" maxValue="3751980"/>
    </cacheField>
    <cacheField name="Office GFA (sm)" numFmtId="3">
      <sharedItems containsSemiMixedTypes="0" containsString="0" containsNumber="1" minValue="963.68416651957011" maxValue="3000306.5803286913"/>
    </cacheField>
    <cacheField name="Office GFA (sf)" numFmtId="3">
      <sharedItems containsMixedTypes="1" containsNumber="1" minValue="10373" maxValue="43060000"/>
    </cacheField>
    <cacheField name="Office UFA (Net) (sm)" numFmtId="3">
      <sharedItems containsSemiMixedTypes="0" containsString="0" containsNumber="1" minValue="963.68416651957011" maxValue="2250229.9352465183"/>
    </cacheField>
    <cacheField name="Office UFA (Net) (sf)" numFmtId="0">
      <sharedItems containsSemiMixedTypes="0" containsString="0" containsNumber="1" minValue="10373" maxValue="32295000"/>
    </cacheField>
    <cacheField name="Pre-leased space (Usable FA) (sf)" numFmtId="0">
      <sharedItems containsString="0" containsBlank="1" containsNumber="1" minValue="4967.75" maxValue="702683.82000000007"/>
    </cacheField>
    <cacheField name="Pre-sold (Usable FA) (sf)" numFmtId="3">
      <sharedItems containsString="0" containsBlank="1" containsNumber="1" minValue="7235" maxValue="694424.39039999992"/>
    </cacheField>
    <cacheField name="Self-use space (Usable FA) (sf)" numFmtId="3">
      <sharedItems containsString="0" containsBlank="1" containsNumber="1" minValue="13020" maxValue="190965.84816749999"/>
    </cacheField>
    <cacheField name="Space available for lease (Usable FA) (sf)" numFmtId="3">
      <sharedItems containsSemiMixedTypes="0" containsString="0" containsNumber="1" minValue="0" maxValue="3085625.3205749998"/>
    </cacheField>
    <cacheField name="Space available for sale (Usable FA) (sf)" numFmtId="3">
      <sharedItems containsSemiMixedTypes="0" containsString="0" containsNumber="1" minValue="0" maxValue="518550"/>
    </cacheField>
    <cacheField name="Space available uncertain of use (Usable FA) (sf)" numFmtId="3">
      <sharedItems containsSemiMixedTypes="0" containsString="0" containsNumber="1" minValue="0" maxValue="32295000"/>
    </cacheField>
    <cacheField name="Pre-commitment  Rate (%)" numFmtId="9">
      <sharedItems containsSemiMixedTypes="0" containsString="0" containsNumber="1" minValue="0" maxValue="1"/>
    </cacheField>
    <cacheField name="Building Type" numFmtId="0">
      <sharedItems containsBlank="1"/>
    </cacheField>
    <cacheField name="BD Status" numFmtId="3">
      <sharedItems containsBlank="1"/>
    </cacheField>
    <cacheField name="Source of Information" numFmtId="0">
      <sharedItems containsBlank="1"/>
    </cacheField>
    <cacheField name="Date of Source" numFmtId="168">
      <sharedItems containsNonDate="0" containsDate="1" containsString="0" containsBlank="1" minDate="2008-03-01T00:00:00" maxDate="2024-05-01T00:00:00"/>
    </cacheField>
    <cacheField name="Date of Entry" numFmtId="168">
      <sharedItems containsDate="1" containsBlank="1" containsMixedTypes="1" minDate="2009-08-18T00:00:00" maxDate="2025-01-23T00:00:00"/>
    </cacheField>
    <cacheField name="Development" numFmtId="165">
      <sharedItems containsBlank="1"/>
    </cacheField>
    <cacheField name="Developer" numFmtId="165">
      <sharedItems containsBlank="1" count="141">
        <s v="Swire Properties"/>
        <s v="Sun Hung Kai Properties"/>
        <s v="Sino Land"/>
        <s v="Manhattan Realty"/>
        <s v="Winsor Properties"/>
        <s v="Henderson"/>
        <s v="Billion Development"/>
        <s v="Lai Sun Development / Crocodile KT Investment Ltd"/>
        <s v="Lammington Investment Holdings Ltd"/>
        <s v="Kerry Properties"/>
        <s v="Century Land Ltd (Citi Group/Apollo) / National Properties"/>
        <s v="Wheelock Properties"/>
        <s v="Cheong Ming Investment Co Ltd"/>
        <s v="The Luk Hoi Tong Corporation Ltd"/>
        <s v="New World"/>
        <s v="Hysan Development Co Ltd"/>
        <s v="Lai Sun Development / China Construction Bank (50/50)"/>
        <s v="Hong Kong Pacific Investments Limited"/>
        <s v="Casey Co Ltd (Cheung Kong?)"/>
        <s v="Sun Hung Kai Properties (64.3%)/ Wong's International"/>
        <s v="Sundart international Holdings"/>
        <s v="Hongkong Land"/>
        <s v="Henderson &amp; Hip Hing Hong"/>
        <s v="The Bank of East Asia Ltd"/>
        <m/>
        <s v="Pioneer Global Group Limited (Gaw)"/>
        <s v="South Asia Real Estate Development (South Asia Textiles)"/>
        <s v="Jointak Labels"/>
        <s v="K Wah Group"/>
        <s v="Southland Co Ltd"/>
        <s v="Nan Fung Resources"/>
        <s v="Pamfleet"/>
        <s v="Hip Shing Hong"/>
        <s v="Luk Yeung Restaurant Ltd (Maxim's)"/>
        <s v="Full Will Industrial Limited"/>
        <s v="Campbell Property Development Limited"/>
        <s v="Henderson Land &amp; Lai Sun (50:50)"/>
        <s v="Phoenix Property Investors"/>
        <s v="L'Avenue International Holdings (Angela Leong)"/>
        <s v="K Wah Properties"/>
        <s v="Shanghai Commercial Bank Ltd"/>
        <s v="Wheelock Properties &amp; China Life (West Tower)"/>
        <s v="Chinachem"/>
        <s v="Goldin Financial"/>
        <s v="Gaw Capital"/>
        <s v="KHI Holdings"/>
        <s v="New Bright"/>
        <s v="Hutchison"/>
        <s v="New World (K11)"/>
        <s v="Nan Fung Resources (Ever Crown Development Ltd)"/>
        <s v="Pollyanna Chu Yuet Wah (CEO of Kingston Financial Group)"/>
        <s v="Well Friendship Investment Ltd (Continential Holdings Limited)"/>
        <s v="Hong Kong Resort"/>
        <s v="First Group Holding"/>
        <s v="Hong Kong Pacific [Tony Lau Hon-chung (Golden Harvest)]"/>
        <s v="Mapletree"/>
        <s v="Nan Fung Group"/>
        <s v="Henderson Land"/>
        <s v="Swire (50%) &amp; China Motor Bus (50%)"/>
        <s v="New World Development"/>
        <s v="Wharf"/>
        <s v="Hotel LBP Group"/>
        <s v="Billion Development (40%), Sino Land (30%) &amp; CSI Properties (30%)"/>
        <s v="Link (60%) &amp; Nan Fung Development (40%)"/>
        <s v="Vansittart Investment Ltd (Henderson Land)"/>
        <s v="New World Development/Chow Tai Fook"/>
        <s v="Wish Concept Ltd (Tai Hung Fai)"/>
        <s v="Win Century Investment Ltd"/>
        <s v="Peterson Group"/>
        <s v="Hon Kwok Land"/>
        <s v="Kingston Financial Group"/>
        <s v="Sino Land &amp; Sun Hung Kai Properties"/>
        <s v="H Development"/>
        <s v="Fully HK Holdings Ltd, Art Earn Ltd &amp; Silver Net Ltd"/>
        <s v="Opal Lucky Ltd"/>
        <s v="Santa Property Investment Ltd (Sun Hung Kai Properties)"/>
        <s v="Wylan Ltd (Sino)"/>
        <s v="First Group Holdings Limited"/>
        <s v="Emperor International"/>
        <s v="Rykadan Capital"/>
        <s v="Henry Ng"/>
        <s v="Waycon Development (Choi King Yeung)"/>
        <s v="Continental Holdings Ltd"/>
        <s v="KaiLong"/>
        <s v="Sino Land Company Limited and Empire Group Holdings Limited"/>
        <s v="Empire Group"/>
        <s v="Sun Hung Kai Properties &amp; Kowloon Motor Bus (50/50)"/>
        <s v="Viva Properties"/>
        <s v="Sino Lands"/>
        <s v="Sun Hung Kai Properities"/>
        <s v="Campell Group"/>
        <s v="麒豐資本"/>
        <s v="Hang Lung Properties (66%) &amp; Hang Lung Group (33%)"/>
        <s v="Hong Kong Pacific Investments"/>
        <s v="New World Development "/>
        <s v="Hopewell Holdings Limited"/>
        <s v="Lifestyle International Holdings"/>
        <s v="Far East Consortium"/>
        <s v="Qi Feng Capital"/>
        <s v="PCPD; CSI"/>
        <s v="Lofter Group"/>
        <s v="AIA Company Ltd"/>
        <s v="Choi King Yeung"/>
        <s v="CK Asset"/>
        <s v="Law's Group"/>
        <s v="Tak Shing Investment Co Ltd"/>
        <s v="China Merchants"/>
        <s v="Sun Hung Kai Properties/ Ping An Insurance"/>
        <s v="SEA Group"/>
        <s v="Mandarin Oriental International Group"/>
        <s v="Wing Tai (65%) &amp; CSI Properties (35%) &amp; Urban Renewal Authority"/>
        <s v="Able Engineering Holding Limited"/>
        <s v="Star Properties"/>
        <s v="Hysan/Chinachem"/>
        <s v="Tai Hung Fai"/>
        <s v="Laws Group"/>
        <s v="Greater Growth Ltd &amp; Joinbest Ltd"/>
        <s v="Tung Wah Group of Hospital"/>
        <s v="CSI"/>
        <s v="Koon Wah"/>
        <s v="Citic Limited"/>
        <s v="Edwin Leong (Tai Hung Fai)"/>
        <s v="Bank of China"/>
        <s v="Central Development"/>
        <s v="Feoso Group"/>
        <s v="Swire"/>
        <s v="Chinachem; CITIC Bank"/>
        <s v="MBK Partners"/>
        <s v="China Travel Services"/>
        <s v="Cheung Kong Hutchison"/>
        <s v="Wing Tai"/>
        <s v="Biel Crystal"/>
        <s v="Sunwah Group"/>
        <s v="Garden"/>
        <s v="Swire Properties/ Henderson Land"/>
        <s v="Tsui Yee"/>
        <s v="Hysan"/>
        <s v="Tang Shing Bor"/>
        <s v="Asia Standard, CSI Properties"/>
        <s v="Stelux Holdings International Limited"/>
        <s v="Pofied Holdings"/>
      </sharedItems>
    </cacheField>
    <cacheField name="Private / Public Sector" numFmtId="0">
      <sharedItems count="2">
        <s v="Private Sector"/>
        <s v="Government Site"/>
      </sharedItems>
    </cacheField>
    <cacheField name="For Sale or For Lease?" numFmtId="0">
      <sharedItems containsBlank="1"/>
    </cacheField>
    <cacheField name="Ownership Structure" numFmtId="0">
      <sharedItems containsBlank="1" count="4">
        <s v="Single owner"/>
        <s v="Strata-title"/>
        <s v="Uncertain"/>
        <m/>
      </sharedItems>
    </cacheField>
    <cacheField name="Remarks" numFmtId="0">
      <sharedItems containsBlank="1" longText="1"/>
    </cacheField>
    <cacheField name="Item Code" numFmtId="0">
      <sharedItems containsBlank="1" count="285">
        <s v="HE011"/>
        <s v="TS031"/>
        <s v="KF006"/>
        <s v="KK019"/>
        <s v="KK018"/>
        <s v="KK007"/>
        <s v="SP001"/>
        <s v="KK022"/>
        <s v="KK023"/>
        <s v="KK024"/>
        <s v="TS034"/>
        <s v="KK025"/>
        <s v="HE014"/>
        <s v="NS016"/>
        <s v="CC037"/>
        <s v="WCH003"/>
        <s v="CC040"/>
        <s v="KK035"/>
        <s v="NS021"/>
        <s v="CC038"/>
        <s v="CC039"/>
        <s v="CW017"/>
        <s v="KK039"/>
        <s v="WC023"/>
        <s v="KK040"/>
        <s v="NS029"/>
        <s v="KF008"/>
        <s v="NS032"/>
        <s v="WCH001"/>
        <s v="NS039"/>
        <s v="NS037"/>
        <s v="KK037"/>
        <s v="KK036"/>
        <s v="CC042"/>
        <s v="WCH002"/>
        <s v="CC041"/>
        <s v="CS010"/>
        <s v="NS047"/>
        <s v="KK046B"/>
        <s v="NS045"/>
        <s v="NS046"/>
        <s v="KF009"/>
        <s v="NS041"/>
        <s v="SW06B"/>
        <s v="KK042"/>
        <s v="NS048"/>
        <s v="NS053"/>
        <s v="CS011"/>
        <s v="KK044"/>
        <s v="KK043"/>
        <s v="KK062B"/>
        <s v="KF010B"/>
        <s v="WCH006"/>
        <s v="KK047B"/>
        <s v="NS062"/>
        <s v="KK045"/>
        <s v="TS035"/>
        <s v="CW018"/>
        <s v="WCH009"/>
        <s v="WCH008"/>
        <s v="ST006"/>
        <s v="CC046"/>
        <s v="HH005"/>
        <s v="SP003"/>
        <s v="ST007"/>
        <s v="NS067"/>
        <s v="NS069"/>
        <s v="KK048"/>
        <s v="KK053B"/>
        <s v="WCH010"/>
        <s v="NS083"/>
        <s v="CC54B"/>
        <s v="NP009"/>
        <s v="HH007"/>
        <s v="KK050"/>
        <s v="TS036"/>
        <s v="CW019"/>
        <s v="NS075"/>
        <s v="KK051"/>
        <s v="SP004"/>
        <s v="NS076"/>
        <s v="NS086"/>
        <s v="NS090"/>
        <s v="CS014"/>
        <s v="KK052"/>
        <s v="KK054"/>
        <s v="NS095"/>
        <s v="CC73B"/>
        <s v="HE015"/>
        <s v="WCH012"/>
        <s v="NS093"/>
        <s v="WC026"/>
        <s v="KK055"/>
        <s v="NS110"/>
        <s v="NS104"/>
        <s v="KK056"/>
        <s v="KK057"/>
        <s v="CC004"/>
        <s v="NP011"/>
        <s v="TS024"/>
        <s v="NP010"/>
        <s v="NS103"/>
        <s v="NS099"/>
        <s v="NS096"/>
        <s v="NS109"/>
        <s v="CC66B"/>
        <s v="WC005"/>
        <s v="NS130"/>
        <s v="NS098"/>
        <s v="KF012"/>
        <s v="NS114"/>
        <s v="NS186"/>
        <s v="WCH013B"/>
        <s v="NS115"/>
        <s v="KF019"/>
        <s v="WC40B"/>
        <s v="NS120"/>
        <s v="CS015"/>
        <s v="NS265"/>
        <s v="NS117"/>
        <s v="NS126"/>
        <s v="KF020"/>
        <s v="TC002"/>
        <s v="KK058"/>
        <s v="HE016"/>
        <s v="SW22B"/>
        <s v="WCH013"/>
        <s v="KK059"/>
        <s v="KF021"/>
        <s v="WCH014"/>
        <s v="KK066"/>
        <s v="KK068"/>
        <s v="YL001"/>
        <s v="WC38B"/>
        <s v="NS270"/>
        <s v="NS138"/>
        <s v="NS137"/>
        <s v="WC41B"/>
        <s v="SP006"/>
        <s v="CS016"/>
        <s v="NS127"/>
        <s v="KK069"/>
        <s v="CS017"/>
        <s v="KK070"/>
        <s v="KK060"/>
        <s v="NS135"/>
        <s v="NS143"/>
        <s v="NS140"/>
        <s v="CC047"/>
        <s v="WC028"/>
        <s v="WC027"/>
        <s v="WCH015"/>
        <s v="CC048"/>
        <s v="KK071"/>
        <s v="NS165"/>
        <s v="NS283"/>
        <s v="NS284"/>
        <s v="NS124"/>
        <s v="NS255"/>
        <s v="TS037"/>
        <s v="NS160"/>
        <s v="NS166"/>
        <s v="NS144"/>
        <s v="NS168"/>
        <s v="NS151"/>
        <s v="NS162"/>
        <s v="NS188"/>
        <s v="NS187"/>
        <s v="NS170"/>
        <s v="NS157"/>
        <s v="NS158"/>
        <s v="NS286"/>
        <s v="NS279"/>
        <s v="NS147"/>
        <s v="NS267"/>
        <s v="NS264"/>
        <s v="NS272"/>
        <s v="NS171"/>
        <s v="NS193"/>
        <s v="NS131"/>
        <s v="NS280"/>
        <s v="NS287"/>
        <s v="NS271"/>
        <s v="NS239"/>
        <s v="NS273"/>
        <s v="NS290"/>
        <s v="NS159"/>
        <s v="NS221"/>
        <s v="NS223"/>
        <s v="NS289"/>
        <s v="NS220"/>
        <s v="NS217"/>
        <s v="NS222"/>
        <s v="NS176"/>
        <s v="NS174"/>
        <s v="NS177"/>
        <s v="NS179"/>
        <s v="NS180"/>
        <s v="NS178"/>
        <s v="NS181"/>
        <s v="NS182"/>
        <s v="NS183"/>
        <s v="NS184"/>
        <s v="NS185"/>
        <s v="NS210"/>
        <s v="NS209"/>
        <s v="NS213"/>
        <s v="NS206"/>
        <s v="NS204"/>
        <s v="NS211"/>
        <s v="NS224"/>
        <s v="NS227"/>
        <s v="NS226"/>
        <s v="NS225"/>
        <s v="NS202"/>
        <s v="NS189"/>
        <s v="NS285"/>
        <s v="NS175"/>
        <s v="NS190"/>
        <s v="NS278"/>
        <s v="NS218"/>
        <s v="NS219"/>
        <s v="NS215"/>
        <s v="NS216"/>
        <s v="NS269"/>
        <s v="NS201"/>
        <s v="NS212"/>
        <s v="NS169"/>
        <s v="NS214"/>
        <s v="NS277"/>
        <s v="NS199"/>
        <s v="NS203"/>
        <s v="NS207"/>
        <s v="NS205"/>
        <s v="NS276"/>
        <s v="NS163"/>
        <s v="NS164"/>
        <s v="NS244"/>
        <s v="NS192"/>
        <s v="NS195"/>
        <s v="NS194"/>
        <s v="NS197"/>
        <s v="NS196"/>
        <s v="NS198"/>
        <s v="NS173"/>
        <s v="NS232"/>
        <s v="NS249"/>
        <s v="NS231"/>
        <s v="NS240"/>
        <s v="NS238"/>
        <s v="NS237"/>
        <s v="NS234"/>
        <s v="NS236"/>
        <s v="NS228"/>
        <s v="NS241"/>
        <s v="NS229"/>
        <s v="NS230"/>
        <s v="NS235"/>
        <s v="NS233"/>
        <s v="NS208"/>
        <s v="NS167"/>
        <s v="NS243"/>
        <s v="NS245"/>
        <s v="NS247"/>
        <s v="NS246"/>
        <s v="NS248"/>
        <s v="NS200"/>
        <s v="NS250"/>
        <s v="NS242"/>
        <s v="NS288"/>
        <s v="NS251"/>
        <s v="NS252"/>
        <s v="NS254"/>
        <s v="NS253"/>
        <s v="NS274"/>
        <s v="NS257"/>
        <s v="NS256"/>
        <s v="NS281"/>
        <s v="NS259"/>
        <s v="NS275"/>
        <s v="NS258"/>
        <s v="NS261"/>
        <s v="NS262"/>
        <s v="NS260"/>
        <m/>
      </sharedItems>
    </cacheField>
    <cacheField name="ProjectID" numFmtId="0">
      <sharedItems containsBlank="1"/>
    </cacheField>
    <cacheField name="Lat" numFmtId="0">
      <sharedItems containsString="0" containsBlank="1" containsNumber="1" minValue="22.238350000000001" maxValue="22.45082"/>
    </cacheField>
    <cacheField name="Long" numFmtId="0">
      <sharedItems containsString="0" containsBlank="1" containsNumber="1" minValue="113.94141" maxValue="114.22821999999999"/>
    </cacheField>
    <cacheField name="Geometry"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港島東中心"/>
    <x v="0"/>
    <s v="18 Westlands Road"/>
    <m/>
    <x v="0"/>
    <x v="0"/>
    <x v="0"/>
    <x v="0"/>
    <x v="0"/>
    <x v="0"/>
    <s v="2008 Q1"/>
    <x v="0"/>
    <x v="0"/>
    <n v="1"/>
    <s v="68+2 basement"/>
    <m/>
    <n v="25000"/>
    <x v="0"/>
    <x v="0"/>
    <m/>
    <m/>
    <n v="142791.79999999999"/>
    <n v="1320068"/>
    <n v="103258.9"/>
    <n v="1214462.56"/>
    <m/>
    <m/>
    <m/>
    <n v="1214462.56"/>
    <n v="0"/>
    <n v="0"/>
    <n v="0"/>
    <s v="Commercial"/>
    <s v="OP Issued"/>
    <s v="BD Monthly Digest"/>
    <d v="2008-03-01T00:00:00"/>
    <d v="2009-08-18T00:00:00"/>
    <m/>
    <x v="0"/>
    <x v="0"/>
    <s v="For Lease"/>
    <x v="0"/>
    <s v="Completed._x000a_Phase 1: 1,000,000 sf to be completed in 2008; Phase 2: 1,500,000 sf to be completed in 2010"/>
    <x v="0"/>
    <m/>
    <m/>
    <m/>
    <m/>
  </r>
  <r>
    <s v="環球貿易廣場1期"/>
    <x v="1"/>
    <s v="1 Austin Road West (Union Square Phase 7)"/>
    <m/>
    <x v="1"/>
    <x v="1"/>
    <x v="1"/>
    <x v="1"/>
    <x v="0"/>
    <x v="0"/>
    <s v="2008 Q1"/>
    <x v="0"/>
    <x v="0"/>
    <n v="1"/>
    <s v="108+4 basement (10-47/F Total 32 floors)"/>
    <m/>
    <n v="38000"/>
    <x v="1"/>
    <x v="0"/>
    <m/>
    <m/>
    <n v="85095.410628019323"/>
    <n v="915967"/>
    <n v="66374.420289855072"/>
    <n v="714454.26"/>
    <m/>
    <m/>
    <m/>
    <n v="714454.26"/>
    <n v="0"/>
    <n v="0"/>
    <n v="0"/>
    <s v="Commercial/ Hotel"/>
    <s v="POP Issued"/>
    <s v="Old Database"/>
    <m/>
    <d v="2009-08-18T00:00:00"/>
    <s v="Site"/>
    <x v="1"/>
    <x v="0"/>
    <s v="For Lease"/>
    <x v="0"/>
    <m/>
    <x v="1"/>
    <m/>
    <m/>
    <m/>
    <m/>
  </r>
  <r>
    <s v="九龍貿易中心 1座"/>
    <x v="2"/>
    <s v="51-53 Kwai Cheong Road &amp; 12-120 Tai Lin Pai Road"/>
    <m/>
    <x v="2"/>
    <x v="2"/>
    <x v="2"/>
    <x v="2"/>
    <x v="0"/>
    <x v="1"/>
    <s v="2008 Q2"/>
    <x v="0"/>
    <x v="0"/>
    <n v="1"/>
    <s v="26+7 podium+1 basement"/>
    <m/>
    <n v="17501.285454545454"/>
    <x v="2"/>
    <x v="1"/>
    <m/>
    <m/>
    <n v="53655"/>
    <n v="577542.41999999993"/>
    <n v="40051"/>
    <n v="431108.96399999998"/>
    <m/>
    <m/>
    <m/>
    <n v="431108.96399999998"/>
    <n v="0"/>
    <n v="0"/>
    <n v="0"/>
    <s v="Commercial"/>
    <s v="OP Issued"/>
    <s v="BD Monthly Digest"/>
    <d v="2008-06-01T00:00:00"/>
    <d v="2009-08-18T00:00:00"/>
    <m/>
    <x v="1"/>
    <x v="0"/>
    <s v="For Lease"/>
    <x v="0"/>
    <s v="Almost fully leased"/>
    <x v="2"/>
    <m/>
    <m/>
    <m/>
    <m/>
  </r>
  <r>
    <s v="國際交易中心"/>
    <x v="3"/>
    <s v="33 Wang Chiu Road"/>
    <m/>
    <x v="3"/>
    <x v="3"/>
    <x v="3"/>
    <x v="1"/>
    <x v="0"/>
    <x v="2"/>
    <s v="2008 Q3"/>
    <x v="0"/>
    <x v="0"/>
    <n v="1"/>
    <s v="28+3 basement"/>
    <m/>
    <n v="21750.930128571428"/>
    <x v="3"/>
    <x v="0"/>
    <m/>
    <m/>
    <n v="56579.9"/>
    <n v="609026.04359999998"/>
    <n v="48132"/>
    <n v="518092.84799999994"/>
    <m/>
    <m/>
    <m/>
    <n v="518092.84799999994"/>
    <n v="0"/>
    <n v="0"/>
    <n v="0"/>
    <s v="Commercial"/>
    <s v="OP Issued"/>
    <s v="BD Monthly Digest"/>
    <d v="2008-09-01T00:00:00"/>
    <d v="2009-08-18T00:00:00"/>
    <m/>
    <x v="2"/>
    <x v="0"/>
    <s v="For Lease"/>
    <x v="0"/>
    <s v="Land premium = $1,282 psf, 16 Mar 07. Sam Li (7 Jun 2011): almost fully leased"/>
    <x v="3"/>
    <m/>
    <m/>
    <m/>
    <m/>
  </r>
  <r>
    <m/>
    <x v="4"/>
    <s v="1 Sheung Yee Road (7 Wang Mau Street &amp; 23 Wang Tai Road)"/>
    <m/>
    <x v="3"/>
    <x v="3"/>
    <x v="3"/>
    <x v="1"/>
    <x v="0"/>
    <x v="2"/>
    <s v="2008 Q3"/>
    <x v="0"/>
    <x v="0"/>
    <n v="1"/>
    <n v="41"/>
    <m/>
    <n v="17256.739785365855"/>
    <x v="4"/>
    <x v="1"/>
    <m/>
    <m/>
    <n v="65730.8"/>
    <n v="707526.33120000002"/>
    <n v="51142.5"/>
    <n v="566016"/>
    <m/>
    <m/>
    <m/>
    <n v="566016"/>
    <n v="0"/>
    <n v="0"/>
    <n v="0"/>
    <s v="Commercial"/>
    <s v="OP Issued"/>
    <s v="BD Monthly Digest"/>
    <d v="2008-08-01T00:00:00"/>
    <d v="2009-08-18T00:00:00"/>
    <m/>
    <x v="3"/>
    <x v="0"/>
    <s v="For Lease"/>
    <x v="0"/>
    <s v="2 Feb 05 SCMP, EJ 11 Mar 05 Sam Li (7 Jun 2011):Fully leased"/>
    <x v="4"/>
    <m/>
    <m/>
    <m/>
    <m/>
  </r>
  <r>
    <s v="城東誌"/>
    <x v="5"/>
    <s v="100 &amp; 102 How Ming Street"/>
    <m/>
    <x v="4"/>
    <x v="3"/>
    <x v="3"/>
    <x v="1"/>
    <x v="0"/>
    <x v="2"/>
    <s v="2008 Q3"/>
    <x v="0"/>
    <x v="0"/>
    <n v="2"/>
    <s v="2/40/43+2 basement"/>
    <m/>
    <n v="14315.633057142855"/>
    <x v="5"/>
    <x v="1"/>
    <m/>
    <m/>
    <n v="111716.2"/>
    <n v="1202513.1767999998"/>
    <n v="87706.5"/>
    <n v="944072.76599999995"/>
    <m/>
    <m/>
    <m/>
    <n v="944072.76599999995"/>
    <n v="0"/>
    <n v="0"/>
    <n v="0"/>
    <s v="Commercial"/>
    <s v="OP Issued"/>
    <s v="BD Monthly Digest"/>
    <d v="2008-09-01T00:00:00"/>
    <d v="2009-08-18T00:00:00"/>
    <m/>
    <x v="4"/>
    <x v="0"/>
    <s v="For Lease"/>
    <x v="0"/>
    <m/>
    <x v="5"/>
    <m/>
    <m/>
    <m/>
    <m/>
  </r>
  <r>
    <s v="友邦九龍金融中心"/>
    <x v="6"/>
    <s v="712 Prince Edward Road East"/>
    <m/>
    <x v="5"/>
    <x v="4"/>
    <x v="4"/>
    <x v="1"/>
    <x v="1"/>
    <x v="0"/>
    <s v="2009 Q1"/>
    <x v="0"/>
    <x v="0"/>
    <n v="1"/>
    <n v="27"/>
    <m/>
    <n v="8021.9706666666661"/>
    <x v="6"/>
    <x v="1"/>
    <m/>
    <m/>
    <n v="20122"/>
    <n v="216593.20799999998"/>
    <n v="15371.3"/>
    <n v="165456.67319999999"/>
    <m/>
    <m/>
    <m/>
    <n v="165456.67319999999"/>
    <n v="0"/>
    <n v="0"/>
    <n v="0"/>
    <s v="Commercial"/>
    <s v="OP Issued"/>
    <s v="BD Monthly Digest"/>
    <d v="2009-01-01T00:00:00"/>
    <d v="2009-08-18T00:00:00"/>
    <m/>
    <x v="5"/>
    <x v="0"/>
    <s v="For Lease"/>
    <x v="0"/>
    <m/>
    <x v="6"/>
    <m/>
    <m/>
    <m/>
    <m/>
  </r>
  <r>
    <s v="環球貿易廣場2期"/>
    <x v="7"/>
    <s v="1 Austin Road West (Union Square Phase 7)"/>
    <m/>
    <x v="1"/>
    <x v="1"/>
    <x v="1"/>
    <x v="1"/>
    <x v="1"/>
    <x v="0"/>
    <s v="2009 Q1"/>
    <x v="0"/>
    <x v="0"/>
    <n v="1"/>
    <s v="108+4 basement (50-77/F Total 22 floors)"/>
    <m/>
    <n v="35000"/>
    <x v="7"/>
    <x v="0"/>
    <m/>
    <m/>
    <n v="72312.430323299894"/>
    <n v="778371"/>
    <n v="56403.695652173919"/>
    <n v="607129.38"/>
    <m/>
    <m/>
    <m/>
    <n v="607129.38"/>
    <n v="0"/>
    <n v="0"/>
    <n v="0"/>
    <s v="Commercial/ Hotel"/>
    <s v="POP Issued"/>
    <s v="Old Database"/>
    <m/>
    <d v="2009-08-18T00:00:00"/>
    <s v="Site"/>
    <x v="1"/>
    <x v="0"/>
    <s v="For Lease"/>
    <x v="0"/>
    <s v="OS-KLN Sam Li (May 2009): POP quoted by L/L"/>
    <x v="1"/>
    <m/>
    <m/>
    <m/>
    <m/>
  </r>
  <r>
    <s v="億京中心"/>
    <x v="8"/>
    <s v="1 Wang Kwong Road"/>
    <m/>
    <x v="3"/>
    <x v="3"/>
    <x v="3"/>
    <x v="1"/>
    <x v="1"/>
    <x v="2"/>
    <s v="2009 Q3"/>
    <x v="0"/>
    <x v="0"/>
    <n v="1"/>
    <n v="31"/>
    <m/>
    <n v="27000"/>
    <x v="8"/>
    <x v="0"/>
    <m/>
    <m/>
    <n v="50101.4"/>
    <n v="539291.46959999995"/>
    <n v="42960.800000000003"/>
    <n v="462430.05119999999"/>
    <m/>
    <m/>
    <m/>
    <n v="0"/>
    <n v="462430.05119999999"/>
    <n v="0"/>
    <n v="0"/>
    <s v="Commercial"/>
    <s v="OP Issued"/>
    <s v="BD Monthly Digest"/>
    <d v="2009-08-01T00:00:00"/>
    <d v="2009-10-06T00:00:00"/>
    <s v="Redevelopment"/>
    <x v="6"/>
    <x v="0"/>
    <s v="For Sale"/>
    <x v="1"/>
    <s v="originally was 星島大廈, bought in 2005 at HK$ 37Mn/ Apple Daily 6Oct09: has sold 70% but will keep 7 floors for leasing/Sam Li (7 Jun 2011):all Billion owned portion has been sold"/>
    <x v="7"/>
    <m/>
    <m/>
    <m/>
    <m/>
  </r>
  <r>
    <s v="鱷魚恤中心"/>
    <x v="9"/>
    <s v="79 Hoi Yuen Road"/>
    <m/>
    <x v="4"/>
    <x v="3"/>
    <x v="3"/>
    <x v="1"/>
    <x v="1"/>
    <x v="2"/>
    <s v="2009 Q3"/>
    <x v="0"/>
    <x v="0"/>
    <n v="1"/>
    <s v="23+2 basement"/>
    <m/>
    <n v="11080"/>
    <x v="9"/>
    <x v="1"/>
    <m/>
    <m/>
    <n v="13381.642512077295"/>
    <n v="144040"/>
    <n v="9567.8743961352648"/>
    <n v="102988.59999999998"/>
    <m/>
    <m/>
    <m/>
    <n v="102988.59999999998"/>
    <n v="0"/>
    <n v="0"/>
    <n v="0"/>
    <s v="Commercial"/>
    <s v="OP Issued"/>
    <s v="BD Monthly Digest"/>
    <d v="2009-09-01T00:00:00"/>
    <d v="2009-11-05T00:00:00"/>
    <m/>
    <x v="7"/>
    <x v="0"/>
    <s v="For Lease"/>
    <x v="0"/>
    <s v="Total GFA: 240,000 sf for the entire building including the lower retail portion/ Feb 2009./Sam Li (7 Jun 2011):Fully leased"/>
    <x v="8"/>
    <m/>
    <m/>
    <m/>
    <m/>
  </r>
  <r>
    <s v="絲寶國際中心"/>
    <x v="10"/>
    <s v="108 Wai Yip Street"/>
    <m/>
    <x v="4"/>
    <x v="3"/>
    <x v="3"/>
    <x v="1"/>
    <x v="1"/>
    <x v="3"/>
    <s v="2009 Q4"/>
    <x v="0"/>
    <x v="0"/>
    <n v="1"/>
    <s v="25+1 basement"/>
    <m/>
    <n v="11697.195744000001"/>
    <x v="10"/>
    <x v="1"/>
    <m/>
    <m/>
    <n v="27167.4"/>
    <n v="292429.89360000001"/>
    <n v="21712.2"/>
    <n v="233710.1208"/>
    <m/>
    <m/>
    <m/>
    <n v="233710.1208"/>
    <n v="0"/>
    <n v="0"/>
    <n v="0"/>
    <s v="Commercial"/>
    <s v="OP Issued"/>
    <s v="BD Monthly Digest"/>
    <d v="2009-12-01T00:00:00"/>
    <d v="2010-02-03T00:00:00"/>
    <s v="Redevelopment"/>
    <x v="1"/>
    <x v="0"/>
    <s v="For Lease"/>
    <x v="1"/>
    <s v="Previously named as MC7/ [21Aug09 OS-Kln: 1) asking price HK$ 5,000 psf on average 2) asking price of carparking space is approx. HK$ 500,000 3) efficiency is 80% as quoted by the landlord 4) tentative OP at Q1 2010 5) presale consent was granted by the Government ]"/>
    <x v="9"/>
    <m/>
    <m/>
    <m/>
    <m/>
  </r>
  <r>
    <m/>
    <x v="11"/>
    <s v="33 Cameron Road"/>
    <m/>
    <x v="6"/>
    <x v="5"/>
    <x v="1"/>
    <x v="1"/>
    <x v="1"/>
    <x v="3"/>
    <s v="2009 Q4"/>
    <x v="1"/>
    <x v="0"/>
    <n v="1"/>
    <n v="25"/>
    <m/>
    <n v="4000"/>
    <x v="11"/>
    <x v="1"/>
    <m/>
    <m/>
    <n v="8427.2000000000007"/>
    <n v="90710.380799999999"/>
    <n v="4840.1000000000004"/>
    <n v="52098.8364"/>
    <m/>
    <m/>
    <m/>
    <n v="52098.8364"/>
    <n v="0"/>
    <n v="0"/>
    <n v="0"/>
    <s v="Commercial"/>
    <s v="OP Issued"/>
    <s v="BD Monthly Digest"/>
    <d v="2009-10-01T00:00:00"/>
    <d v="2009-11-30T00:00:00"/>
    <m/>
    <x v="8"/>
    <x v="0"/>
    <s v="For Lease"/>
    <x v="0"/>
    <s v="2.8m ceiling height, column free floor plate, ~4000 sf gross typical floor plate/Sam Li (7 Jun 2011):Fully leased"/>
    <x v="10"/>
    <m/>
    <m/>
    <m/>
    <s v="MULTIPOLYGON (((114.174830346 22.2996842730001,114.174847126 22.2996318240001,114.174942245 22.2996585990001,114.175003454 22.299467296,114.174852672 22.2994253020001,114.174770018 22.2996871050001,114.174824529 22.29970245,114.174830346 22.2996842730001)))"/>
  </r>
  <r>
    <s v="寧晉中心"/>
    <x v="12"/>
    <s v="7 Shing Yip Street"/>
    <m/>
    <x v="4"/>
    <x v="3"/>
    <x v="3"/>
    <x v="1"/>
    <x v="2"/>
    <x v="0"/>
    <s v="2010 Q1"/>
    <x v="0"/>
    <x v="0"/>
    <n v="1"/>
    <n v="32"/>
    <m/>
    <n v="18500"/>
    <x v="12"/>
    <x v="1"/>
    <m/>
    <m/>
    <n v="36109.031113258206"/>
    <n v="388674"/>
    <n v="27081.773334943657"/>
    <n v="291505.5"/>
    <m/>
    <m/>
    <m/>
    <n v="0"/>
    <n v="291505.5"/>
    <n v="0"/>
    <n v="0"/>
    <s v="Commercial"/>
    <s v="OP Issued"/>
    <s v="BD Monthly Digest"/>
    <d v="2010-01-01T00:00:00"/>
    <d v="2010-03-09T00:00:00"/>
    <m/>
    <x v="6"/>
    <x v="0"/>
    <s v="For Sale"/>
    <x v="1"/>
    <m/>
    <x v="11"/>
    <m/>
    <m/>
    <m/>
    <m/>
  </r>
  <r>
    <s v="環球貿易廣場3期"/>
    <x v="13"/>
    <s v="1 Austin Road West (Union Square Phase 7)"/>
    <s v="KIL 11080"/>
    <x v="1"/>
    <x v="1"/>
    <x v="1"/>
    <x v="1"/>
    <x v="2"/>
    <x v="1"/>
    <s v="2010 Q2"/>
    <x v="0"/>
    <x v="0"/>
    <n v="1"/>
    <s v="108+4basement (78-99/F Total 18 floors)"/>
    <m/>
    <n v="33000"/>
    <x v="13"/>
    <x v="0"/>
    <m/>
    <m/>
    <n v="55394.64882943144"/>
    <n v="596268"/>
    <n v="43207.826086956527"/>
    <n v="465089.04000000004"/>
    <m/>
    <m/>
    <m/>
    <n v="465089.04000000004"/>
    <n v="0"/>
    <n v="0"/>
    <n v="0"/>
    <s v="Commercial/ Hotel"/>
    <s v="OP Issued"/>
    <s v="Stacking Plan from OS-Kln"/>
    <d v="2010-05-07T00:00:00"/>
    <d v="2009-08-20T00:00:00"/>
    <s v="Site"/>
    <x v="1"/>
    <x v="0"/>
    <s v="For Lease"/>
    <x v="0"/>
    <s v="OS-Kln SamLi (24Mar10): &quot;It is highly likely that verbal confirmation of full OP of the building will be obtained by tomorrow (25 March) and formal OP certificate will be followed in a week time.&quot;_x000a_BD Mar 2010 Mthly Digest: GFA (incl Hotel) = 2,923,189 sf; UFA (incl Hotel) = 1,872,565 sf"/>
    <x v="1"/>
    <m/>
    <m/>
    <m/>
    <m/>
  </r>
  <r>
    <s v="嘉里中心"/>
    <x v="14"/>
    <s v="683 King's Road"/>
    <m/>
    <x v="0"/>
    <x v="0"/>
    <x v="0"/>
    <x v="0"/>
    <x v="2"/>
    <x v="2"/>
    <s v="2010 Q3"/>
    <x v="0"/>
    <x v="0"/>
    <n v="1"/>
    <s v="29+4 basement"/>
    <m/>
    <n v="14564.655172413793"/>
    <x v="14"/>
    <x v="1"/>
    <m/>
    <m/>
    <n v="39239.959494235365"/>
    <n v="422375"/>
    <n v="34923.563949869473"/>
    <n v="375913.75"/>
    <m/>
    <m/>
    <m/>
    <n v="375913.75"/>
    <n v="0"/>
    <n v="0"/>
    <n v="0"/>
    <s v="Commercial"/>
    <s v="OP Issued"/>
    <s v="BD Monthly Digest"/>
    <d v="2010-09-01T00:00:00"/>
    <d v="2010-12-22T00:00:00"/>
    <m/>
    <x v="9"/>
    <x v="0"/>
    <s v="For Lease"/>
    <x v="0"/>
    <s v="Completed._x000a_AR2008 (Cynthia): Kerry Properties owns 40% of the project; Office + Retail/ Rhodri: Kerry will reserve half of the building for their own use_x000a_OS-HKI, KT (23Mar10): &quot;the OP is supposed to be completed earlier in Aug 2010 rather than Oct 2010. Expected effective rental for one whole floor is HK$30+.&quot;"/>
    <x v="12"/>
    <m/>
    <m/>
    <m/>
    <m/>
  </r>
  <r>
    <s v="卓匯中心"/>
    <x v="15"/>
    <s v="483A Castle Peak Road"/>
    <m/>
    <x v="7"/>
    <x v="4"/>
    <x v="4"/>
    <x v="1"/>
    <x v="2"/>
    <x v="3"/>
    <s v="2010 Q4"/>
    <x v="1"/>
    <x v="0"/>
    <n v="1"/>
    <n v="32"/>
    <m/>
    <n v="5961"/>
    <x v="15"/>
    <x v="1"/>
    <m/>
    <m/>
    <n v="9768"/>
    <n v="105142.75199999999"/>
    <n v="6970"/>
    <n v="75025.08"/>
    <m/>
    <m/>
    <m/>
    <n v="75025.08"/>
    <n v="0"/>
    <n v="0"/>
    <n v="0"/>
    <s v="Commercial"/>
    <s v="OP Issued"/>
    <s v="BD Monthly Digest"/>
    <d v="2010-12-01T00:00:00"/>
    <d v="2011-05-19T00:00:00"/>
    <s v="Redevelopment"/>
    <x v="1"/>
    <x v="0"/>
    <s v="For Lease"/>
    <x v="0"/>
    <s v="OP received Dec 2010"/>
    <x v="13"/>
    <m/>
    <m/>
    <m/>
    <s v="MULTIPOLYGON (((114.150213458 22.3388642,114.150290204 22.338671905,114.150094899 22.338604542,114.149998219 22.338847463,114.150031777 22.338858595,114.150050887 22.3388076410001,114.150213458 22.3388642)))"/>
  </r>
  <r>
    <m/>
    <x v="16"/>
    <s v="50 Connaught Road Central"/>
    <m/>
    <x v="8"/>
    <x v="6"/>
    <x v="5"/>
    <x v="0"/>
    <x v="3"/>
    <x v="0"/>
    <s v="2011 Q1"/>
    <x v="0"/>
    <x v="0"/>
    <n v="1"/>
    <n v="28"/>
    <m/>
    <n v="5277.4642857142853"/>
    <x v="16"/>
    <x v="1"/>
    <m/>
    <m/>
    <n v="13728.202603145701"/>
    <n v="147769"/>
    <n v="11394.408160610932"/>
    <n v="122648.27"/>
    <m/>
    <m/>
    <m/>
    <n v="122648.27"/>
    <n v="0"/>
    <n v="0"/>
    <n v="0"/>
    <s v="Commercial"/>
    <s v="OP Issued"/>
    <s v="BD Monthly Digest"/>
    <d v="2011-02-01T00:00:00"/>
    <d v="2011-05-12T00:00:00"/>
    <s v="Redevelopment"/>
    <x v="10"/>
    <x v="0"/>
    <s v="For Lease"/>
    <x v="0"/>
    <s v="May 2012: sold to Agricultural Bank of China for $4.88 billion. Deal done by Colliers."/>
    <x v="14"/>
    <m/>
    <m/>
    <m/>
    <m/>
  </r>
  <r>
    <m/>
    <x v="17"/>
    <s v="2 Heung Yip Road"/>
    <m/>
    <x v="9"/>
    <x v="7"/>
    <x v="6"/>
    <x v="0"/>
    <x v="3"/>
    <x v="0"/>
    <s v="2011 Q1"/>
    <x v="0"/>
    <x v="0"/>
    <n v="1"/>
    <n v="31"/>
    <m/>
    <n v="20200.354838709678"/>
    <x v="17"/>
    <x v="0"/>
    <m/>
    <m/>
    <n v="58176.961881845804"/>
    <n v="626211"/>
    <n v="45665.339979003897"/>
    <n v="491537.15299999999"/>
    <m/>
    <m/>
    <m/>
    <n v="0"/>
    <n v="491537.15299999999"/>
    <n v="0"/>
    <n v="0"/>
    <s v="Commercial"/>
    <s v="OP Issued"/>
    <s v="BD Monthly Digest"/>
    <d v="2011-02-01T00:00:00"/>
    <d v="2011-05-12T00:00:00"/>
    <s v="Redevelopment"/>
    <x v="11"/>
    <x v="0"/>
    <s v="For Sale"/>
    <x v="1"/>
    <s v="Aug 2011 (Cynthia): Completed. Building both for sale and lease by landlord."/>
    <x v="15"/>
    <m/>
    <m/>
    <m/>
    <m/>
  </r>
  <r>
    <m/>
    <x v="18"/>
    <s v="18 Wang Chiu Road"/>
    <m/>
    <x v="3"/>
    <x v="3"/>
    <x v="3"/>
    <x v="1"/>
    <x v="3"/>
    <x v="0"/>
    <s v="2011 Q1"/>
    <x v="0"/>
    <x v="0"/>
    <n v="1"/>
    <n v="27"/>
    <m/>
    <n v="22000"/>
    <x v="18"/>
    <x v="0"/>
    <m/>
    <m/>
    <n v="38461.895781268875"/>
    <n v="414000"/>
    <n v="29231.040793764343"/>
    <n v="314640"/>
    <m/>
    <m/>
    <m/>
    <n v="314640"/>
    <n v="0"/>
    <n v="0"/>
    <n v="0"/>
    <s v="Commercial"/>
    <s v="OP Issued"/>
    <s v="BD Monthly Digest"/>
    <d v="2011-01-01T00:00:00"/>
    <d v="2011-05-12T00:00:00"/>
    <s v="Redevelopment"/>
    <x v="2"/>
    <x v="0"/>
    <s v="For Lease"/>
    <x v="0"/>
    <s v="03Nov2010 (SamLi): Low zone for lease – landlord expects HK$21 effective, benchmarking ET recent transactions (HK$21 for a 5k sfg unit); High zone for sale – looking for over HK$6k psf.  Will be handled by different team from Sino Land/   With retail area, sky garden on 9/Fr Raised floor system, in-house caparking spaces."/>
    <x v="16"/>
    <m/>
    <m/>
    <m/>
    <m/>
  </r>
  <r>
    <s v="萬兆豐中心"/>
    <x v="19"/>
    <s v="133 Hoi Bun Road"/>
    <m/>
    <x v="4"/>
    <x v="3"/>
    <x v="3"/>
    <x v="1"/>
    <x v="3"/>
    <x v="1"/>
    <s v="2011 Q2"/>
    <x v="0"/>
    <x v="0"/>
    <n v="1"/>
    <n v="25"/>
    <m/>
    <n v="24519.4"/>
    <x v="19"/>
    <x v="0"/>
    <m/>
    <m/>
    <n v="56948.225085703139"/>
    <n v="612985"/>
    <n v="41553.619041425511"/>
    <n v="447279"/>
    <m/>
    <m/>
    <m/>
    <n v="0"/>
    <n v="447279"/>
    <n v="0"/>
    <n v="0"/>
    <s v="Commercial"/>
    <s v="OP Issued"/>
    <s v="BD Monthly Digest"/>
    <d v="2011-05-01T00:00:00"/>
    <d v="2011-08-09T00:00:00"/>
    <s v="Redevelopment"/>
    <x v="6"/>
    <x v="0"/>
    <s v="For Sale"/>
    <x v="1"/>
    <m/>
    <x v="17"/>
    <m/>
    <m/>
    <m/>
    <m/>
  </r>
  <r>
    <m/>
    <x v="20"/>
    <s v="16 Hart Avenue"/>
    <m/>
    <x v="6"/>
    <x v="5"/>
    <x v="1"/>
    <x v="1"/>
    <x v="3"/>
    <x v="2"/>
    <s v="2011 Q3"/>
    <x v="1"/>
    <x v="0"/>
    <n v="1"/>
    <n v="23"/>
    <m/>
    <n v="1035.6371999999999"/>
    <x v="20"/>
    <x v="1"/>
    <m/>
    <m/>
    <n v="2212.9"/>
    <n v="23819.655599999998"/>
    <n v="1659.675"/>
    <n v="17864.741699999999"/>
    <m/>
    <m/>
    <m/>
    <n v="17864.741699999999"/>
    <n v="0"/>
    <n v="0"/>
    <n v="0"/>
    <s v="Commercial"/>
    <s v="Plans Approved"/>
    <s v="BD Monthly Digest"/>
    <d v="2009-09-01T00:00:00"/>
    <d v="2009-11-05T00:00:00"/>
    <m/>
    <x v="12"/>
    <x v="0"/>
    <s v="For Lease"/>
    <x v="0"/>
    <s v="Sep 2011: OS to check whether it's office, retail, or serviced apartment_x000a_near the Masterpiece"/>
    <x v="18"/>
    <m/>
    <m/>
    <m/>
    <s v="MULTIPOLYGON (((114.175063536 22.2982295270001,114.175053883 22.2983822330001,114.175115847 22.2983857720001,114.175126259 22.2982331290001,114.175063536 22.2982295270001)))"/>
  </r>
  <r>
    <s v="陸海通大廈"/>
    <x v="21"/>
    <s v="31 Queen's Road Central &amp; 1-7 Theatre Lane"/>
    <m/>
    <x v="8"/>
    <x v="6"/>
    <x v="5"/>
    <x v="0"/>
    <x v="3"/>
    <x v="3"/>
    <s v="2011 Q4"/>
    <x v="0"/>
    <x v="0"/>
    <n v="1"/>
    <s v="28+1 basement"/>
    <m/>
    <n v="4170.75"/>
    <x v="21"/>
    <x v="1"/>
    <m/>
    <m/>
    <n v="10849.320413604735"/>
    <n v="116781"/>
    <n v="9837.6053289235315"/>
    <n v="105891"/>
    <m/>
    <m/>
    <m/>
    <n v="105891"/>
    <n v="0"/>
    <n v="0"/>
    <n v="0"/>
    <s v="Commercial"/>
    <s v="OP Issued"/>
    <s v="BD Monthly Digest"/>
    <d v="2011-12-01T00:00:00"/>
    <d v="2012-02-02T00:00:00"/>
    <s v="Redevelopment"/>
    <x v="13"/>
    <x v="0"/>
    <s v="For Lease"/>
    <x v="0"/>
    <m/>
    <x v="19"/>
    <m/>
    <m/>
    <m/>
    <m/>
  </r>
  <r>
    <s v="龍子行大廈"/>
    <x v="22"/>
    <s v="39 Queen's Road Central_x000a_19, 20, 21, 22, 23, 25 &amp; 26 Li Yuen Street East"/>
    <m/>
    <x v="8"/>
    <x v="6"/>
    <x v="5"/>
    <x v="0"/>
    <x v="3"/>
    <x v="3"/>
    <s v="2011 Q4"/>
    <x v="0"/>
    <x v="0"/>
    <n v="1"/>
    <s v="30+1 basement"/>
    <m/>
    <n v="4524.3522580645158"/>
    <x v="22"/>
    <x v="1"/>
    <m/>
    <m/>
    <n v="13030"/>
    <n v="140254.91999999998"/>
    <n v="10172.799999999999"/>
    <n v="109500.01919999998"/>
    <m/>
    <m/>
    <m/>
    <n v="109500.01919999998"/>
    <n v="0"/>
    <n v="0"/>
    <n v="0"/>
    <s v="Commercial"/>
    <s v="OP Issued"/>
    <s v="BD Monthly Digest"/>
    <d v="2011-11-01T00:00:00"/>
    <d v="2012-02-02T00:00:00"/>
    <s v="Redevelopment"/>
    <x v="14"/>
    <x v="0"/>
    <s v="For Lease"/>
    <x v="0"/>
    <s v="Sep 2011: OP yet to be issued.  Exp Oct 2011._x000a_Urban Group contact: Ken Wong (6543 6221)_x000a_New World bought the building in 1999 for 136 million."/>
    <x v="20"/>
    <m/>
    <m/>
    <m/>
    <m/>
  </r>
  <r>
    <s v="希慎廣場"/>
    <x v="23"/>
    <s v="500 Hennessy Road"/>
    <m/>
    <x v="10"/>
    <x v="8"/>
    <x v="7"/>
    <x v="0"/>
    <x v="4"/>
    <x v="0"/>
    <s v="2012 Q1"/>
    <x v="0"/>
    <x v="0"/>
    <n v="1"/>
    <s v="37+4 basement"/>
    <m/>
    <n v="16000"/>
    <x v="23"/>
    <x v="1"/>
    <m/>
    <m/>
    <n v="22652.824228911188"/>
    <n v="243835"/>
    <n v="20840.598290598293"/>
    <n v="222653.5344"/>
    <m/>
    <m/>
    <m/>
    <n v="222653.5344"/>
    <n v="0"/>
    <n v="0"/>
    <n v="0"/>
    <s v="Commercial"/>
    <s v="OP Issued"/>
    <s v="BD Monthly Digest"/>
    <d v="2012-03-01T00:00:00"/>
    <d v="2012-06-13T00:00:00"/>
    <s v="Redevelopment"/>
    <x v="15"/>
    <x v="0"/>
    <s v="For Lease"/>
    <x v="0"/>
    <m/>
    <x v="21"/>
    <m/>
    <m/>
    <m/>
    <m/>
  </r>
  <r>
    <m/>
    <x v="24"/>
    <s v="24 Hing Yip Street &amp; 55 King Yip Street"/>
    <m/>
    <x v="4"/>
    <x v="3"/>
    <x v="3"/>
    <x v="1"/>
    <x v="4"/>
    <x v="0"/>
    <s v="2012 Q1"/>
    <x v="0"/>
    <x v="0"/>
    <n v="1"/>
    <n v="30"/>
    <m/>
    <n v="10116.366666666667"/>
    <x v="24"/>
    <x v="1"/>
    <m/>
    <m/>
    <n v="28195.263798437369"/>
    <n v="303491"/>
    <n v="21146.447848828029"/>
    <n v="227618.25"/>
    <m/>
    <m/>
    <m/>
    <n v="0"/>
    <n v="227618.25"/>
    <n v="0"/>
    <n v="0"/>
    <s v="Commercial"/>
    <s v="OP Issued"/>
    <s v="BD Monthly Digest"/>
    <d v="2012-02-01T00:00:00"/>
    <d v="2012-06-12T00:00:00"/>
    <s v="Redevelopment"/>
    <x v="6"/>
    <x v="0"/>
    <s v="For Sale"/>
    <x v="1"/>
    <s v="27Sep2011 (HKET): &quot;already sold around 210,000 sf (69%), worth around $1.3 billion, almost $7,000 psf&quot;_x000a_Sep 2011: Sam (OS) - over 70% has been sold. &quot;King of the King/王上王&quot; bought 3 floors and will most likely get naming rights. _x000a_The-Sun (17Aug2010): Billion pays HK$260.9Mn premium for converting the land use from industrial to commercial"/>
    <x v="22"/>
    <m/>
    <m/>
    <m/>
    <m/>
  </r>
  <r>
    <m/>
    <x v="25"/>
    <s v="24-34 Hennessy Road"/>
    <m/>
    <x v="11"/>
    <x v="8"/>
    <x v="7"/>
    <x v="0"/>
    <x v="4"/>
    <x v="2"/>
    <s v="2012 Q3"/>
    <x v="0"/>
    <x v="0"/>
    <n v="1"/>
    <s v="29+1 basement"/>
    <m/>
    <n v="4935"/>
    <x v="25"/>
    <x v="1"/>
    <m/>
    <m/>
    <n v="11003.344481605352"/>
    <n v="118440"/>
    <n v="9810.7580824972138"/>
    <n v="105603"/>
    <m/>
    <m/>
    <m/>
    <n v="105603"/>
    <n v="0"/>
    <n v="0"/>
    <n v="0"/>
    <s v="Commercial"/>
    <s v="OP Issued"/>
    <s v="BD Monthly Digest"/>
    <d v="2012-07-01T00:00:00"/>
    <d v="2012-08-07T00:00:00"/>
    <s v="Redevelopment"/>
    <x v="0"/>
    <x v="0"/>
    <s v="For Lease"/>
    <x v="0"/>
    <s v="Aug 2012 (James): Swire confirm that OP for 28 HR has now been granted (late July)_x000a_May 2012 (Ian): &quot;the Generali deal to take the whole of 8QRE is complete. The two other parties who were interested have now turned their attention to 28HR.  Should know next month if either will proceed.  Would mean circa half the building is leased if one does. I believe the average targeting rental for the building is HK$66.66 psf&quot;_x000a_Aug 2011:  Building to be completed around Q2 2012.  Low to Top zone levels are built._x000a_Approval record of changing the land use at the Planning Department on November 2008 (http://www.ozp.tpb.gov.hk/doc/apply/H5_377_tc.pdf)._x000a_(Feb 09: Plan w/ 2-12 Anton Street,  1-11 Landale Street - GFA of 279202 sf)"/>
    <x v="23"/>
    <m/>
    <m/>
    <m/>
    <m/>
  </r>
  <r>
    <s v="俊匯中心"/>
    <x v="26"/>
    <s v="22 Hung To Road"/>
    <m/>
    <x v="4"/>
    <x v="3"/>
    <x v="3"/>
    <x v="1"/>
    <x v="4"/>
    <x v="2"/>
    <s v="2012 Q3"/>
    <x v="0"/>
    <x v="0"/>
    <n v="1"/>
    <n v="19"/>
    <m/>
    <n v="11875"/>
    <x v="26"/>
    <x v="1"/>
    <m/>
    <m/>
    <n v="23714.174230529828"/>
    <n v="255257"/>
    <n v="17785.630672897372"/>
    <n v="191442.75"/>
    <m/>
    <m/>
    <m/>
    <n v="0"/>
    <n v="191442.75"/>
    <n v="0"/>
    <n v="0"/>
    <s v="Commercial"/>
    <s v="OP Issued"/>
    <s v="BD Monthly Digest"/>
    <d v="2012-08-01T00:00:00"/>
    <d v="2012-11-02T00:00:00"/>
    <s v="Redevelopment"/>
    <x v="1"/>
    <x v="0"/>
    <s v="For Sale"/>
    <x v="1"/>
    <s v="Sep 2011: Sam (OS) - Majority of building sold on strata basis. 7/F (restaurant) for sale, askinh HK$9,000 psf; 29/F (top floor) for sale, subject to offer. Maybe 2012 Q3 completion._x000a_According to BOAML report May 27, 2011, the building will be sold off strata-title, with ASP at HK$5.3K psf. Sam Li (7 Jun 2011):70% sold (end May 11)"/>
    <x v="24"/>
    <m/>
    <m/>
    <m/>
    <m/>
  </r>
  <r>
    <m/>
    <x v="27"/>
    <s v="3 Connaught Road Central"/>
    <m/>
    <x v="8"/>
    <x v="6"/>
    <x v="5"/>
    <x v="0"/>
    <x v="4"/>
    <x v="3"/>
    <s v="2012 Q4"/>
    <x v="0"/>
    <x v="0"/>
    <n v="1"/>
    <s v="27+4 basement"/>
    <m/>
    <n v="8308.1335999999992"/>
    <x v="27"/>
    <x v="1"/>
    <m/>
    <m/>
    <n v="20839.8"/>
    <n v="224319.60719999997"/>
    <n v="14072.3"/>
    <n v="151474.23719999997"/>
    <n v="88244.1"/>
    <m/>
    <m/>
    <n v="63230.137199999968"/>
    <n v="0"/>
    <n v="0"/>
    <n v="0.58256837354781554"/>
    <s v="Commercial"/>
    <s v="OP Issued"/>
    <s v="BD Monthly Digest"/>
    <d v="2012-12-01T00:00:00"/>
    <d v="2013-02-21T00:00:00"/>
    <s v="Redevelopment"/>
    <x v="16"/>
    <x v="0"/>
    <s v="For Lease"/>
    <x v="0"/>
    <s v="Jan 2013 (Ian): space totals 170,000 sq ft lettable.  The amount of space that was originally available for lease was 73,162 sq ft and there is currently 51,419 sq ft available.  Efficiency is approximately 87%._x000a_Jul 2012: James (OS) - CCB, as the tenant would take up portions of the building for its own use and now, 15/F up to 27/F (excluding 17/F-Refuge Floor and 18/F-Mechanical Floor) would be put up on market for leasing. _x000a_Mar 2012 (Ian): Floor plates 8 – 11,000 sq ft Gross; Quoted efficiency a little over 80%; Lift lobby located on 3rd floor; Banking Hall on the ground floor similar to Bank of China Building; 37 Car Parking Spaces; OP expected by end of August 2012; Connection to the MTR will open 2013 Q1_x000a_Sep2011: CCB have leased half of the building and have the option to lease rest of the building._x000a_Contact: Julius Lau (2741 0391)"/>
    <x v="16"/>
    <m/>
    <m/>
    <m/>
    <m/>
  </r>
  <r>
    <m/>
    <x v="28"/>
    <s v="414 Kwun Tong Road"/>
    <m/>
    <x v="4"/>
    <x v="3"/>
    <x v="3"/>
    <x v="1"/>
    <x v="4"/>
    <x v="3"/>
    <s v="2012 Q4"/>
    <x v="1"/>
    <x v="0"/>
    <n v="1"/>
    <s v="31+4 basement"/>
    <m/>
    <n v="7740.0104516129031"/>
    <x v="28"/>
    <x v="1"/>
    <m/>
    <m/>
    <n v="22291"/>
    <n v="239940.32399999999"/>
    <n v="15099.8"/>
    <n v="162534.24719999998"/>
    <m/>
    <m/>
    <m/>
    <n v="162534.24719999998"/>
    <n v="0"/>
    <n v="0"/>
    <n v="0"/>
    <s v="Commercial"/>
    <s v="OP Issued"/>
    <s v="BD Monthly Digest"/>
    <d v="2012-11-01T00:00:00"/>
    <d v="2013-02-21T00:00:00"/>
    <s v="Redevelopment"/>
    <x v="17"/>
    <x v="0"/>
    <s v="For Lease"/>
    <x v="0"/>
    <s v="Dec 2012 (MP): OP issued_x000a_Dec2011 (JD) OP expected March 2012._x000a_Oct 2011 (JD): mtg with LL completion expected CNY 2012.  Tenant mix will be similar to Crocodile Centre, ie. semi-retail; next to MC5_x000a_Apr 2011 (Mark Palmer): Likely to be majority retail like Crocodile Centre. Yet to be confirmed, most likely lease, possible sale."/>
    <x v="25"/>
    <m/>
    <m/>
    <m/>
    <m/>
  </r>
  <r>
    <s v="九龍貿易中心二期"/>
    <x v="29"/>
    <s v="51-53 Kwai Cheong Road &amp; 12-120 Tai Lin Pai Road"/>
    <s v="KCTL 215"/>
    <x v="2"/>
    <x v="2"/>
    <x v="2"/>
    <x v="2"/>
    <x v="4"/>
    <x v="3"/>
    <s v="2012 Q4"/>
    <x v="0"/>
    <x v="0"/>
    <n v="1"/>
    <s v="25+7 podium"/>
    <m/>
    <n v="26000"/>
    <x v="29"/>
    <x v="0"/>
    <m/>
    <m/>
    <n v="54816.146413972507"/>
    <n v="590041"/>
    <n v="41112.109810479378"/>
    <n v="442530.75"/>
    <m/>
    <n v="286530.75"/>
    <m/>
    <n v="0"/>
    <n v="156000"/>
    <n v="0"/>
    <n v="0.64748212412357786"/>
    <s v="Commercial"/>
    <s v="OP Issued"/>
    <s v="BD Monthly Digest"/>
    <d v="2012-12-01T00:00:00"/>
    <d v="2013-02-21T00:00:00"/>
    <s v="Site"/>
    <x v="1"/>
    <x v="0"/>
    <s v="For Sale"/>
    <x v="1"/>
    <s v="SHKP: http://202.85.145.73/en/scripts/about/about_upcoming40.php"/>
    <x v="26"/>
    <m/>
    <m/>
    <m/>
    <m/>
  </r>
  <r>
    <m/>
    <x v="30"/>
    <s v="8 Queen's Road East"/>
    <m/>
    <x v="11"/>
    <x v="8"/>
    <x v="7"/>
    <x v="0"/>
    <x v="5"/>
    <x v="1"/>
    <s v="2013 Q2"/>
    <x v="1"/>
    <x v="0"/>
    <n v="1"/>
    <n v="18"/>
    <m/>
    <n v="3930"/>
    <x v="30"/>
    <x v="1"/>
    <m/>
    <m/>
    <n v="5711.1668524712004"/>
    <n v="61475"/>
    <n v="4854.4918246005209"/>
    <n v="52253.75"/>
    <n v="52253.75"/>
    <m/>
    <m/>
    <n v="0"/>
    <n v="0"/>
    <n v="0"/>
    <n v="1"/>
    <s v="Commercial"/>
    <s v="N/A"/>
    <s v="Swire Properties"/>
    <m/>
    <d v="2011-01-19T00:00:00"/>
    <s v="Refurbishment"/>
    <x v="0"/>
    <x v="0"/>
    <s v="For Lease"/>
    <x v="0"/>
    <s v="May 2012 (Ian): &quot;the Generali deal to take the whole of 8QRE is complete.  Rental HK$50 per sf effective, long lease term (apologies do not know exact).  C&amp;W advised Generali. The two other parties who were interested have now turned their attention to 28HR.  &quot;_x000a_Feb 2012 (James): &quot;8QRC is delayed and likely to be completed until Jan 2013&quot;_x000a_Aug 2011 (Cynthia): Major refurb due for completion in Q3 2012. Building rename to 8 Queens Road East."/>
    <x v="27"/>
    <m/>
    <m/>
    <m/>
    <s v="MULTIPOLYGON (((114.168127385 22.277488366,114.16796888 22.277589421,114.168056425 22.2776996280001,114.168281618 22.2776808430001,114.168127385 22.277488366)))"/>
  </r>
  <r>
    <m/>
    <x v="31"/>
    <s v="38 Heung Yip Road"/>
    <m/>
    <x v="9"/>
    <x v="7"/>
    <x v="6"/>
    <x v="0"/>
    <x v="5"/>
    <x v="1"/>
    <s v="2013 Q2"/>
    <x v="0"/>
    <x v="0"/>
    <n v="1"/>
    <s v="29+1 basement"/>
    <m/>
    <n v="6000"/>
    <x v="31"/>
    <x v="1"/>
    <m/>
    <m/>
    <n v="15250.977805442266"/>
    <n v="164160"/>
    <n v="12810.821356571503"/>
    <n v="137894.39999999999"/>
    <m/>
    <m/>
    <m/>
    <n v="0"/>
    <n v="137894.39999999999"/>
    <n v="0"/>
    <n v="0"/>
    <s v="Commercial"/>
    <s v="OP Issued"/>
    <s v="BD Monthly Digest"/>
    <d v="2013-05-01T00:00:00"/>
    <d v="2013-09-23T00:00:00"/>
    <s v="Redevelopment"/>
    <x v="18"/>
    <x v="0"/>
    <s v="For Sale"/>
    <x v="1"/>
    <s v="Sep2011 (Cynthia): After meeting Ken Ko (general manager) at Casey Co Ltd :- • Building is for lease (no intention to stratify / sell) • Currently at the stage of building the podium, expected completion is Q1/Q2 2013 • Window wall building, 30 storeys above ground in total (4 levels of 70 carpark spaces spread on ground and 3 basement levels) • All office, no retail. • 2.7m ceiling height clear • 6,000 sq ft gross floor plate • Casey will move their headquarter in Sheung Wan to take up 3 levels in this new building on Heung Yip Rd. • Their target tenants are international companies’ back office, eg: Morgan Stanley’s back office in Island East. • Current rental expectations around $15-18 psf (as per existing Southmark building) _x000a_Sep 2011 (Cynthia) &amp; Marcus (OS): currently rebuilding on low zone, TBC Q4 2012 - Q1 2013._x000a_Roy (Aug2011): construction began last month"/>
    <x v="28"/>
    <m/>
    <m/>
    <m/>
    <m/>
  </r>
  <r>
    <m/>
    <x v="32"/>
    <s v="49 King Yip Street"/>
    <m/>
    <x v="4"/>
    <x v="3"/>
    <x v="3"/>
    <x v="1"/>
    <x v="5"/>
    <x v="1"/>
    <s v="2013 Q2"/>
    <x v="1"/>
    <x v="0"/>
    <n v="1"/>
    <n v="24"/>
    <m/>
    <n v="6309"/>
    <x v="32"/>
    <x v="1"/>
    <m/>
    <m/>
    <n v="13942.865105908584"/>
    <n v="150081"/>
    <n v="8568.8405797101459"/>
    <n v="92235"/>
    <m/>
    <m/>
    <m/>
    <n v="0"/>
    <n v="92235"/>
    <n v="0"/>
    <n v="0"/>
    <s v="Commercial"/>
    <s v="OP Issued"/>
    <s v="BD Monthly Digest"/>
    <d v="2013-04-01T00:00:00"/>
    <d v="2013-06-07T00:00:00"/>
    <m/>
    <x v="1"/>
    <x v="0"/>
    <s v="For Sale"/>
    <x v="1"/>
    <s v="Sep 2011: Sam (OS) - building rumoured to have sold to a bank (en-bloc), should know more in 1-2 months time._x000a_Between Billion's 24 Hing Yip Street and Manulife Financial Centre"/>
    <x v="29"/>
    <m/>
    <m/>
    <m/>
    <s v="MULTIPOLYGON (((114.225297969 22.308142904,114.225311827 22.3081273720001,114.225324176 22.3081369110001,114.225403248 22.3080482810001,114.225341636 22.3079998710001,114.225351544 22.307988743,114.225206101 22.307876845,114.225093137 22.307990456,114.225222997 22.30809059,114.22520298 22.3081130620001,114.225287327 22.308178215,114.22531032 22.308152444,114.225297969 22.308142904)))"/>
  </r>
  <r>
    <s v="廣新行貨倉有限公司第三倉 (ext.)"/>
    <x v="33"/>
    <s v="6 Wang Kwong Road"/>
    <m/>
    <x v="3"/>
    <x v="3"/>
    <x v="3"/>
    <x v="1"/>
    <x v="5"/>
    <x v="2"/>
    <s v="2013 Q3"/>
    <x v="0"/>
    <x v="0"/>
    <n v="1"/>
    <n v="33"/>
    <m/>
    <n v="10837.69696969697"/>
    <x v="33"/>
    <x v="1"/>
    <m/>
    <m/>
    <n v="33226.246992261171"/>
    <n v="357644"/>
    <n v="24919.685244195876"/>
    <n v="268233"/>
    <m/>
    <m/>
    <m/>
    <n v="0"/>
    <n v="268233"/>
    <n v="0"/>
    <n v="0"/>
    <s v="Commercial"/>
    <s v="OP Issued"/>
    <s v="BD Monthly Digest"/>
    <d v="2013-09-01T00:00:00"/>
    <d v="2013-09-01T00:00:00"/>
    <s v="Redevelopment"/>
    <x v="6"/>
    <x v="0"/>
    <s v="For Sale"/>
    <x v="1"/>
    <s v="Jun 2013: scaffolding coming off, should get OP in Oct._x000a_Jan 2013: Lands Department offered land premium of $5,000. Billion will likely appeal._x000a_Dec 2012 (Sing Tao): The developer said it was not in talks with the government on the land premium of the office tower project on No 6 Wang Kwong Road, Kowloon Bay. The psf price might exceed HK$3,000._x000a_Nov 2012 (Rocky): Spoken with Billion last week, they still haven’t agree the final amount of land premium with the government therefore no indicated price available yet. However, they will not apply for pre-sale consent on this property. Thus, this property will not be ready for sale before OP. Their expected OP is in Q3 2013._x000a_Aug 2012 (JD): half way up already_x000a_Feb 2012: Foundation done, but Henderson wants to sell adjacent building first_x000a_Sep 2011: Sam (OS) - building demolished. / JD (OS): land premium only HK$2,200 psf, so they will most likely accept. Approximately 300,000 sq ft on track for Q3 2013._x000a_Apple (25/8/09): 億京斥2.9億購入九龍灣工廈/ 未補地價/ Est PR=15x. Sam Li (7 Jun 2011):Demolition of old building in progress                                            Opposite Billion Centre (1 Wang Kwong Road)"/>
    <x v="7"/>
    <m/>
    <m/>
    <m/>
    <m/>
  </r>
  <r>
    <m/>
    <x v="34"/>
    <s v="1, 1A &amp; 1B Sheung Yuet Road"/>
    <m/>
    <x v="3"/>
    <x v="3"/>
    <x v="3"/>
    <x v="1"/>
    <x v="5"/>
    <x v="2"/>
    <s v="2013 Q3"/>
    <x v="0"/>
    <x v="1"/>
    <n v="1"/>
    <n v="33"/>
    <m/>
    <n v="8017.5164727272722"/>
    <x v="34"/>
    <x v="1"/>
    <m/>
    <m/>
    <n v="24579.9"/>
    <n v="264578.04359999998"/>
    <n v="18908.099999999999"/>
    <n v="203526.78839999996"/>
    <m/>
    <m/>
    <m/>
    <n v="0"/>
    <n v="203526.78839999996"/>
    <n v="0"/>
    <n v="0"/>
    <s v="Commercial"/>
    <s v="OP Issued"/>
    <s v="BD Monthly Digest"/>
    <d v="2013-09-01T00:00:00"/>
    <d v="2014-09-12T00:00:00"/>
    <s v="Redevelopment"/>
    <x v="6"/>
    <x v="0"/>
    <s v="For Sale"/>
    <x v="1"/>
    <m/>
    <x v="30"/>
    <m/>
    <m/>
    <m/>
    <m/>
  </r>
  <r>
    <s v="創紀之城7"/>
    <x v="35"/>
    <s v="181 Hoi Bun Road"/>
    <m/>
    <x v="4"/>
    <x v="3"/>
    <x v="3"/>
    <x v="1"/>
    <x v="5"/>
    <x v="2"/>
    <s v="2013 Q3"/>
    <x v="0"/>
    <x v="0"/>
    <n v="1"/>
    <s v="25+1 basement"/>
    <m/>
    <n v="18000"/>
    <x v="35"/>
    <x v="1"/>
    <m/>
    <m/>
    <n v="34293.982664275958"/>
    <n v="369137"/>
    <n v="25034.607344921453"/>
    <n v="269470.01"/>
    <m/>
    <m/>
    <m/>
    <n v="0"/>
    <n v="269470.01"/>
    <n v="0"/>
    <n v="0"/>
    <s v="Commercial"/>
    <s v="OP Issued"/>
    <s v="BD Monthly Digest"/>
    <d v="2013-09-01T00:00:00"/>
    <d v="2014-04-01T00:00:00"/>
    <s v="Redevelopment &amp; Site"/>
    <x v="19"/>
    <x v="0"/>
    <s v="For Sale"/>
    <x v="1"/>
    <s v="Mar 2013: alreadt fitting curtain wall_x000a_Jun 2012: Sam &amp; JD (OS) - SHK will now entertain en-bloc purchase; now up to 12th floor; Phase 1 development will be slightly bigger than C-Bon, both site GFA and typical floor area.  At this stage, assume a typical floor area of 18,700 sq ft GROSS which is 10% bigger than C-Bon.  For site GFA assume 340,000 sq ft GROSS.  _x000a_Not sure about the ownership structure of the development but likely this will be JV between SHK and Wongs._x000a_Feb 2012: Construction started_x000a_Sep 2011: Sam (OS) - need to check which part SHKP &amp; Wong's are responsible for. Now building is standing on Wong's part, while bare site is on SHKP's part. Right now, no information could be released from SHKP._x000a_Originally owned by Jebsen Properties but was sold to a local industrialist at 127.8 million or 413 psf a.v..  The buyer is considering to redevelop the site into a commercial bldg to serve as the headquarter of his production business_x000a_(Early 2010) Land Premium: $270.4M; (2007) SHKP acquired the Ind Bldg for $345M"/>
    <x v="31"/>
    <m/>
    <m/>
    <m/>
    <m/>
  </r>
  <r>
    <s v="億利達工業大廈 (existing)"/>
    <x v="36"/>
    <s v="135-137 Hoi Bun Road"/>
    <m/>
    <x v="4"/>
    <x v="3"/>
    <x v="3"/>
    <x v="1"/>
    <x v="5"/>
    <x v="2"/>
    <s v="2013 Q3"/>
    <x v="0"/>
    <x v="0"/>
    <n v="1"/>
    <n v="25"/>
    <m/>
    <n v="10114.08"/>
    <x v="36"/>
    <x v="1"/>
    <m/>
    <m/>
    <n v="23490.742203104823"/>
    <n v="252852"/>
    <n v="16443.519542173377"/>
    <n v="176996.4"/>
    <m/>
    <m/>
    <m/>
    <n v="0"/>
    <n v="176996.4"/>
    <n v="0"/>
    <n v="0"/>
    <s v="Commercial"/>
    <s v="OP Issued"/>
    <s v="BD Monthly Digest"/>
    <d v="2013-09-01T00:00:00"/>
    <d v="2013-09-13T00:00:00"/>
    <s v="Redevelopment"/>
    <x v="20"/>
    <x v="0"/>
    <s v="For Sale"/>
    <x v="1"/>
    <s v="Oct 2012: Rocky - The landlord is still getting the presale consent from the Government. It is expected to be granted by end of this month. The initial asking for low and mid zone is ranging from HK$7,000psfg to HK$8,000psfg._x000a_Oct 2011: Rocky (OS) - Sundart paid HK$386.5M (HK$1,867psf for 207,000sf) land premium to change it to office use._x000a_Sep 2011: Sam (OS) - building demolished 1-2 months ago, now a bare site_x000a_May 2011: Demolition issued"/>
    <x v="32"/>
    <m/>
    <m/>
    <m/>
    <m/>
  </r>
  <r>
    <m/>
    <x v="37"/>
    <s v="8 Connaught Place"/>
    <m/>
    <x v="8"/>
    <x v="6"/>
    <x v="5"/>
    <x v="0"/>
    <x v="5"/>
    <x v="3"/>
    <s v="2013 Q4"/>
    <x v="0"/>
    <x v="0"/>
    <n v="1"/>
    <n v="5"/>
    <m/>
    <n v="10000"/>
    <x v="37"/>
    <x v="1"/>
    <m/>
    <m/>
    <n v="4645.1564953223278"/>
    <n v="50000"/>
    <n v="4645.1564953223278"/>
    <n v="50000"/>
    <n v="50000"/>
    <m/>
    <m/>
    <n v="0"/>
    <n v="0"/>
    <n v="0"/>
    <n v="1"/>
    <s v="Commercial"/>
    <s v="OP Issued"/>
    <s v="BD Monthly Digest"/>
    <d v="2013-12-01T00:00:00"/>
    <d v="2014-02-07T00:00:00"/>
    <s v="Redevelopment"/>
    <x v="21"/>
    <x v="0"/>
    <s v="For Lease"/>
    <x v="0"/>
    <s v="Sep 2013: from HKLand website &quot;The Forum commenced redevelopment in Dec 2011. The new Forum will be a 7-storey building, 5 of which are designed for office use. Inspired by crystal formations, the new Forum is designed to resemble a cut gemstone nestled within natural surroundings, and the plaza includes a landscaped roof garden, stepped terraces and fountains as well as sculptures by celebrated artists such as Henry Moore, Ju Ming and Dame Elisabeth Frink. The Forum redevelopment, including the plaza area, is scheduled for completion in early 2014.&quot;_x000a_Feb2012: Demolition issued_x000a_Jan2012: The entire building is pre-let to Standard Chartered, The lowest floor (1st) and the 2nd floor is planned for retail BANKING use and the 3rd, 4th and 5th floors for SCB’s Wealth Management business though this is not yet confirmed. The entire development is OFFICE use, not retail._x000a_Dec2012: “ Hongkong Land announced details of its plans for the HK$560 million (US$72 million) redevelopment of The Forum. It will be a 7-storey building, five of which are designed for office use. It will have a total GFA of some 48,000 sq. ft, approximately 15% larger than the current building. The redeveloped Forum is designed to achieve the highest possible environmental rating.”"/>
    <x v="33"/>
    <m/>
    <m/>
    <m/>
    <m/>
  </r>
  <r>
    <m/>
    <x v="38"/>
    <s v="19-21 Wong Chuk Hang Road"/>
    <m/>
    <x v="9"/>
    <x v="7"/>
    <x v="6"/>
    <x v="0"/>
    <x v="5"/>
    <x v="3"/>
    <s v="2013 Q4"/>
    <x v="0"/>
    <x v="0"/>
    <n v="1"/>
    <n v="31"/>
    <m/>
    <n v="9700"/>
    <x v="38"/>
    <x v="1"/>
    <m/>
    <m/>
    <n v="23915.030797387564"/>
    <n v="257419"/>
    <n v="17936.273098040674"/>
    <n v="193064.25"/>
    <m/>
    <m/>
    <m/>
    <n v="0"/>
    <n v="193064.25"/>
    <n v="0"/>
    <n v="0"/>
    <s v="Commercial"/>
    <s v="OP Issued"/>
    <s v="BD Monthly Digest"/>
    <d v="2013-12-01T00:00:00"/>
    <d v="2014-02-07T00:00:00"/>
    <s v="Redevelopment"/>
    <x v="22"/>
    <x v="0"/>
    <s v="For Sale"/>
    <x v="1"/>
    <s v="Developer Contact: Steve Tse 2908 8380/ 2909 8543)_x000a_Mar 2013: The pre-sale consent of the office project of Henderson will be issue soon with indicative price of $10,000 psf on strata-basis, but can also try en-bloc._x000a_Aug 2011 (Cynthia):met with Steve from henderson, he advised Q1 2014 completion.  Approx 32 floors.  Currently at the stage of getting design approvals._x000a_Aug 2011 - Marcus (OS): This is possibly for sale._x000a_HKET(16Dec2010): LandsD has annouced the land premium has paid by the developers of $100.18M, or $467 psf for lease modification from industrial to commercial use. The developers have submitted the plan as early as 2001 for developing a 24-storeys commercial bldgs with GFA 214.5k sf."/>
    <x v="34"/>
    <m/>
    <m/>
    <m/>
    <m/>
  </r>
  <r>
    <m/>
    <x v="39"/>
    <s v="31-37 Des Voeux Road Central"/>
    <m/>
    <x v="8"/>
    <x v="6"/>
    <x v="5"/>
    <x v="0"/>
    <x v="6"/>
    <x v="0"/>
    <s v="2014 Q1"/>
    <x v="0"/>
    <x v="0"/>
    <n v="1"/>
    <n v="27"/>
    <m/>
    <n v="2731.7407407407409"/>
    <x v="39"/>
    <x v="1"/>
    <m/>
    <m/>
    <n v="6852.2561525097781"/>
    <n v="73757"/>
    <n v="4796.5885970698355"/>
    <n v="51630"/>
    <m/>
    <m/>
    <m/>
    <n v="51630"/>
    <n v="0"/>
    <n v="0"/>
    <n v="0"/>
    <s v="Commercial"/>
    <s v="OP Issued"/>
    <s v="BD Monthly Digest"/>
    <d v="2014-01-01T00:00:00"/>
    <d v="2014-03-20T00:00:00"/>
    <s v="Redevelopment"/>
    <x v="23"/>
    <x v="0"/>
    <s v="For Lease"/>
    <x v="0"/>
    <s v="Jun 2013: JLL are sole leasing agent._x000a_Contact: Peter Hsiao 3608 6128_x000a_Mar 2013: Bank of East Asia could take 1 retail floor and 1 or 2 office floor, but not yet confirmed._x000a_Feb 2013 (Roy): superstructure seems to be done up to top level, the hoarding says completion for 2013._x000a_Jun 2012 (Ian): Clear site with work currently being undertaken on basement level.  Will ask Gerry to see if he can find out more details through a contact he has._x000a_Sep 2011 (Cynthia): TAGRET TO BUILD CRM FOR FUTURE PITCHING.  Cynthia called and left msg for Peter to call back._x000a_Sep 2011 (Cynthia): getting rebuilt on low zone, will be completed around Q1, 2013._x000a_2006/8/16 Sing Tao Daily 東 亞 銀 行 所 持 的 中 環 中 國 聯 合 銀 行 大 廈 四 分 之 三 業 權 ， 消 息 人 士 指 本 周 末 、 下 周 初 將 正 式 揭 盅 ， 預 料 交 易 涉 資 約 五 億 元 ， 平 均 呎 價 約 七 千 八 百 元 ， 據 了 解 ， 發 展 商 莊 士 機 構 及 有 關 人 士 可 望 「 爆 冷 門 」 ， 壓 倒 現 持 有 該 廈 其 餘 四 分 之 一 業 權 的 「 奪 標 大 熱 」 陳 姓 資 深 投 資 者 及 有 關 人 士 。 本 報 昨 日 致 電 負 責 標 售 的 仲 量 聯 行 查 詢 ， 惟 截 稿 前 還 沒 有 聯 絡 上 。 不 過 ， 昨 日 市 場 傳 聞 ， 資 本 策 略 及 有 關 人 士 以 約 五 億 一 千 萬 元 購 入 該 物 業 。_x000a_http://www.singtao.com/archive/fullstory.asp?andor=or&amp;year1=2006&amp;month1=8&amp;day1=16&amp;year2=2006&amp;month2=8&amp;day2=16&amp;category=all&amp;id=20060816h09&amp;keyword1=&amp;keyword2=_x000a_MingPao (26May2010): 東亞發言人表示, 公司是1995年購入該物業, 物業有16層, 樓面主要以自用為主, 部分樓面分租出去, 重建後主要都會作自用._x000a_HKET (26May2010): 2006年, 東亞銀行當時持有該廈四分三業權, 並推出標售, 當時市值約4.3億元, 吸引多個有_x000a_興趣買家入標. 但業主最終收回物業, 並統一業權."/>
    <x v="35"/>
    <m/>
    <m/>
    <m/>
    <m/>
  </r>
  <r>
    <s v="億京中心 II"/>
    <x v="40"/>
    <s v="10 Cheung Yue Street"/>
    <m/>
    <x v="7"/>
    <x v="4"/>
    <x v="4"/>
    <x v="1"/>
    <x v="6"/>
    <x v="0"/>
    <s v="2014 Q1"/>
    <x v="0"/>
    <x v="0"/>
    <n v="1"/>
    <n v="29"/>
    <m/>
    <n v="7162.8852413793102"/>
    <x v="40"/>
    <x v="1"/>
    <m/>
    <m/>
    <n v="19298"/>
    <n v="207723.67199999999"/>
    <n v="14956.2"/>
    <n v="160988.5368"/>
    <m/>
    <m/>
    <m/>
    <n v="0"/>
    <n v="160988.5368"/>
    <n v="0"/>
    <n v="0"/>
    <s v="Commercial"/>
    <s v="OP Issued"/>
    <s v="BD Monthly Digest"/>
    <d v="2014-01-01T00:00:00"/>
    <d v="2014-04-01T00:00:00"/>
    <s v="Redevelopment"/>
    <x v="6"/>
    <x v="0"/>
    <s v="For Sale"/>
    <x v="1"/>
    <s v="Apr 2014: To be completed in May 2014 according to Billion online brochure._x000a_Jun 2013: should get pre-sale consent this month._x000a_Dec 2012 (Sing Tao): Billion has applied for pre-sale consent for the second phase of Billion Plaza, No 10 Cheung Yue Street, Cheung Sha Wan. It is expected that it would receive the approval in the first to the second quarter of next year. The indicative psf price is nearly HK$10,000._x000a_Aug 2012 (JD): foundation stage_x000a_27Sep2011 (HKET): &quot;Earliest Billion can release this project is 1H 2011, around $7,000 psf&quot;_x000a_Sep 2011: JD (OS) - currently bare site and have started construction. OP is expected around Q3 2013 (latest from landlord)._x000a_Demolition Issued March 2011"/>
    <x v="36"/>
    <m/>
    <m/>
    <m/>
    <m/>
  </r>
  <r>
    <m/>
    <x v="41"/>
    <s v="71 Hoi Yuen Road"/>
    <m/>
    <x v="4"/>
    <x v="3"/>
    <x v="3"/>
    <x v="1"/>
    <x v="6"/>
    <x v="0"/>
    <s v="2014 Q1"/>
    <x v="2"/>
    <x v="0"/>
    <n v="1"/>
    <m/>
    <m/>
    <m/>
    <x v="41"/>
    <x v="2"/>
    <m/>
    <m/>
    <n v="9476.0312151616508"/>
    <n v="102000"/>
    <n v="6633.2218506131558"/>
    <n v="71400"/>
    <m/>
    <m/>
    <m/>
    <n v="0"/>
    <n v="0"/>
    <n v="0"/>
    <n v="1"/>
    <m/>
    <m/>
    <m/>
    <m/>
    <m/>
    <s v="Revitalization"/>
    <x v="24"/>
    <x v="0"/>
    <m/>
    <x v="0"/>
    <m/>
    <x v="37"/>
    <m/>
    <m/>
    <m/>
    <s v="MULTIPOLYGON (((114.225081949 22.3112402570001,114.225266912 22.311031689,114.225044049 22.310854717,114.224854612 22.3110645470001,114.225081949 22.3112402570001)))"/>
  </r>
  <r>
    <m/>
    <x v="42"/>
    <s v="213 Wai Yip Street"/>
    <s v="KTIL 294"/>
    <x v="4"/>
    <x v="3"/>
    <x v="3"/>
    <x v="1"/>
    <x v="6"/>
    <x v="1"/>
    <s v="2014 Q2"/>
    <x v="2"/>
    <x v="0"/>
    <n v="1"/>
    <n v="10"/>
    <m/>
    <n v="23093.4"/>
    <x v="42"/>
    <x v="0"/>
    <m/>
    <m/>
    <n v="21454.292084726869"/>
    <n v="230934"/>
    <n v="16090.719063545152"/>
    <n v="173200.5"/>
    <m/>
    <m/>
    <m/>
    <n v="173200.5"/>
    <n v="0"/>
    <n v="0"/>
    <n v="0"/>
    <m/>
    <m/>
    <m/>
    <m/>
    <d v="2013-06-04T00:00:00"/>
    <s v="Revitalization"/>
    <x v="25"/>
    <x v="0"/>
    <s v="For Lease"/>
    <x v="0"/>
    <s v="Jun 2013: The proposed scheme has been approved by the government in May 2012. The conversion works will start in 2nd quarter of 2013, and completion is expected by the middle of 2014."/>
    <x v="38"/>
    <m/>
    <m/>
    <m/>
    <s v="MULTIPOLYGON (((114.222365464 22.3095479070001,114.222384817 22.3095619280001,114.22272006 22.3091872300001,114.222644615 22.309130409,114.222622333 22.3091553150001,114.222481264 22.3090459900001,114.222350142001 22.309055596,114.222095843 22.3093391790001,114.222365464 22.3095479070001)))"/>
  </r>
  <r>
    <m/>
    <x v="43"/>
    <s v="64 Tsun Yip Street"/>
    <m/>
    <x v="4"/>
    <x v="3"/>
    <x v="3"/>
    <x v="1"/>
    <x v="6"/>
    <x v="1"/>
    <s v="2014 Q2"/>
    <x v="2"/>
    <x v="0"/>
    <n v="1"/>
    <m/>
    <m/>
    <m/>
    <x v="41"/>
    <x v="2"/>
    <m/>
    <m/>
    <n v="11148.272017837236"/>
    <n v="120000"/>
    <n v="7803.7904124860652"/>
    <n v="84000"/>
    <m/>
    <m/>
    <m/>
    <n v="0"/>
    <n v="0"/>
    <n v="0"/>
    <n v="1"/>
    <m/>
    <m/>
    <m/>
    <m/>
    <m/>
    <s v="Revitalization"/>
    <x v="26"/>
    <x v="0"/>
    <m/>
    <x v="0"/>
    <m/>
    <x v="39"/>
    <m/>
    <m/>
    <m/>
    <s v="MULTIPOLYGON (((114.22321758 22.311698273,114.22335021 22.3118011930001,114.223673823 22.311437202,114.223540679 22.3113342830001,114.22321758 22.311698273)))"/>
  </r>
  <r>
    <m/>
    <x v="44"/>
    <s v="94-96 How Ming Street"/>
    <m/>
    <x v="4"/>
    <x v="3"/>
    <x v="3"/>
    <x v="1"/>
    <x v="6"/>
    <x v="2"/>
    <s v="2014 Q3"/>
    <x v="2"/>
    <x v="0"/>
    <n v="1"/>
    <m/>
    <m/>
    <m/>
    <x v="41"/>
    <x v="2"/>
    <m/>
    <m/>
    <n v="10405.053883314753"/>
    <n v="112000"/>
    <n v="7283.5377183203273"/>
    <n v="78400"/>
    <m/>
    <m/>
    <m/>
    <n v="0"/>
    <n v="0"/>
    <n v="0"/>
    <n v="1"/>
    <m/>
    <m/>
    <m/>
    <m/>
    <m/>
    <s v="Revitalization"/>
    <x v="27"/>
    <x v="0"/>
    <m/>
    <x v="0"/>
    <m/>
    <x v="40"/>
    <m/>
    <m/>
    <m/>
    <s v="MULTIPOLYGON (((114.220268647 22.312620328,114.220149508 22.312728737,114.220157576 22.3128393880001,114.220443895 22.3130591190001,114.220590384 22.3129254380001,114.220268647 22.312620328)))"/>
  </r>
  <r>
    <m/>
    <x v="45"/>
    <s v="6 Sha Tsui Road"/>
    <m/>
    <x v="2"/>
    <x v="2"/>
    <x v="2"/>
    <x v="2"/>
    <x v="6"/>
    <x v="2"/>
    <s v="2014 Q3"/>
    <x v="0"/>
    <x v="0"/>
    <n v="1"/>
    <n v="33"/>
    <n v="22"/>
    <n v="15251"/>
    <x v="43"/>
    <x v="1"/>
    <m/>
    <m/>
    <n v="36838.164251207731"/>
    <n v="396526"/>
    <n v="27260.241545893721"/>
    <n v="293429.24"/>
    <n v="11285.74"/>
    <m/>
    <m/>
    <n v="282143.5"/>
    <n v="0"/>
    <n v="0"/>
    <n v="3.8461538461538436E-2"/>
    <s v="Commercial"/>
    <s v="OP Issued"/>
    <s v="BD Monthly Digest"/>
    <d v="2014-10-01T00:00:00"/>
    <d v="2014-12-24T00:00:00"/>
    <s v="Redevelopment"/>
    <x v="28"/>
    <x v="0"/>
    <s v="For Lease"/>
    <x v="0"/>
    <s v="Jan 2013 (Ming Pao): K. Wah is looking to pre-sell the unfinished units as soon as after CNY. Floor plate of approx. 18,000 sf, and scheduled to be completed in Q3 2014. The tentative price is around $10,000 psf _x000a_Sep 2011: Sam (OS) - highly unlikely to be office, existing use is industrial. Need to check with Darren Benson."/>
    <x v="41"/>
    <m/>
    <m/>
    <m/>
    <m/>
  </r>
  <r>
    <m/>
    <x v="46"/>
    <s v="48 Connaught Road Central"/>
    <m/>
    <x v="8"/>
    <x v="6"/>
    <x v="5"/>
    <x v="0"/>
    <x v="6"/>
    <x v="3"/>
    <s v="2014 Q4"/>
    <x v="1"/>
    <x v="0"/>
    <n v="1"/>
    <n v="25"/>
    <m/>
    <n v="1542.0506399999999"/>
    <x v="44"/>
    <x v="1"/>
    <m/>
    <m/>
    <n v="3581.5"/>
    <n v="38551.265999999996"/>
    <n v="1842.5"/>
    <n v="19832.669999999998"/>
    <m/>
    <m/>
    <m/>
    <n v="19832.669999999998"/>
    <n v="0"/>
    <n v="0"/>
    <n v="0"/>
    <s v="Commercial"/>
    <s v="OP Issued"/>
    <s v="BD Monthly Digest"/>
    <d v="2014-10-01T00:00:00"/>
    <d v="2015-04-22T00:00:00"/>
    <s v="Redevelopment"/>
    <x v="29"/>
    <x v="0"/>
    <s v="For Lease"/>
    <x v="0"/>
    <m/>
    <x v="42"/>
    <m/>
    <m/>
    <m/>
    <s v="MULTIPOLYGON (((114.156082121 22.284894273,114.156070856 22.284907698,114.156036824 22.284882963,114.155987252 22.284942038,114.15598755 22.284968744,114.156076646 22.285033498,114.156151696 22.284944061,114.156082121 22.284894273)))"/>
  </r>
  <r>
    <m/>
    <x v="47"/>
    <s v="198 Wellington Street"/>
    <m/>
    <x v="12"/>
    <x v="9"/>
    <x v="8"/>
    <x v="0"/>
    <x v="6"/>
    <x v="3"/>
    <s v="2014 Q4"/>
    <x v="1"/>
    <x v="0"/>
    <n v="1"/>
    <n v="29"/>
    <n v="18"/>
    <n v="2914.7427310344829"/>
    <x v="45"/>
    <x v="1"/>
    <m/>
    <m/>
    <n v="7852.8"/>
    <n v="84527.539199999999"/>
    <n v="5004.8999999999996"/>
    <n v="53872.743599999994"/>
    <m/>
    <m/>
    <m/>
    <n v="53872.743599999994"/>
    <n v="0"/>
    <n v="0"/>
    <n v="0"/>
    <s v="Commercial"/>
    <s v="OP Issued"/>
    <s v="BD Monthly Digest"/>
    <d v="2014-12-01T00:00:00"/>
    <d v="2015-04-22T00:00:00"/>
    <s v="Redevelopment"/>
    <x v="30"/>
    <x v="0"/>
    <s v="For Lease"/>
    <x v="0"/>
    <m/>
    <x v="43"/>
    <m/>
    <m/>
    <m/>
    <s v="MULTIPOLYGON (((114.152910576 22.2849401170001,114.153114842 22.2847421660001,114.153062951 22.2847068030001,114.153027612 22.284741059,114.152997418 22.2847161610001,114.152972792 22.2847404900001,114.152978472 22.284759325,114.152882334 22.284828167,114.152910576 22.2849401170001)))"/>
  </r>
  <r>
    <m/>
    <x v="48"/>
    <s v="10 Shing Yip Street"/>
    <m/>
    <x v="4"/>
    <x v="3"/>
    <x v="3"/>
    <x v="1"/>
    <x v="6"/>
    <x v="3"/>
    <s v="2014 Q4"/>
    <x v="0"/>
    <x v="0"/>
    <n v="1"/>
    <n v="31"/>
    <n v="14"/>
    <n v="12732"/>
    <x v="46"/>
    <x v="1"/>
    <m/>
    <m/>
    <n v="16559.797099564286"/>
    <n v="178248"/>
    <n v="12332.054366911621"/>
    <n v="132741"/>
    <m/>
    <m/>
    <m/>
    <n v="0"/>
    <n v="132741"/>
    <n v="0"/>
    <n v="0"/>
    <s v="Commercial"/>
    <s v="OP Issued"/>
    <s v="BD Monthly Digest"/>
    <d v="2014-12-01T00:00:00"/>
    <d v="2015-02-17T00:00:00"/>
    <s v="Redevelopment"/>
    <x v="6"/>
    <x v="0"/>
    <s v="For Sale"/>
    <x v="1"/>
    <s v="_x000a_Feb 2015 (RN): got OP in Dec 2014_x000a_Feb 2015 (JN): NFA updated according to Feb3 price list_x000a_Nov 2014 (RN): should be able to complete this year._x000a_Jun 2013: foundation done._x000a_Dec 2012 (Sing Tao): Billion has paid land premium of around $2,700-$2,800 psf. They will apply for pre-sale consent this month at the earliest. They may be approved and put up for sale in the third and the fourth quarter of next year. The indicative psf price is more than HK$10,000._x000a_Aug 2012 (JD): delayed due to land premium issue. Clear site at the moment, no foundation._x000a_Jun 2012: Demolished. Could be delayed subject to lease modification._x000a_Nov 2011 (Roy): Demolition issued in October._x000a_Sep 2011: JD (OS) - could be delayed from 2013 to 2014 Q1 earliest / Sam (OS) - developer appealing against land premium, if land premium is exceeds $3,000 psf, then they will only refurbish. Only scaffolding, no demolition works yet._x000a_Billion bought in Q3 2009 for $340m._x000a_existing bldg: Trinity Textile Industrial Building (No demolition record from BD yet)"/>
    <x v="44"/>
    <m/>
    <m/>
    <m/>
    <m/>
  </r>
  <r>
    <m/>
    <x v="49"/>
    <s v="164 Wai Yip Street"/>
    <m/>
    <x v="4"/>
    <x v="3"/>
    <x v="3"/>
    <x v="1"/>
    <x v="6"/>
    <x v="3"/>
    <s v="2014 Q4"/>
    <x v="2"/>
    <x v="0"/>
    <n v="1"/>
    <m/>
    <m/>
    <m/>
    <x v="41"/>
    <x v="2"/>
    <m/>
    <m/>
    <n v="6224.4518766257897"/>
    <n v="67000"/>
    <n v="4357.1163136380528"/>
    <n v="46900"/>
    <m/>
    <m/>
    <m/>
    <n v="0"/>
    <n v="0"/>
    <n v="0"/>
    <n v="1"/>
    <m/>
    <m/>
    <m/>
    <m/>
    <m/>
    <s v="Revitalization"/>
    <x v="31"/>
    <x v="0"/>
    <m/>
    <x v="0"/>
    <m/>
    <x v="45"/>
    <m/>
    <m/>
    <m/>
    <s v="MULTIPOLYGON (((114.220275762 22.310913575,114.220267733 22.310885894,114.220285466 22.310867102,114.220301158 22.3108850710001,114.220371643 22.3108067820001,114.220236785 22.310703346,114.220144819001 22.310812569,114.220275762 22.310913575)))"/>
  </r>
  <r>
    <m/>
    <x v="50"/>
    <s v="33-35 Wong Chuk Hang Road"/>
    <m/>
    <x v="9"/>
    <x v="7"/>
    <x v="6"/>
    <x v="0"/>
    <x v="7"/>
    <x v="0"/>
    <s v="2015 Q1"/>
    <x v="2"/>
    <x v="0"/>
    <n v="1"/>
    <n v="23"/>
    <m/>
    <n v="10254"/>
    <x v="47"/>
    <x v="1"/>
    <m/>
    <m/>
    <n v="22296.544035674473"/>
    <n v="240000"/>
    <n v="15607.58082497213"/>
    <n v="168000"/>
    <m/>
    <m/>
    <m/>
    <n v="168000"/>
    <n v="0"/>
    <n v="0"/>
    <n v="0"/>
    <s v="Commercial"/>
    <m/>
    <s v="Collier's"/>
    <d v="2013-02-01T00:00:00"/>
    <d v="2015-05-01T00:00:00"/>
    <s v="Revitalization"/>
    <x v="32"/>
    <x v="0"/>
    <s v="For Lease"/>
    <x v="0"/>
    <s v="Jason (May 2014): Flatted factory, undergoing revialization for office-use.  Wholesale conversion"/>
    <x v="46"/>
    <m/>
    <m/>
    <m/>
    <s v="MULTIPOLYGON (((114.165393499 22.248636931,114.165385083 22.248693363,114.165612667 22.248737566,114.165857361 22.2488261290001,114.165957554 22.248571019,114.16576346 22.2485070960001,114.165423676 22.248437988,114.165393499 22.248636931)))"/>
  </r>
  <r>
    <s v="美心食品第三廠 redevelopment"/>
    <x v="51"/>
    <s v="17 Cheung Shun Street"/>
    <m/>
    <x v="7"/>
    <x v="4"/>
    <x v="4"/>
    <x v="1"/>
    <x v="7"/>
    <x v="0"/>
    <s v="2015 Q1"/>
    <x v="0"/>
    <x v="0"/>
    <n v="1"/>
    <s v="24+3 basement"/>
    <m/>
    <n v="7915.4419500000004"/>
    <x v="48"/>
    <x v="1"/>
    <m/>
    <m/>
    <n v="17648.7"/>
    <n v="189970.60680000001"/>
    <n v="11088.2"/>
    <n v="115286"/>
    <m/>
    <m/>
    <n v="115286"/>
    <n v="0"/>
    <n v="0"/>
    <n v="0"/>
    <n v="1"/>
    <s v="Commercial"/>
    <s v="OP Issued"/>
    <s v="BD Monthly Digest"/>
    <d v="2015-03-01T00:00:00"/>
    <d v="2015-05-20T00:00:00"/>
    <s v="Redevelopment"/>
    <x v="33"/>
    <x v="0"/>
    <s v="For Lease"/>
    <x v="0"/>
    <s v="_x000a_May 2015: OP received in March, Rocky says whole building should be for self-use._x000a_Apr 2015: Lease modification executed with a land premium of $418,180,000 in Feb 2013._x000a_Mar2012: Demolition issued_x000a_Mar2012: Sam (OS) - Existing an old industrial building by Maxim’s Group and Maxim will redevelop the building into a Grade A office.  Demolition will carry out soon.  Maxim will use most of the floor spaces as their headquarters from 14/F to 27/F and 7/F to 13/F (approx. 60,222 s.f.) will be for lease. Whilst 1/F to 5/F will be reserved for restaurant use and will be handled by the Maxim in-house leasing team.  "/>
    <x v="47"/>
    <m/>
    <m/>
    <m/>
    <m/>
  </r>
  <r>
    <m/>
    <x v="52"/>
    <s v="15 Chong Yip Street"/>
    <m/>
    <x v="4"/>
    <x v="3"/>
    <x v="3"/>
    <x v="1"/>
    <x v="7"/>
    <x v="0"/>
    <s v="2015 Q1"/>
    <x v="0"/>
    <x v="0"/>
    <n v="1"/>
    <n v="37"/>
    <m/>
    <n v="7200.7959891891887"/>
    <x v="49"/>
    <x v="1"/>
    <m/>
    <m/>
    <n v="24751.9"/>
    <n v="266429.45159999997"/>
    <n v="19240.900000000001"/>
    <n v="207109.04759999999"/>
    <m/>
    <m/>
    <m/>
    <n v="0"/>
    <n v="207109.04759999999"/>
    <n v="0"/>
    <n v="0"/>
    <s v="Commercial"/>
    <s v="OP Issued"/>
    <s v="BD Monthly Digest"/>
    <d v="2015-02-01T00:00:00"/>
    <d v="2015-04-22T00:00:00"/>
    <s v="Redevelopment"/>
    <x v="6"/>
    <x v="0"/>
    <s v="For Sale"/>
    <x v="1"/>
    <s v="_x000a_Apr 2014 (Roy): Called Billion, it's not available for sale/lease yet, possibly will be this month._x000a_May 2014: Land premium paid for HKD 1.122 Billion, average premium psf = HKD 4,200 psf (~267,000 sqft)_x000a_Jun 2013: foundation done._x000a_Jun 2012: Demolished._x000a_Feb 2012: to be sold on strata basis. Demolition issued November 2011._x000a_Sep 2011: JD (OS) - demolition begun 1-2 months ago. Billion indicated that it could be delayed from 2013 to Q1 2014 at the earliest."/>
    <x v="48"/>
    <m/>
    <m/>
    <m/>
    <m/>
  </r>
  <r>
    <m/>
    <x v="53"/>
    <s v="52-56 Tsun Yip Street"/>
    <m/>
    <x v="4"/>
    <x v="3"/>
    <x v="3"/>
    <x v="1"/>
    <x v="7"/>
    <x v="0"/>
    <s v="2015 Q1"/>
    <x v="0"/>
    <x v="0"/>
    <n v="1"/>
    <n v="35"/>
    <n v="18"/>
    <n v="15000"/>
    <x v="50"/>
    <x v="1"/>
    <m/>
    <m/>
    <n v="25286.696395392049"/>
    <n v="272186"/>
    <n v="17540.598290598293"/>
    <n v="188807"/>
    <m/>
    <n v="28907"/>
    <m/>
    <n v="0"/>
    <n v="159900"/>
    <n v="0"/>
    <n v="0.1531034336650654"/>
    <s v="Commercial"/>
    <s v="OP Issued"/>
    <s v="BD Monthly Digest"/>
    <d v="2015-01-01T00:00:00"/>
    <d v="2015-04-22T00:00:00"/>
    <s v="Redevelopment &amp; Site"/>
    <x v="6"/>
    <x v="0"/>
    <s v="For Sale"/>
    <x v="1"/>
    <s v="_x000a_Dec 2012 (Sing Tao): Billion paid land premium of around $2,700-$2,800. They will apply for pre-sale consent this month at the earliest. They may be approved and put up for sale in the third and the fourth quarter of next year. The indicative psf price is more than HK$10,000._x000a_Jun 2012: Foundation stage._x000a_27Sep2011 (HKET): land premium was approved at $3,400 psf, and will appeal_x000a_Sep 2011: (OS) - they are appealing the land premium."/>
    <x v="49"/>
    <m/>
    <m/>
    <m/>
    <m/>
  </r>
  <r>
    <m/>
    <x v="54"/>
    <s v="165 Hoi Bun Road"/>
    <m/>
    <x v="4"/>
    <x v="3"/>
    <x v="3"/>
    <x v="1"/>
    <x v="7"/>
    <x v="0"/>
    <s v="2015 Q1"/>
    <x v="2"/>
    <x v="0"/>
    <n v="1"/>
    <m/>
    <m/>
    <m/>
    <x v="41"/>
    <x v="2"/>
    <m/>
    <m/>
    <n v="13985.228539576367"/>
    <n v="150537"/>
    <n v="9789.6599777034553"/>
    <n v="105375.9"/>
    <m/>
    <m/>
    <m/>
    <n v="0"/>
    <n v="0"/>
    <n v="0"/>
    <n v="1"/>
    <m/>
    <m/>
    <m/>
    <m/>
    <m/>
    <s v="Revitalization"/>
    <x v="34"/>
    <x v="0"/>
    <m/>
    <x v="0"/>
    <m/>
    <x v="50"/>
    <m/>
    <m/>
    <m/>
    <s v="MULTIPOLYGON (((114.219605532 22.311053401,114.219729618 22.310906191,114.219330096 22.3106037860001,114.219308013 22.3106147060001,114.219256109 22.3106621850001,114.219230262 22.3107283390001,114.219212403 22.310715105,114.219194521 22.3107392800001,114.219605532 22.311053401)))"/>
  </r>
  <r>
    <m/>
    <x v="55"/>
    <s v="100 Kwai Cheong Road"/>
    <m/>
    <x v="2"/>
    <x v="2"/>
    <x v="2"/>
    <x v="2"/>
    <x v="7"/>
    <x v="0"/>
    <s v="2015 Q1"/>
    <x v="2"/>
    <x v="0"/>
    <n v="1"/>
    <n v="13"/>
    <m/>
    <n v="23076.923076923078"/>
    <x v="51"/>
    <x v="0"/>
    <m/>
    <m/>
    <n v="27870.680044593089"/>
    <n v="300000"/>
    <n v="20903.010033444818"/>
    <n v="225000"/>
    <m/>
    <m/>
    <m/>
    <n v="225000"/>
    <n v="0"/>
    <n v="0"/>
    <n v="0"/>
    <m/>
    <m/>
    <m/>
    <m/>
    <d v="2013-06-04T00:00:00"/>
    <s v="Revitalization"/>
    <x v="35"/>
    <x v="0"/>
    <s v="For Lease"/>
    <x v="0"/>
    <m/>
    <x v="51"/>
    <m/>
    <m/>
    <m/>
    <s v="MULTIPOLYGON (((114.132156113 22.361163731,114.132700114 22.3609980950001,114.132674181 22.360925756,114.132700755 22.360916284,114.132651162 22.360777766,114.132624163 22.360786236,114.132598965 22.360715946,114.132057844 22.3608816060001,114.132082434 22.3609522010001,114.132054838 22.3609616630001,114.132103739 22.361102057,114.132131412 22.3610928150001,114.132156113 22.361163731)))"/>
  </r>
  <r>
    <m/>
    <x v="56"/>
    <s v="50 Wong Chuk Hang Road"/>
    <m/>
    <x v="9"/>
    <x v="7"/>
    <x v="6"/>
    <x v="0"/>
    <x v="7"/>
    <x v="1"/>
    <s v="2015 Q2"/>
    <x v="0"/>
    <x v="0"/>
    <n v="1"/>
    <n v="32"/>
    <n v="27"/>
    <n v="5225"/>
    <x v="52"/>
    <x v="1"/>
    <m/>
    <m/>
    <n v="12756.967670011149"/>
    <n v="137316"/>
    <n v="7654.2177629134158"/>
    <n v="82390"/>
    <m/>
    <n v="82390"/>
    <m/>
    <n v="0"/>
    <n v="0"/>
    <n v="0"/>
    <n v="1"/>
    <s v="Commercial"/>
    <s v="OP Issued"/>
    <s v="BD Monthly Digest"/>
    <d v="2015-05-01T00:00:00"/>
    <d v="2015-07-14T00:00:00"/>
    <s v="Redevelopment"/>
    <x v="1"/>
    <x v="0"/>
    <s v="For Sale"/>
    <x v="1"/>
    <s v="http://www.50wchr.com/_x000a_SHK Annual Report 2012/13: Expected completion in 2014/15_x000a_SHK contact: Fillipe Leung: 2828 8660 / Amos Kwok: 2828 5178 / 2827 8111 _x000a_Aug 2011 (Cynthia): Potential only.  No definite plans yet. Inspection made: building unknocekd yet._x000a_Aug 2011 (Cynthia): Amos advised development plan is indefinite."/>
    <x v="52"/>
    <m/>
    <m/>
    <m/>
    <m/>
  </r>
  <r>
    <m/>
    <x v="57"/>
    <s v="73-75 Hung To Road"/>
    <m/>
    <x v="4"/>
    <x v="3"/>
    <x v="3"/>
    <x v="1"/>
    <x v="7"/>
    <x v="1"/>
    <s v="2015 Q2"/>
    <x v="2"/>
    <x v="0"/>
    <n v="1"/>
    <n v="12"/>
    <m/>
    <n v="17185.416666666668"/>
    <x v="53"/>
    <x v="1"/>
    <m/>
    <m/>
    <n v="19158.769973987368"/>
    <n v="206225"/>
    <n v="14369.077480490527"/>
    <n v="154668.75000000003"/>
    <m/>
    <m/>
    <m/>
    <n v="154668.75000000003"/>
    <n v="0"/>
    <n v="0"/>
    <n v="0"/>
    <m/>
    <m/>
    <m/>
    <m/>
    <d v="2013-06-04T00:00:00"/>
    <s v="Revitalization"/>
    <x v="31"/>
    <x v="0"/>
    <s v="For Lease"/>
    <x v="0"/>
    <m/>
    <x v="53"/>
    <m/>
    <m/>
    <m/>
    <s v="MULTIPOLYGON (((114.224443212 22.308866494,114.224149984 22.308640323,114.223854827001 22.308971884,114.224148927 22.309198844,114.224443212 22.308866494)))"/>
  </r>
  <r>
    <m/>
    <x v="58"/>
    <s v="71 Hung To Road"/>
    <m/>
    <x v="4"/>
    <x v="3"/>
    <x v="3"/>
    <x v="1"/>
    <x v="7"/>
    <x v="1"/>
    <s v="2015 Q2"/>
    <x v="2"/>
    <x v="0"/>
    <n v="1"/>
    <m/>
    <m/>
    <m/>
    <x v="41"/>
    <x v="2"/>
    <m/>
    <m/>
    <n v="9694.3515421776301"/>
    <n v="104350"/>
    <n v="6786.0460795243407"/>
    <n v="73045"/>
    <m/>
    <m/>
    <m/>
    <n v="0"/>
    <n v="0"/>
    <n v="0"/>
    <n v="1"/>
    <m/>
    <m/>
    <m/>
    <m/>
    <m/>
    <s v="Revitalization"/>
    <x v="24"/>
    <x v="0"/>
    <m/>
    <x v="0"/>
    <m/>
    <x v="54"/>
    <m/>
    <m/>
    <m/>
    <s v="MULTIPOLYGON (((114.22386678 22.3093727180001,114.224031708 22.309188324,114.223851447 22.309049448,114.223686558 22.309235244,114.22386678 22.3093727180001)))"/>
  </r>
  <r>
    <m/>
    <x v="59"/>
    <s v=" J/O Wai Yip Street, Shun Yip Street &amp; Hoi Bun Road"/>
    <s v="NKIL 6269"/>
    <x v="13"/>
    <x v="3"/>
    <x v="3"/>
    <x v="1"/>
    <x v="7"/>
    <x v="1"/>
    <s v="2015 Q2"/>
    <x v="0"/>
    <x v="0"/>
    <n v="2"/>
    <s v="21+2 basement"/>
    <m/>
    <n v="21781.620342857143"/>
    <x v="54"/>
    <x v="0"/>
    <m/>
    <m/>
    <n v="84990.389579984956"/>
    <n v="914828.05440000002"/>
    <n v="64514.199351536146"/>
    <n v="694424.39039999992"/>
    <m/>
    <n v="694424.39039999992"/>
    <m/>
    <n v="0"/>
    <n v="0"/>
    <n v="0"/>
    <n v="1"/>
    <s v="Commercial"/>
    <s v="OP Issued"/>
    <s v="BD Monthly Digest"/>
    <d v="2015-05-01T00:00:00"/>
    <d v="2015-05-20T00:00:00"/>
    <s v="Site"/>
    <x v="11"/>
    <x v="0"/>
    <s v="For Sale"/>
    <x v="0"/>
    <s v="_x000a_May 2015: OP received in May according to PjM_x000a_May 2014: Rod metioned Sep 2015_x000a_Apr 2013: Manulife (International) Limited have signed a sale-and-purchase agreement for One Bay East–West Tower at 83 Hoi Bun Road, Kowloon East for HK$4.5 billion (US$577 million), marking the largest single office tower purchase in Kowloon. One Bay East–West Tower will be named Manulife Tower and will serve as the headquarters for Manulife’s Hong Kong operations. Manulife plans to take occupancy in Manulife Tower in 2016._x000a_6 Dec 2012: (JD) - Wharf looking to sell one tower en-bloc and the other tower strata sale. 2 or 3 major occupiers (an insurance company and mainland chinese banks) are already looking to buy one of the towers en-bloc._x000a_The site went to Wheelock for 3.53 billion (3,856/buildable sf), near the lower end of market expectations. &quot;We plan to invest 2-2.5 billion for 2 grade A office bldgs with total GFA of 910,000 sf,&quot; Wheelock executive director Ricky Wong Kwong-yiu said, adding they will continue to focus more on commercial areas in both Kowloon East and Wong Chuk Hang.  The site is designated for non-residential use. 6 tenders were received for the site."/>
    <x v="55"/>
    <m/>
    <m/>
    <m/>
    <m/>
  </r>
  <r>
    <m/>
    <x v="60"/>
    <s v="2-12 Observatory Road"/>
    <m/>
    <x v="6"/>
    <x v="5"/>
    <x v="1"/>
    <x v="1"/>
    <x v="7"/>
    <x v="1"/>
    <s v="2015 Q2"/>
    <x v="0"/>
    <x v="0"/>
    <n v="1"/>
    <s v="19+3 basement"/>
    <n v="9"/>
    <n v="9634"/>
    <x v="55"/>
    <x v="1"/>
    <m/>
    <m/>
    <n v="8081.1036789297668"/>
    <n v="86985"/>
    <n v="5656.7725752508359"/>
    <n v="60889.499999999993"/>
    <n v="13542.9"/>
    <m/>
    <m/>
    <n v="47346.599999999991"/>
    <n v="0"/>
    <n v="0"/>
    <n v="0.22241765821693404"/>
    <s v="Commercial"/>
    <s v="OP Issued"/>
    <s v="BD Monthly Digest"/>
    <d v="2015-06-01T00:00:00"/>
    <d v="2015-08-21T00:00:00"/>
    <s v="Redevelopment"/>
    <x v="36"/>
    <x v="0"/>
    <s v="For Lease"/>
    <x v="0"/>
    <s v="_x000a_May 2015 (Clinton): An insurance company, guessing mass mutual, is still under negotiations for +80% of the office portion. The price has not been agreed and amount of space has not been confirmed, it is intended for consolidation._x000a_5/F &amp; 7/F has been leased to two Chinese restaurants @ $40psf &amp; mid $40psf respectively._x000a_Apr 2015 (Jen): They have reduced the asking rent: 2/F – 9/F for F&amp;B/ Retail tenant asking $43- $45; 10/F and above for Office tenant asking $38, reduced from $44.5; Top floor asking $70._x000a_Mar 2015 (Clinton): Spoke with Lai Sun, I was told they are finalising on securing an 8 floors anchor tenant and negotiating with at least 2  retail occupiers. OP in June, final completion in October. Additionally, they have been receiving purchase offers through Henderson. Henderson manage purchase interest and LSD strictly leasing._x000a_Apr 2014: 133.72 HK$ Mn Land Premium paid for site.  809 HK$ psf._x000a_Jun 2013: foundation work done._x000a_Sep 2011: used to be 3 old residential buildings, likely to be a bare site at the moment. OS to investigate and to check it's usage."/>
    <x v="56"/>
    <m/>
    <m/>
    <m/>
    <m/>
  </r>
  <r>
    <s v="中央樓 (redevelopment)"/>
    <x v="61"/>
    <s v="535 Jaffe Road"/>
    <m/>
    <x v="10"/>
    <x v="8"/>
    <x v="7"/>
    <x v="0"/>
    <x v="7"/>
    <x v="2"/>
    <s v="2015 Q3"/>
    <x v="0"/>
    <x v="0"/>
    <n v="1"/>
    <s v="24+1 basement"/>
    <n v="16"/>
    <n v="11712"/>
    <x v="56"/>
    <x v="1"/>
    <m/>
    <m/>
    <n v="17031.865477517651"/>
    <n v="183331"/>
    <n v="11922.305834262357"/>
    <n v="128331.7"/>
    <n v="25783.1"/>
    <m/>
    <m/>
    <n v="102548.6"/>
    <n v="0"/>
    <n v="0"/>
    <n v="0.20090982976146965"/>
    <s v="Commercial (major revision)"/>
    <s v="OP Issued"/>
    <s v="BD Monthly Digest"/>
    <d v="2015-09-01T00:00:00"/>
    <d v="2015-12-22T00:00:00"/>
    <s v="Redevelopment"/>
    <x v="37"/>
    <x v="0"/>
    <s v="For Lease"/>
    <x v="0"/>
    <s v="Oct 2014 (David Massbery):_x000a_• Floor plates of 11,700 sf Gross _x000a_• 70% efficiency _x000a_• Office floors located on levels 5-20 (no level 14)_x000a_• Dedicated office lobby on Level 3_x000a_• Retail provided on LG, G, 1st and 2nd floors_x000a_• Floors 21 and 22 shall be dedicated to F&amp;B_x000a_• Side core design_x000a_• 3-metre clear height on office floors_x000a_• Raised floors of 150mm_x000a_• 7 passenger lifts – One likely to be dedicated to levels 21 &amp; 22_x000a_• OP now due September 2015_x000a__x000a_Sep 2013: demolished. From Phoenix website (http://www.ppinvestors.com/investments/?data=2): acquired in Jul 2010; Mixed-Use development; Estimated Total Project Costs US$545 million; Estimated GFA 230,000 sf; No. of Floors 23; Target Completion 3Q 2013; American architectural &amp; engineering firm, Skidmore, Owings &amp; Merrill (SOM) has been appointed as the design architect with Ronald LU &amp; Partners serving as the project architect. _x000a_Jun 2012: (Ian) - At present demolition is underway and property management is reviewing existing plans.  My contact does nto expect the building to be completed until 2015+, maybe we put Q1 2016 to be safe.  Senior management is away at present therefore no further update until late August/early September when he will contact me again._x000a_Sep 2011: Cynthia f/u with Oscar to see if he has a contact at Phoenix._x000a_Developer Contact: 2589 3691, to continue to f/u._x000a_Sep 2011 (Cynthia): Residential building unknocked yet, currently occupied and one block down from World Trade. Ground floor retail tenants to move out end of this year._x000a_SCMP: Central Mansion occupies a site area of about 15,235 square feet. It will be redeveloped into a 230,000 sqft Ginza-style complex with shops, speciality restaurants and a grade A office tower."/>
    <x v="57"/>
    <m/>
    <m/>
    <m/>
    <m/>
  </r>
  <r>
    <m/>
    <x v="62"/>
    <s v="41 Heung Yip Road"/>
    <s v="AIL 354"/>
    <x v="9"/>
    <x v="7"/>
    <x v="6"/>
    <x v="0"/>
    <x v="7"/>
    <x v="3"/>
    <s v="2015 Q4"/>
    <x v="0"/>
    <x v="0"/>
    <n v="1"/>
    <s v="33+4 basement"/>
    <n v="10"/>
    <n v="11744"/>
    <x v="57"/>
    <x v="1"/>
    <m/>
    <m/>
    <n v="30549.522013396632"/>
    <n v="328832"/>
    <n v="19857.189308707813"/>
    <n v="213740.80000000002"/>
    <m/>
    <m/>
    <m/>
    <n v="213740.80000000002"/>
    <n v="0"/>
    <n v="0"/>
    <n v="0"/>
    <s v="Commercial"/>
    <s v="OP Issued"/>
    <s v="BD Monthly Digest"/>
    <d v="2015-12-01T00:00:00"/>
    <d v="2016-02-19T00:00:00"/>
    <s v="Redevelopment"/>
    <x v="38"/>
    <x v="0"/>
    <s v="For Lease"/>
    <x v="0"/>
    <s v="Feb 2016 (Roy): looks to be more or less complete_x000a_May 2015 (Jerry): brochure saved in:_x000a_I:\CBRE Research\Hong Kong\02. Databases\Office Database\Supply info\41 Heung Yip Road_x000a_Angela Leong bought the building from Cheung Kong._x000a_July 2013: Office, for sale according to: http://opengov.jmsc.hku.hk/2013/07/02/office-booms-in-wong-chuk-hang/_x000a_2012 AR: Commercial development, expected completion Mar 2015_x000a_Hotel or Office???"/>
    <x v="58"/>
    <m/>
    <m/>
    <m/>
    <m/>
  </r>
  <r>
    <s v="嘉尚匯"/>
    <x v="63"/>
    <s v="28 Heung Yip Road"/>
    <m/>
    <x v="9"/>
    <x v="7"/>
    <x v="6"/>
    <x v="0"/>
    <x v="7"/>
    <x v="3"/>
    <s v="2015 Q4"/>
    <x v="0"/>
    <x v="0"/>
    <n v="1"/>
    <s v="27+5 carpark"/>
    <n v="26"/>
    <n v="7050"/>
    <x v="58"/>
    <x v="1"/>
    <m/>
    <m/>
    <n v="17029.143711851651"/>
    <n v="183300"/>
    <n v="12771.739130434784"/>
    <n v="137475"/>
    <m/>
    <m/>
    <m/>
    <n v="137475"/>
    <n v="0"/>
    <n v="0"/>
    <n v="0"/>
    <s v="Commercial"/>
    <s v="OP Issued"/>
    <s v="BD Monthly Digest"/>
    <d v="2015-11-01T00:00:00"/>
    <d v="2015-12-31T00:00:00"/>
    <s v="Redevelopment"/>
    <x v="39"/>
    <x v="0"/>
    <s v="For Lease"/>
    <x v="0"/>
    <s v="_x000a_May 2015 (HKET): aiming $18 psf._x000a_Dec 2014: Kerry Wong_x000a_• Completion: Q1 2016_x000a_• Total GFA: 190,000 sfg_x000a_• Typical floor: 7,500 sfg_x000a_• Use: office_x000a_• Accessibility: 2 minutes to MTR_x000a_• Rental: to be confirmed_x000a_• Specifications: not high Grade A, will be general_x000a_June 2014: Premium paid 30.93 mn HKD._x000a_Nov 2012: demolition on the existing industrial building issued in November 2012._x000a_Aug 2011 (Cynthia): Matthew Hon (Industrial) has good contact with landlord, no plans to redevelop yet, just submit plans to save future waiver costs._x000a_Inspection made: building unknocked yet."/>
    <x v="59"/>
    <m/>
    <m/>
    <m/>
    <m/>
  </r>
  <r>
    <m/>
    <x v="64"/>
    <s v="J/O On Kwan Street &amp; On Muk Street"/>
    <s v="STTL 412"/>
    <x v="14"/>
    <x v="2"/>
    <x v="2"/>
    <x v="2"/>
    <x v="7"/>
    <x v="3"/>
    <s v="2015 Q4"/>
    <x v="0"/>
    <x v="0"/>
    <n v="1"/>
    <s v="20+1 basement"/>
    <n v="16"/>
    <n v="13726"/>
    <x v="59"/>
    <x v="1"/>
    <m/>
    <m/>
    <n v="21938.591601635082"/>
    <n v="236147"/>
    <n v="26584"/>
    <n v="170281"/>
    <m/>
    <n v="164334"/>
    <m/>
    <n v="0"/>
    <n v="5947"/>
    <n v="0"/>
    <n v="0.965075375408883"/>
    <s v="Commercial (major revision)"/>
    <s v="OP Issued"/>
    <s v="BD Monthly Digest"/>
    <d v="2015-10-01T00:00:00"/>
    <d v="2015-12-22T00:00:00"/>
    <s v="Site"/>
    <x v="6"/>
    <x v="0"/>
    <s v="For Sale"/>
    <x v="1"/>
    <s v="_x000a_Dec 2014: applied for pre-sale consent_x000a_Sep 2014 (HKET): asking price at around $6,800/sf, minimum $6Mil; a Chinese-HK food company reserved retail and office for $720Mil (refer to Investment Database)_x000a_Dec 2012 (Sing Tao): Billion will build an office tower which has two to three floors of retail spaces and more than ten office space._x000a_Jun 2012: Retail"/>
    <x v="60"/>
    <m/>
    <m/>
    <m/>
    <m/>
  </r>
  <r>
    <m/>
    <x v="65"/>
    <s v="10-12 Queen's Road Central"/>
    <m/>
    <x v="8"/>
    <x v="6"/>
    <x v="5"/>
    <x v="0"/>
    <x v="8"/>
    <x v="0"/>
    <s v="2016 Q1"/>
    <x v="0"/>
    <x v="0"/>
    <n v="1"/>
    <s v="27+1 basement"/>
    <n v="21"/>
    <n v="4235"/>
    <x v="60"/>
    <x v="1"/>
    <m/>
    <m/>
    <n v="8212.9319955406918"/>
    <n v="88404"/>
    <n v="5749.0523968784837"/>
    <n v="61882.799999999996"/>
    <n v="23597"/>
    <m/>
    <n v="29451"/>
    <n v="8834.7999999999956"/>
    <n v="0"/>
    <n v="0"/>
    <n v="0.85723335078567886"/>
    <s v="Commercial"/>
    <s v="OP Issued"/>
    <s v="BD Monthly Digest"/>
    <d v="2016-02-01T00:00:00"/>
    <d v="2016-04-20T00:00:00"/>
    <s v="Redevelopment"/>
    <x v="40"/>
    <x v="0"/>
    <s v="For Lease"/>
    <x v="0"/>
    <s v="_x000a_Feb 2016 (Roy): almost complete_x000a_Jun 2015: Curtain wall almost complete; internal base fitout underway_x000a_Feb 2013 (Roy): bare site_x000a_Mar 2012 (Roy): Retail Space includes Basement, G/F &amp; 1/F  (all together around 20,000sf) 2/F - Bank Hall &amp; Main lobby 3-13/F &amp; 27-29/F reserved by the bank 15/F - 26/F office floor (approx. 5,000sf per floor); 4 passenger lifts + 1 disable lift; Architect: ROCCO; Target completion date: June 2015_x000a_Mar 2012 (Roy): Demolition issued January 2012_x000a_Contact: 2818 0281_x000a_Sep 2011 (Cynthia): Ian advised This is being redeveloped for their own use however there may be a little amount of space available for lease._x000a_Sep 2011 (Cynthia): Building is vacant.  Workers onsite currently defitting interior, landlord will have final inspection in 2 mths time and then start knocking down.   Located opp Landmark (Gucci side)_x000a_12 QRC bought in 2008 for 1.38B_x000a_Plans to demolish the bldgs in 2011 and completion will be 2013-14"/>
    <x v="61"/>
    <m/>
    <m/>
    <m/>
    <m/>
  </r>
  <r>
    <m/>
    <x v="66"/>
    <s v="J/O Hung Luen Road and Kin Wan Street"/>
    <s v="KIL 11111"/>
    <x v="15"/>
    <x v="4"/>
    <x v="4"/>
    <x v="1"/>
    <x v="8"/>
    <x v="0"/>
    <s v="2016 Q1"/>
    <x v="0"/>
    <x v="0"/>
    <n v="2"/>
    <s v="2/15+2 basement"/>
    <n v="14"/>
    <n v="20500"/>
    <x v="61"/>
    <x v="1"/>
    <m/>
    <m/>
    <n v="56856.187290969901"/>
    <n v="612000"/>
    <n v="41505.016722408029"/>
    <n v="446760"/>
    <m/>
    <n v="242760.00000000003"/>
    <m/>
    <n v="0"/>
    <n v="203999.99999999997"/>
    <n v="0"/>
    <n v="0.54337899543378998"/>
    <s v="Commercial"/>
    <s v="OP Issued"/>
    <s v="BD Monthly Digest"/>
    <d v="2016-01-01T00:00:00"/>
    <d v="2016-03-17T00:00:00"/>
    <s v="Site"/>
    <x v="41"/>
    <x v="0"/>
    <s v="For Sale"/>
    <x v="0"/>
    <s v="_x000a_Apr 2014 (2014 Annual Report): Presale is planned in 2015._x000a_Jun 2013: more site investigations to be done due to its location along the waterfront._x000a_Aug 2012 (JD): plan to finish Hoi Bun Road project first_x000a_Sep 2011: Sam (OS) - Wheelocks plans for Strata sales, not for long-term hold._x000a_5Aug2011: Wheelock outbid 4 others to win this site, 20% more than most analysts expected, at a price of nearly 6,900 psf, analysts forecasted a price of 2.9-3.5 billion, between 4,915-5,932 psf. The 147,499 sf site has been awarded on a 50-year land grant for a premium of 4.028 billion. The max. permitted GFA is 589,996 sf, so the average cost of the site is 6,827 psf.  "/>
    <x v="62"/>
    <m/>
    <m/>
    <m/>
    <m/>
  </r>
  <r>
    <m/>
    <x v="67"/>
    <s v="3 Tai Yau Street"/>
    <s v="NKIL 4899"/>
    <x v="5"/>
    <x v="4"/>
    <x v="4"/>
    <x v="1"/>
    <x v="8"/>
    <x v="1"/>
    <s v="2016 Q2"/>
    <x v="0"/>
    <x v="0"/>
    <n v="1"/>
    <n v="28"/>
    <n v="16"/>
    <n v="18923"/>
    <x v="62"/>
    <x v="1"/>
    <m/>
    <m/>
    <n v="28278.428093645485"/>
    <n v="304389"/>
    <n v="19404.496469713864"/>
    <n v="208870"/>
    <m/>
    <n v="208870"/>
    <m/>
    <n v="0"/>
    <n v="0"/>
    <n v="0"/>
    <n v="1"/>
    <s v="Commercial"/>
    <s v="OP Issued"/>
    <s v="BD Monthly Digest"/>
    <d v="2016-04-01T00:00:00"/>
    <d v="2012-10-24T00:00:00"/>
    <s v="Redevelopment"/>
    <x v="6"/>
    <x v="0"/>
    <s v="For Sale"/>
    <x v="1"/>
    <s v="_x000a_Feb 2016 (Roy): more or less complete_x000a_Dec 2014: applied for pre-sale consent_x000a_Jun 2013: building demolition and land premium paid._x000a_Dec 2012: demolition issued in December. Land premium agreed at $15,000 psf._x000a_Aug 2012 (JD): have not agreed modification, building still exists and may need to push date back at end of the year._x000a_Feb 2012: Land premium agreed, tenants to move out at the end of the year and demolition to start next year_x000a_27Sep2011: land premium was approved at $1,800 psf, and Billion will appeal_x000a_Sep 2011: Billiong pruchased from Windsor but may keep lease or put redevelopment plans on hold._x000a_Kln OS suggested and newspaper/ Source: Ming Pao http://finance.sina.com/bg/chinamkt/mingpao/20100611/115275849.html"/>
    <x v="63"/>
    <m/>
    <m/>
    <m/>
    <m/>
  </r>
  <r>
    <m/>
    <x v="68"/>
    <s v="1 On Kwan Street"/>
    <s v="STTL 463"/>
    <x v="14"/>
    <x v="2"/>
    <x v="2"/>
    <x v="2"/>
    <x v="8"/>
    <x v="1"/>
    <s v="2016 Q2"/>
    <x v="0"/>
    <x v="0"/>
    <n v="1"/>
    <s v="24+1 basement"/>
    <n v="20"/>
    <n v="17213.973324800001"/>
    <x v="63"/>
    <x v="1"/>
    <m/>
    <m/>
    <n v="29144.555927164623"/>
    <n v="313712"/>
    <n v="20016.443701226312"/>
    <n v="215457"/>
    <m/>
    <n v="191743"/>
    <m/>
    <n v="0"/>
    <n v="23714"/>
    <n v="0"/>
    <n v="0.88993627498758454"/>
    <s v="Commercial"/>
    <s v="OP Issued"/>
    <s v="BD Monthly Digest"/>
    <d v="2014-09-01T00:00:00"/>
    <d v="2014-12-09T00:00:00"/>
    <s v="Site"/>
    <x v="6"/>
    <x v="0"/>
    <s v="For Sale"/>
    <x v="1"/>
    <s v="Jul 2016: OP issued in May 2016_x000a_Dec 2014: applied for pre-sale consent_x000a_Dec 2012 (Sing Tao): Billion will build an office tower which has two to three floors of retail spaces and more than ten office space._x000a_Billion was the tender submitted for the site, for HK$828 million, HK$1,942 psf; price was below the low end of the market estimate of HK$830 million."/>
    <x v="64"/>
    <m/>
    <m/>
    <m/>
    <m/>
  </r>
  <r>
    <m/>
    <x v="69"/>
    <s v="22 &amp; 22A Des Voeux Road Central"/>
    <m/>
    <x v="8"/>
    <x v="6"/>
    <x v="5"/>
    <x v="0"/>
    <x v="8"/>
    <x v="3"/>
    <s v="2016 Q4"/>
    <x v="1"/>
    <x v="0"/>
    <n v="1"/>
    <s v="26+1 basement"/>
    <m/>
    <n v="3475"/>
    <x v="64"/>
    <x v="1"/>
    <m/>
    <m/>
    <n v="7578.8"/>
    <n v="81578.203200000004"/>
    <n v="3363.8"/>
    <n v="36207.943200000002"/>
    <m/>
    <m/>
    <m/>
    <n v="36207.943200000002"/>
    <n v="0"/>
    <n v="0"/>
    <n v="0"/>
    <s v="Commercial"/>
    <s v="OP Issued"/>
    <s v="BD Monthly Digest"/>
    <d v="2016-11-01T00:00:00"/>
    <d v="2018-07-01T00:00:00"/>
    <s v="Redevelopment"/>
    <x v="42"/>
    <x v="0"/>
    <s v="For Lease"/>
    <x v="0"/>
    <s v="10 Jan 2014: Ian met with Chinachem CEO &amp; COO.  There will be two office buildings 22 &amp; 26 Des Voeux Rd Central.  with Retail Podium_x000a_Aug 2013 (Ian &amp; Alan): Chinachem confirmed this will be retail._x000a_Feb 2013: Chinachame: &quot;The two Wing On buildings “frame” the Liu Chong Hing Bank building.  Long ago, there were talks between Mrs Wang and the Liu’s about cooperating to redevelop the whole site, but that was before the Bank built its own new building.  Its CEO, Mr Liu, told me recently that this was because he couldn’t come to terms with Mrs Wang&quot;_x000a_Feb 2013 (Roy): bare site_x000a_Jun 2012 (Ian): Demolished, currently clear site to ground level, no sign of any work at present. This site and 26 DVRC site are separated by Chon Hing Bank Centre._x000a_Sep 2011 (Cynthia): CN asked Oscar if he knows anyone well at Chinachem that he could introduce._x000a_Aug 2011 (Cynthia): Existing building is vacant, commenced knocking down. Will be completed around Q2, 2015._x000a_Demolition issued May 2011._x000a_May2011: Demolition issued_x000a_Contact: Doug Chiu 2368 4968_x000a_SCMP 31Oct09: Asian Hse, covering 21, 000sf of site area, will have a GFA of about 300,000 sf. Ng said the est redevelopment cost would be &gt;HK$1 Bn [In the same article also mentioned the redevelopment of Wing On Life Bldg (22 Connaught Rd C) GFA will be increased from 50k sf to &gt;80k sf, redev cost ~HK$500 Mn]   /Right behing LHT Tower"/>
    <x v="65"/>
    <m/>
    <m/>
    <m/>
    <s v="MULTIPOLYGON (((114.156940949 22.283695181,114.156848526 22.2838377040001,114.156989033 22.283933959,114.157112098 22.283780044,114.156957901 22.2836740600001,114.156940949 22.283695181)))"/>
  </r>
  <r>
    <m/>
    <x v="70"/>
    <s v="8 Wang Kwong Road"/>
    <s v="NKIL 5866"/>
    <x v="3"/>
    <x v="3"/>
    <x v="3"/>
    <x v="1"/>
    <x v="8"/>
    <x v="3"/>
    <s v="2016 Q4"/>
    <x v="2"/>
    <x v="0"/>
    <n v="1"/>
    <m/>
    <m/>
    <n v="18754"/>
    <x v="65"/>
    <x v="1"/>
    <m/>
    <m/>
    <n v="16299.424005945746"/>
    <n v="175447"/>
    <n v="12224.56800445931"/>
    <n v="131585.25"/>
    <m/>
    <m/>
    <m/>
    <n v="131585.25"/>
    <n v="0"/>
    <n v="0"/>
    <n v="0"/>
    <s v="Commercial"/>
    <m/>
    <s v="Patrick Stevens"/>
    <d v="2015-04-16T00:00:00"/>
    <d v="2015-04-16T00:00:00"/>
    <s v="Revitalization"/>
    <x v="24"/>
    <x v="0"/>
    <s v="For Lease"/>
    <x v="0"/>
    <m/>
    <x v="66"/>
    <m/>
    <m/>
    <m/>
    <s v="MULTIPOLYGON (((114.206469273 22.321991672,114.206458827 22.3221000730001,114.206408884 22.3220958400001,114.206387891 22.322306699,114.206438494 22.322311075,114.206428099 22.322418946,114.206731057 22.322445997,114.206741671 22.3223372940001,114.206793659 22.322341791,114.206814942 22.3221302630001,114.20676232 22.322125802,114.206772867 22.322017782,114.206469273 22.321991672)))"/>
  </r>
  <r>
    <m/>
    <x v="71"/>
    <s v=" J/O Kai Shun Road, Wang Kwong Road &amp; Kai Cheung Road"/>
    <s v="NKIL 6314"/>
    <x v="3"/>
    <x v="3"/>
    <x v="3"/>
    <x v="1"/>
    <x v="8"/>
    <x v="3"/>
    <s v="2016 Q4"/>
    <x v="0"/>
    <x v="0"/>
    <n v="1"/>
    <s v="28+3 basement"/>
    <s v="4/F-27/F"/>
    <n v="26392.071428571428"/>
    <x v="66"/>
    <x v="0"/>
    <m/>
    <m/>
    <n v="68653.369132006061"/>
    <n v="738978"/>
    <n v="46213.224637681167"/>
    <n v="497439.15"/>
    <m/>
    <m/>
    <n v="74093.5"/>
    <n v="423345.65"/>
    <n v="0"/>
    <n v="0"/>
    <n v="0.1489498765828946"/>
    <s v="Commercial"/>
    <s v="Plans Approved"/>
    <s v="BD Monthly Digest"/>
    <d v="2012-07-01T00:00:00"/>
    <d v="2012-10-24T00:00:00"/>
    <s v="Site"/>
    <x v="43"/>
    <x v="0"/>
    <s v="For Lease"/>
    <x v="0"/>
    <s v="_x000a_May 2015 (Rocky): Landlord target OP in Q1 2016 and tenant can target to handover in April 2016. No asking rent yet but hoping headline can achieve HK$30psfg_x000a_Jun 2012: to be LEED Platinum. Goldin will use top 3 to 4 floors._x000a_Sep 2011: currently bare site. Date consistent with Wheelock site (Wai Yip Street)._x000a_Site sold to Goldin Financial via Government tender. The 71,042 sq ft commercial site at the junction of Kai Cheung &amp; Wang Kwong roads in Kowloon Bay. It was sold for 3.43 billion, or 4,026 per buildable sq ft, to Goldin Financial (0530), the company's first successful bid in a government land sale. Gfa of the plot is 511,501-852,502 sq ft. &quot;Future office space there could sell for 7,500-8,000 psf, or ask at least 25 psf/month for lease,&quot; a commentator said. July 29, 2011. "/>
    <x v="67"/>
    <m/>
    <m/>
    <m/>
    <m/>
  </r>
  <r>
    <m/>
    <x v="72"/>
    <s v="133 Wai Yip Street"/>
    <s v="KTIL 417"/>
    <x v="4"/>
    <x v="3"/>
    <x v="3"/>
    <x v="1"/>
    <x v="8"/>
    <x v="3"/>
    <s v="2016 Q4"/>
    <x v="2"/>
    <x v="0"/>
    <n v="1"/>
    <n v="10"/>
    <m/>
    <n v="14563"/>
    <x v="67"/>
    <x v="1"/>
    <m/>
    <m/>
    <n v="14972.875058058522"/>
    <n v="161183"/>
    <n v="11229.656293543892"/>
    <n v="120887.25"/>
    <m/>
    <m/>
    <m/>
    <n v="120887.25"/>
    <n v="0"/>
    <n v="0"/>
    <n v="0"/>
    <m/>
    <m/>
    <m/>
    <m/>
    <d v="2013-06-07T00:00:00"/>
    <s v="Revitalization"/>
    <x v="44"/>
    <x v="0"/>
    <s v="For Lease"/>
    <x v="0"/>
    <s v="Jun 2013 (Rocky): The revitalization work will be commenced in mid of 2014 and target completion is end of 2015."/>
    <x v="68"/>
    <m/>
    <m/>
    <m/>
    <s v="MULTIPOLYGON (((114.217978681 22.313858353,114.217797035 22.313679794,114.217652975 22.313810521,114.21764748 22.314155967,114.217692945 22.314198361,114.218018997 22.3138974550001,114.217978681 22.313858353)))"/>
  </r>
  <r>
    <m/>
    <x v="73"/>
    <s v="38 Wong Chuk Hang Road"/>
    <m/>
    <x v="9"/>
    <x v="7"/>
    <x v="6"/>
    <x v="0"/>
    <x v="9"/>
    <x v="0"/>
    <s v="2017 Q1"/>
    <x v="0"/>
    <x v="0"/>
    <n v="1"/>
    <s v="26 + 2 basement"/>
    <n v="22"/>
    <n v="7050"/>
    <x v="58"/>
    <x v="1"/>
    <m/>
    <m/>
    <n v="15064.102564102564"/>
    <n v="162150"/>
    <n v="15064.102564102564"/>
    <n v="121612.5"/>
    <m/>
    <m/>
    <m/>
    <n v="121612.5"/>
    <n v="0"/>
    <n v="0"/>
    <n v="0"/>
    <s v="Commercial"/>
    <s v="OP Issued"/>
    <s v="BD Monthly Digest"/>
    <d v="2014-10-01T00:00:00"/>
    <d v="2015-04-22T00:00:00"/>
    <s v="Redevelopment"/>
    <x v="45"/>
    <x v="0"/>
    <s v="For Lease"/>
    <x v="0"/>
    <s v="Feb 2016 (Roy): fitting out curtail on the front of the building, scaffolding still on the sides of the building_x000a_Colliers are sole leasing agent_x000a_http://www.khiholdings.com/eng/pt/wch.html"/>
    <x v="69"/>
    <m/>
    <m/>
    <m/>
    <m/>
  </r>
  <r>
    <m/>
    <x v="74"/>
    <s v="11 Sheung Yuet Road"/>
    <m/>
    <x v="3"/>
    <x v="3"/>
    <x v="3"/>
    <x v="1"/>
    <x v="9"/>
    <x v="0"/>
    <s v="2017 Q1"/>
    <x v="2"/>
    <x v="0"/>
    <n v="1"/>
    <m/>
    <m/>
    <m/>
    <x v="41"/>
    <x v="2"/>
    <m/>
    <m/>
    <n v="10405.053883314753"/>
    <n v="112000"/>
    <n v="7803.7904124860652"/>
    <n v="84000"/>
    <m/>
    <m/>
    <m/>
    <n v="84000"/>
    <n v="0"/>
    <n v="0"/>
    <n v="0"/>
    <m/>
    <m/>
    <m/>
    <m/>
    <m/>
    <s v="Revitalization"/>
    <x v="46"/>
    <x v="0"/>
    <s v="For Lease"/>
    <x v="0"/>
    <m/>
    <x v="70"/>
    <m/>
    <m/>
    <m/>
    <s v="MULTIPOLYGON (((114.208831895 22.3221785720001,114.208869626 22.3218031220001,114.208820412 22.3217587450001,114.208489418 22.3217290480001,114.208402037 22.321796022,114.208367778 22.3221391570001,114.208831895 22.3221785720001)))"/>
  </r>
  <r>
    <m/>
    <x v="75"/>
    <s v="26 Des Voeux Road Central"/>
    <m/>
    <x v="8"/>
    <x v="6"/>
    <x v="5"/>
    <x v="0"/>
    <x v="9"/>
    <x v="2"/>
    <s v="2017 Q3"/>
    <x v="1"/>
    <x v="0"/>
    <n v="1"/>
    <s v="28+1 basement"/>
    <m/>
    <n v="3219.0510857142858"/>
    <x v="68"/>
    <x v="1"/>
    <m/>
    <m/>
    <n v="8373.6"/>
    <n v="90133.430399999997"/>
    <n v="4976.7"/>
    <n v="53569.198799999998"/>
    <m/>
    <m/>
    <m/>
    <n v="53569.198799999998"/>
    <n v="0"/>
    <n v="0"/>
    <n v="0"/>
    <s v="Commercial"/>
    <s v="OP Issued"/>
    <s v="BD Monthly Digest"/>
    <d v="2015-06-01T00:00:00"/>
    <d v="2015-10-23T00:00:00"/>
    <s v="Redevelopment"/>
    <x v="42"/>
    <x v="0"/>
    <s v="For Lease"/>
    <x v="0"/>
    <s v="May 2013: demolition issued in March 2013._x000a_Feb 2013: Chinachame: &quot;we are in the process of demolishing and redeveloping.  The two Wing On buildings “frame” the Liu Chong Hing Bank building.  Long ago, there were talks between Mrs Wang and the Liu’s about cooperating to redevelop the whole site, but that was before the Bank built its own new building.  Its CEO, Mr Liu, told me recently that this was because he couldn’t come to terms with Mrs Wang&quot;_x000a_Feb 2013 (Roy): looks to be getting ready for demolition_x000a_Jun 2012 (Ian): Looks like a fully occupied building, Physical Fitness on lower four floors and office space above. This site and 22 &amp; 22A DVRC site are separated by Chon Hing Bank Centre._x000a_Sep2011: No immediate plans_x000a_Contact: Doug Chiu 2368 4968 / Gipsy 2739 8811_x000a_Aug 2011 (Cynthia): Indefinite development program at this stage, will not touch for next 3 years._x000a_SCMP 31Oct09: Asian Hse, covering 21, 000sf of site area, will have a GFA of about 300,000 sf. Ng said the est redevelopment cost would be &gt;HK$1 Bn [In the same article also mentioned the redevelopment of Wing On Life Bldg (22 Connaught Rd C) GFA will be increased from 50k sf to &gt;80k sf, redev cost ~HK$500 Mn]"/>
    <x v="71"/>
    <m/>
    <m/>
    <m/>
    <s v="MULTIPOLYGON (((114.157090618 22.2826602190001,114.156914794 22.282558298,114.156841129 22.282668001,114.157025822 22.2827918570001,114.15711771 22.282675923,114.157090618 22.2826602190001)))"/>
  </r>
  <r>
    <m/>
    <x v="76"/>
    <s v="14-30 King Wah Road"/>
    <m/>
    <x v="16"/>
    <x v="0"/>
    <x v="0"/>
    <x v="0"/>
    <x v="9"/>
    <x v="2"/>
    <s v="2017 Q3"/>
    <x v="0"/>
    <x v="0"/>
    <n v="1"/>
    <s v="23+2 basement"/>
    <n v="20"/>
    <n v="15000"/>
    <x v="69"/>
    <x v="1"/>
    <m/>
    <m/>
    <n v="29486.157562244527"/>
    <n v="317389.00000000006"/>
    <n v="26537.541806020075"/>
    <n v="285650.10000000003"/>
    <n v="12762.75"/>
    <m/>
    <m/>
    <n v="272887.35000000003"/>
    <n v="0"/>
    <n v="0"/>
    <n v="4.4679662286132626E-2"/>
    <s v="Commercial"/>
    <s v="OP Issued"/>
    <s v="BD Monthly Digest"/>
    <d v="2017-08-01T00:00:00"/>
    <d v="2017-10-23T00:00:00"/>
    <s v="Site"/>
    <x v="5"/>
    <x v="0"/>
    <s v="For Lease"/>
    <x v="0"/>
    <s v="_x000a_Feb 2016 (Roy): appears to have topped out, beginning to remove scaffolding_x000a_2014 Annual Report: &quot;With the approval from the Town Planning Board to be redeveloped into an office tower, it isnnow in the process of an appeal to the Government on the amount of assessed land premium._x000a_May 2013: Town Planning approved on 15th March (Application No . A / H 8 / 4 1 7)._x000a_Site Area: 3,490 sm/ Town Planning (A/H8/387 Resi) &amp; (A/H8/392 Office) Sept2008/ Minute of TPB on 4Sep09: Plot Ratio for Resi is 7.5; for Ofc is 11; maxi bldg height of 110mPD/ Oriental Dialy 23Sep09 計劃興建兩幢樓高32層包括1層地庫的住宅物業,物業高限為110米(主水平基準以上),總樓面約22.48萬方呎，提供住宅單位約297個"/>
    <x v="72"/>
    <m/>
    <m/>
    <m/>
    <m/>
  </r>
  <r>
    <m/>
    <x v="77"/>
    <s v="18-22 Tak Fung Street"/>
    <s v="HHML 6 s. A &amp; Ext. s.B &amp; Ext and R.P. &amp; Ext"/>
    <x v="15"/>
    <x v="4"/>
    <x v="4"/>
    <x v="1"/>
    <x v="9"/>
    <x v="2"/>
    <s v="2017 Q3"/>
    <x v="0"/>
    <x v="0"/>
    <n v="1"/>
    <n v="5"/>
    <n v="5"/>
    <n v="20981"/>
    <x v="70"/>
    <x v="0"/>
    <m/>
    <m/>
    <n v="9720.0854700854707"/>
    <n v="104627"/>
    <n v="7970.4700854700859"/>
    <n v="85794.14"/>
    <n v="58654.6"/>
    <m/>
    <m/>
    <n v="27139.54"/>
    <n v="0"/>
    <n v="0"/>
    <n v="0.68366673994284455"/>
    <s v="Commercial"/>
    <s v="OP Issued"/>
    <s v="BD Monthly Digest"/>
    <d v="2017-07-01T00:00:00"/>
    <d v="2017-09-01T00:00:00"/>
    <s v="Site"/>
    <x v="47"/>
    <x v="0"/>
    <s v="For Lease"/>
    <x v="0"/>
    <s v="Aug 2014: JC (OS) • The plans remain unchanged with 5 office floors on top of Tower 1 and 10 floors on top of Tower 2_x000a_• Of the 10 floors on Tower 2, 8 will be Hotel with the other two for M&amp;E and circulation space_x000a_• Tower 2 will link to the Hotel by footbridge_x000a_• The tenders came back higher than expected so Hutchinson are retendering_x000a_• The timing is now Q1 2017 for the office space and Q3 2017 for the hotel space_x000a_Sept 2011: This will be on top of the existing buildings_x000a_Sep 2011: JD (OS) - can’t see anything happening in the foreseeable future."/>
    <x v="73"/>
    <m/>
    <m/>
    <m/>
    <m/>
  </r>
  <r>
    <m/>
    <x v="78"/>
    <s v="180 Wai Yip Street"/>
    <s v="KTIL 174"/>
    <x v="4"/>
    <x v="3"/>
    <x v="3"/>
    <x v="1"/>
    <x v="9"/>
    <x v="2"/>
    <s v="2017 Q3"/>
    <x v="0"/>
    <x v="0"/>
    <n v="1"/>
    <s v="23+4 basement"/>
    <n v="20"/>
    <n v="28551.3"/>
    <x v="71"/>
    <x v="0"/>
    <m/>
    <m/>
    <n v="53049.609810479378"/>
    <n v="571026"/>
    <n v="31829.765886287627"/>
    <n v="342615.6"/>
    <n v="69496.2"/>
    <m/>
    <m/>
    <n v="273119.39999999997"/>
    <n v="0"/>
    <n v="0"/>
    <n v="0.20284015088629948"/>
    <s v="Commercial"/>
    <s v="OP Issued"/>
    <s v="BD Monthly Digest"/>
    <d v="2017-07-01T00:00:00"/>
    <d v="2017-09-01T00:00:00"/>
    <s v="Redevelopment &amp; Site"/>
    <x v="19"/>
    <x v="0"/>
    <s v="For Lease"/>
    <x v="0"/>
    <s v="Jessy: Target OP date May 2017"/>
    <x v="74"/>
    <m/>
    <m/>
    <m/>
    <m/>
  </r>
  <r>
    <m/>
    <x v="79"/>
    <s v="18-24 Salisbury Road"/>
    <m/>
    <x v="6"/>
    <x v="5"/>
    <x v="1"/>
    <x v="1"/>
    <x v="9"/>
    <x v="2"/>
    <s v="2017 Q3"/>
    <x v="0"/>
    <x v="0"/>
    <n v="1"/>
    <s v="61+4 basement"/>
    <n v="14"/>
    <n v="27483"/>
    <x v="72"/>
    <x v="0"/>
    <m/>
    <m/>
    <n v="35745.594069064187"/>
    <n v="384762"/>
    <n v="26808.946488294318"/>
    <n v="288571.5"/>
    <n v="169699.5"/>
    <m/>
    <m/>
    <n v="118872"/>
    <n v="0"/>
    <n v="0"/>
    <n v="0.588067428696181"/>
    <s v="Hotel/ Commercial"/>
    <s v="OP Issued"/>
    <s v="BD Monthly Digest"/>
    <d v="2017-09-01T00:00:00"/>
    <d v="2017-11-01T00:00:00"/>
    <s v="Redevelopment"/>
    <x v="48"/>
    <x v="0"/>
    <s v="For Lease"/>
    <x v="0"/>
    <s v="_x000a_Jun 2015 (Roy): Fact Sheet_x000a_Aug 2012 (JD): office portion could be less (around 200,000 sf)_x000a_Aug 2012: New World will terminate the lease with Sogo department store at its Tsim Sha Tsui underground shopping centre in 12 Salisbury Road as it is set to redevelop the site. The waterfront site is being redeveloped into a 63 storey office, hotel and shopping centre after tenants vacate the mall._x000a_Jun 2012: bare site now_x000a_Mar 2011: Sam (OS) - completion of New World Centre redevelopment in TST was postponed to year 2017.  Office area approx. 400,000 sfg (was 500,000 sfg).  We would try to find out the reason for the delay in completion.  This project will be under the management of K11 team within New World Group._x000a_Sep 2011: Sam (OS) - landlord says it will be a mixed use development and complete 2015 Q4. Update to follow._x000a_Jan 2011: Sam (OS-Kln) - 500,000 for office_x000a_22Oct2009 (The-Sun):Total GFA 1.3 million sf, to be developed in Phases."/>
    <x v="75"/>
    <m/>
    <m/>
    <m/>
    <m/>
  </r>
  <r>
    <m/>
    <x v="80"/>
    <s v="4-14 Hoi Ping Road, 10 Hysan Avenue &amp; 1-11 Sunning Road"/>
    <m/>
    <x v="10"/>
    <x v="8"/>
    <x v="7"/>
    <x v="0"/>
    <x v="9"/>
    <x v="3"/>
    <s v="2017 Q4"/>
    <x v="0"/>
    <x v="0"/>
    <n v="1"/>
    <s v="27+5 basement"/>
    <n v="20"/>
    <n v="17600"/>
    <x v="73"/>
    <x v="0"/>
    <m/>
    <m/>
    <n v="33067.568446380959"/>
    <n v="355936"/>
    <n v="30091.207729468602"/>
    <n v="323901.76"/>
    <n v="176381.66"/>
    <m/>
    <m/>
    <n v="147520.1"/>
    <n v="0"/>
    <n v="0"/>
    <n v="0.54455295333992626"/>
    <s v="Commercial and conversion works to existing building"/>
    <s v="OP Issued"/>
    <s v="BD Monthly Digest"/>
    <d v="2017-12-01T00:00:00"/>
    <d v="2018-02-01T00:00:00"/>
    <s v="Redevelopment"/>
    <x v="15"/>
    <x v="0"/>
    <s v="For Lease"/>
    <x v="0"/>
    <s v="_x000a_Feb 2016 (Roy): bare site, preparing for foundation_x000a_Nov 2014_x000a_Retail: Part B1, G – 4/F _x000a_Office: 5/F – 26/F (352,000 sq ft Lettable)_x000a_Over 200 carparking spaces + covered drop off at main entrance_x000a_Typical floorplate:17,000 – 18,200 sq ft (Lettable)_x000a_91% efficiency (Net to Lettable) _x000a_2.9m clear ceiling / 4.275m slab to slab_x000a_3 lift zones with 4 lifts in each zone_x000a_150mm raised floor system_x000a_Delivery of the project is on track – Q1 2018_x000a_Mar 2013: Hysan handled Sales &amp; Redevelopment Clause to tenants with tenants moving out in September. The management indicated that no detail plan is fixed yet but intend/target to redevelop the new office and retail complex with an increase in GFA from current 375,000 sq ft to 460,000 sq ft, while the office portion will be increased from the existing approx 200,000 sf to over 300,000 sf with a floor plate of 18,000 sf. They target to complete the new development in 2017._x000a_Hysan 2012 Annual Results announcement: “To support the district vision, the Group is committed to continually enhancing the asset value of our investment property portfolio through selective re-positioning, refurbishment and re-development. Our next redevelopment target is the combined development of Sunning Plaza and Sunning Court into a mixed-use office and retail complex. Planning is underway, for the project to be completed around 2018.”_x000a_Hysan AGM on 18/5/09 mentioned they have no plans to redevelop it but will redecorate it"/>
    <x v="76"/>
    <m/>
    <m/>
    <m/>
    <m/>
  </r>
  <r>
    <m/>
    <x v="81"/>
    <s v="33-49 Des Voeux Road West"/>
    <m/>
    <x v="12"/>
    <x v="9"/>
    <x v="8"/>
    <x v="0"/>
    <x v="9"/>
    <x v="3"/>
    <s v="2017 Q4"/>
    <x v="1"/>
    <x v="0"/>
    <n v="1"/>
    <n v="27"/>
    <m/>
    <n v="5332.206533333333"/>
    <x v="74"/>
    <x v="1"/>
    <m/>
    <m/>
    <n v="13375.1"/>
    <n v="143969.57639999999"/>
    <n v="10031.325000000001"/>
    <n v="107977.18229999999"/>
    <m/>
    <m/>
    <m/>
    <n v="107977.18229999999"/>
    <n v="0"/>
    <n v="0"/>
    <n v="0"/>
    <s v="Commercial"/>
    <s v="OP Issued"/>
    <s v="BD Monthly Digest"/>
    <d v="2017-11-01T00:00:00"/>
    <d v="2018-01-24T00:00:00"/>
    <s v="Redevelopment"/>
    <x v="49"/>
    <x v="0"/>
    <s v="For Lease"/>
    <x v="0"/>
    <s v="Apr 2015: Demolition issued in November 2014."/>
    <x v="77"/>
    <m/>
    <m/>
    <m/>
    <s v="MULTIPOLYGON (((114.146732642688 22.2878067196868,114.146559763708 22.2878136527471,114.146436383697 22.287845727186,114.146445490818 22.2879329959217,114.146520940319 22.287926176742,114.146527966941 22.2879935140495,114.146583066905 22.2879885351528,114.146580972034 22.2879684558174,114.146668847032 22.2879605136859,114.146670941903 22.2879805930225,114.146716509844 22.2879764735877,114.146709492205 22.2879092243794,114.146793893418 22.2879015956077,114.146784675805 22.2878132762124,114.146732642688 22.2878067196868)))"/>
  </r>
  <r>
    <m/>
    <x v="82"/>
    <s v="19 Wang Chiu Road"/>
    <s v="NKIL 6312"/>
    <x v="3"/>
    <x v="3"/>
    <x v="3"/>
    <x v="1"/>
    <x v="9"/>
    <x v="3"/>
    <s v="2017 Q4"/>
    <x v="0"/>
    <x v="0"/>
    <n v="1"/>
    <s v="25+3 basement"/>
    <n v="22"/>
    <n v="28462"/>
    <x v="75"/>
    <x v="0"/>
    <m/>
    <m/>
    <n v="57882.087347522742"/>
    <n v="623037"/>
    <n v="46305.239687848392"/>
    <n v="498429.60000000003"/>
    <m/>
    <m/>
    <m/>
    <n v="498429.60000000003"/>
    <n v="0"/>
    <n v="0"/>
    <n v="0"/>
    <s v="Commercial"/>
    <s v="OP Issued"/>
    <s v="BD Monthly Digest"/>
    <d v="2017-12-01T00:00:00"/>
    <d v="2018-02-01T00:00:00"/>
    <s v="Site"/>
    <x v="50"/>
    <x v="0"/>
    <s v="For Lease"/>
    <x v="0"/>
    <s v="Aug 2015 (Alan): &quot;JP Morgan is going to take the top portion of this building and likely to be 1/3 of the total space relocating from Shatin and One Island East. At the same time, rumour that Swire has put this building in the market for sale through Goldman.&quot;_x000a_Aug 2015 (Jess): working on foundation_x000a_Nov 2013: Swire Properties acquired a Kowloon East office site for HK$2.638bn or HK$4,793psf._x000a_Site went up for tender on 19 Sep 2013, tender closes 1 Nov 2013. The first owner will be be allowed to sell complete building on strata. No lease shall exceed 10 years in the aggregate including any right of renewal. Centaline originally estimated value at $5,500 psf, but have revised down value estimation down 30% to $3,850 psf due to the no strata clause. Midland estimate value @ $4,000 psf._x000a_Mar 2013: 1 of the 6 new sites for sale in the 2013-14 Land Sale Programme. Estimated Earliest Site Available Date: Oct 2013._x000a_14Oct2011: One of nine sites announced in CBD2-Kowloon East by Ms Carrie Lam. 18Oct2011: (HKET) - estimated price: 2.22 billion ($4,000 psf)"/>
    <x v="78"/>
    <m/>
    <m/>
    <m/>
    <m/>
  </r>
  <r>
    <m/>
    <x v="83"/>
    <s v="33 Tsuek Luk Street"/>
    <m/>
    <x v="5"/>
    <x v="4"/>
    <x v="4"/>
    <x v="1"/>
    <x v="9"/>
    <x v="3"/>
    <s v="2017 Q4"/>
    <x v="0"/>
    <x v="0"/>
    <n v="1"/>
    <s v="23+3 basement"/>
    <m/>
    <n v="13253"/>
    <x v="76"/>
    <x v="1"/>
    <m/>
    <m/>
    <n v="21751.874320645864"/>
    <n v="234135"/>
    <n v="16313.905740484399"/>
    <n v="175602.88139057407"/>
    <n v="47297.25"/>
    <m/>
    <m/>
    <n v="128305.63139057407"/>
    <n v="0"/>
    <n v="0"/>
    <n v="0.26934210660702063"/>
    <s v="Commercial"/>
    <s v="Consent Given"/>
    <s v="BD Monthly Digest"/>
    <d v="2015-09-01T00:00:00"/>
    <d v="2015-12-22T00:00:00"/>
    <s v="Redevelopment"/>
    <x v="1"/>
    <x v="0"/>
    <s v="For Lease"/>
    <x v="0"/>
    <s v="_x000a_Feb 2016 (Roy): about 6 floors built_x000a_Apr 2015 (Troy): will be available for lease in 2017, low zone will be retail. It is held by the Kwok family and will be for lease. 100,000 sf will get naming right. _x000a_Nov 2014: should be office._x000a_Jun 2013: under demolition."/>
    <x v="79"/>
    <m/>
    <m/>
    <m/>
    <m/>
  </r>
  <r>
    <m/>
    <x v="84"/>
    <s v="236-242 Des Voeux Road Central"/>
    <m/>
    <x v="12"/>
    <x v="9"/>
    <x v="8"/>
    <x v="0"/>
    <x v="9"/>
    <x v="4"/>
    <s v="2017"/>
    <x v="1"/>
    <x v="0"/>
    <n v="1"/>
    <n v="29"/>
    <m/>
    <n v="1678.961296551724"/>
    <x v="77"/>
    <x v="1"/>
    <m/>
    <m/>
    <n v="4523.3999999999996"/>
    <n v="48689.877599999993"/>
    <n v="2653.1"/>
    <n v="28557.968399999998"/>
    <m/>
    <m/>
    <m/>
    <n v="28557.968399999998"/>
    <n v="0"/>
    <n v="0"/>
    <n v="0"/>
    <s v="Commercial"/>
    <s v="Consent Given"/>
    <s v="BD Monthly Digest"/>
    <d v="2014-01-06T00:00:00"/>
    <d v="2014-09-11T00:00:00"/>
    <s v="Redevelopment"/>
    <x v="51"/>
    <x v="0"/>
    <s v="For Lease"/>
    <x v="0"/>
    <m/>
    <x v="80"/>
    <m/>
    <m/>
    <m/>
    <s v="MULTIPOLYGON (((114.152269889 22.286240445,114.152302042 22.286349865,114.152461677 22.2863097070001,114.152442988 22.2862445280001,114.152373417 22.286262021,114.152366321 22.2862460980001,114.152345415 22.2862514060001,114.152337268 22.2862236580001,114.152269889 22.286240445)))"/>
  </r>
  <r>
    <m/>
    <x v="85"/>
    <s v="388 Castle Peak Road"/>
    <m/>
    <x v="2"/>
    <x v="2"/>
    <x v="2"/>
    <x v="2"/>
    <x v="9"/>
    <x v="4"/>
    <s v="2017"/>
    <x v="2"/>
    <x v="0"/>
    <n v="1"/>
    <n v="18"/>
    <m/>
    <n v="40203.166499999999"/>
    <x v="78"/>
    <x v="0"/>
    <m/>
    <m/>
    <n v="67230"/>
    <n v="723656.99699999997"/>
    <n v="50422.5"/>
    <n v="542747.78999999992"/>
    <m/>
    <m/>
    <m/>
    <n v="542747.78999999992"/>
    <n v="0"/>
    <n v="0"/>
    <n v="0"/>
    <s v="Business"/>
    <m/>
    <m/>
    <d v="2016-11-02T00:00:00"/>
    <d v="2016-11-02T00:00:00"/>
    <s v="Revitalization"/>
    <x v="52"/>
    <x v="0"/>
    <s v="For Lease"/>
    <x v="0"/>
    <s v="Nov 2016 (Rocky): CDW Building (Total Planned GFA: Approx. 91,380 square metres)_x000a__x000a_CDW Building is a commercial complex comprising a shopping mall and an office tower located in the heart of Tsuen Wan, Hong Kong. The building is conveniently linked to the Tsuen Wan MTR station via a newly renovated/ air-conditioned walkway and is connected with other parts of the territory by the well-established transportation network. With the imminent completion of the Hong Kong- Zhuhai-Macau Bridge, it's connectivity is expected to be further enhanced with better access to the Pearl River Delta and Macau._x000a__x000a_1) Shopping Mall  _x000a_The 7-storey shopping mall will be a vibrant retail complex for shopping, dining and entertainment. It will become a new social and entertainment hub in Tsuen Wan. _x000a__x000a_2) Office Tower _x000a_The office tower consists of 18 floors with typical floor plate of approximately 3,735 sq m. The practical layout offers tenants flexibility in office planning with floor-to-ceiling glass windows. _x000a__x000a_A copy of leasing kit has just been sent to your office for your information.  You may also visit our web-site below. _x000a__x000a_http://www.hkri.com/icms2/template?series=661&amp;article=9242&amp;leftside1=406&amp;leftside2=5455&amp;menuon=1"/>
    <x v="81"/>
    <m/>
    <m/>
    <m/>
    <s v="MULTIPOLYGON (((114.11303452 22.3757593290001,114.113218938 22.375686374,114.113226085 22.375701995,114.113293021001 22.375675734,114.113285789 22.3756599270001,114.113472028 22.3755862500001,114.113442171 22.3755209930001,114.113463206 22.3755127750001,114.113450246 22.375484432,114.113469464 22.3754768260001,114.11343752 22.375406997,114.113418305 22.37541458,114.113405296 22.3753863660001,114.113384457 22.3753947390001,114.113304589 22.3752201680001,114.113325596 22.3752118690001,114.113312646 22.375183609,114.113331849 22.3751760010001,114.113299921 22.375106208,114.113280706 22.375113807,114.113267785 22.375085563,114.113246808 22.375093872,114.113197706 22.3749866690001,114.113014439 22.375059193,114.112999239 22.3750259730001,114.112928218 22.3750540390001,114.112943438 22.375087305,114.112760258 22.3751597830001,114.112809331001 22.3752670220001,114.112788315 22.375275286,114.112801216 22.375303548,114.112782735 22.375310873,114.112814561 22.375380647,114.11283311 22.3753733030001,114.112846176 22.375401574,114.112867076 22.375393283,114.112946908 22.3755677930001,114.112925902 22.3755760930001,114.112938832 22.375604355,114.11292003 22.3756118520001,114.112951876 22.375681625,114.112970833 22.3756741640001,114.112983686 22.375702408,114.113004692 22.375694081,114.11303452 22.3757593290001)))"/>
  </r>
  <r>
    <m/>
    <x v="86"/>
    <s v="23 Yip Kan Street"/>
    <m/>
    <x v="9"/>
    <x v="7"/>
    <x v="6"/>
    <x v="0"/>
    <x v="10"/>
    <x v="0"/>
    <s v="2018 Q1"/>
    <x v="2"/>
    <x v="0"/>
    <n v="1"/>
    <n v="17"/>
    <n v="17"/>
    <n v="13711"/>
    <x v="79"/>
    <x v="1"/>
    <m/>
    <m/>
    <n v="21142.801400979199"/>
    <n v="227579"/>
    <n v="15856.953734671128"/>
    <n v="170684.25"/>
    <m/>
    <m/>
    <m/>
    <n v="170684.25"/>
    <n v="0"/>
    <n v="0"/>
    <n v="0"/>
    <s v="Commercial"/>
    <m/>
    <m/>
    <d v="2017-05-22T00:00:00"/>
    <d v="2017-05-22T00:00:00"/>
    <s v="Revitalization"/>
    <x v="47"/>
    <x v="0"/>
    <s v="For Lease"/>
    <x v="0"/>
    <m/>
    <x v="82"/>
    <m/>
    <m/>
    <m/>
    <s v="MULTIPOLYGON (((114.164421632 22.248916748,114.16442733 22.2489492820001,114.164207521 22.248984377,114.164201975 22.248953193,114.16416612 22.248958918,114.164175626 22.2490123750001,114.164129077 22.249019615,114.164191181 22.2493287900001,114.164568968 22.2492706890001,114.164514403 22.248958288,114.164467089 22.2489658410001,114.164457489 22.248911024,114.164421632 22.248916748)))"/>
  </r>
  <r>
    <m/>
    <x v="87"/>
    <s v="650 Cheung Sha Wan Road"/>
    <s v="NKIL 6410"/>
    <x v="7"/>
    <x v="4"/>
    <x v="4"/>
    <x v="1"/>
    <x v="10"/>
    <x v="0"/>
    <s v="2018 Q1"/>
    <x v="0"/>
    <x v="0"/>
    <n v="1"/>
    <s v="23+2 basement"/>
    <n v="20"/>
    <n v="10645.777777777777"/>
    <x v="80"/>
    <x v="1"/>
    <n v="17961"/>
    <n v="193330.40789999999"/>
    <n v="17802.469365192916"/>
    <n v="191624"/>
    <n v="11927.654474679253"/>
    <n v="128388.08"/>
    <m/>
    <n v="128025"/>
    <m/>
    <n v="0"/>
    <n v="363.08000000000175"/>
    <n v="0"/>
    <n v="0.99717201160730806"/>
    <s v="Commercial &amp; GIC facilities"/>
    <s v="OP Issued"/>
    <s v="BD Monthly Digest"/>
    <d v="2018-02-01T00:00:00"/>
    <d v="2018-04-19T00:00:00"/>
    <s v="Redevelopment"/>
    <x v="53"/>
    <x v="0"/>
    <s v="For Sale"/>
    <x v="1"/>
    <s v="_x000a_Oct 2014: Demolition issued (BD)_x000a_http://www.firsthk.com/propertyindex.php?d=c22_x000a_Jul 2014: First Group: first 3 floors will be retail, rest will be office; will start selling the project in 2016_x000a_Apr 2014: The commercial site, New Kowloon Inland Lot No. 6410 at 650 Cheung Sha Wan Road, was awarded to First Assets Investment Company Limited (parent company: First Group Holdings Limited) for $1.002 billion_x000a_March 2013: New site on the 2013-14 programme. Estimated value $1.16 billion ($6,000 psf). Estimated Earliest Site Available Date: Mar 2014"/>
    <x v="83"/>
    <m/>
    <m/>
    <m/>
    <m/>
  </r>
  <r>
    <m/>
    <x v="88"/>
    <s v=" J/O Sheung Yuet Road, Wang Tai Road &amp; Wang Yuen Street"/>
    <s v="NKIL 6311"/>
    <x v="3"/>
    <x v="3"/>
    <x v="3"/>
    <x v="1"/>
    <x v="10"/>
    <x v="0"/>
    <s v="2018 Q1"/>
    <x v="0"/>
    <x v="0"/>
    <n v="1"/>
    <s v="23+3 basement"/>
    <n v="20"/>
    <n v="16469"/>
    <x v="81"/>
    <x v="1"/>
    <m/>
    <m/>
    <n v="29643.162393162394"/>
    <n v="319079"/>
    <n v="21343.076923076926"/>
    <n v="229736.88"/>
    <m/>
    <m/>
    <n v="15109.92"/>
    <n v="214626.96"/>
    <n v="0"/>
    <n v="0"/>
    <n v="6.5770545852281148E-2"/>
    <s v="Commercial"/>
    <s v="Consent Given"/>
    <s v="BD Monthly Digest"/>
    <d v="2018-02-01T00:00:00"/>
    <d v="2018-02-01T00:00:00"/>
    <s v="Site"/>
    <x v="54"/>
    <x v="0"/>
    <s v="For Lease"/>
    <x v="0"/>
    <s v="_x000a_Apr 2015 (Jen): will be available in 2017. 23 floors with 12,000 sf NFA floorplate. Bottom 2 floors for retail and top floor for self use._x000a_Nov 2014 (Roy): walked passed the site, foundation work just started._x000a_Mar 2013 (Yvonne): At the moment bar one shop and one restaurant it will all be for office use. Not for sale. They will be moving their headquarters there (top floors). _x000a_Jan 2013 (Yvonne): after contacting landlord (same as One Pacific Centre), expected completion date is 2016._x000a_Nov 2012: The site attracted 20 bidders and was sold to Tony Lau Hon-chung, the brother of lawmaker Sophie Leung Lau Yau-fun, for about HK$1.82 billion, or HK$5,458 psf, near the low end of market estimates. Lau is familiar with Kowloon Bay, as he and his family own an industrial building near the site._x000a_22 Oct 2012: maximum height is 120 m above PD according to the lease. Estimated around 1.33-2.33 Billion/4,000-7,500 psf._x000a_28 Sept 2012: on the government's land auction list. Tender opens 19 Oct and closes 23 Nov. Cushman &amp; Wakefield’s Valuation Dept Head – Cheung Kiu Chu張翹楚: the estimated AV is HK$7,500, expected value is HK$ 2.48 Billion. He pointed out, there will be walking pathway connecting whole Kowloon bay, so the potential has yet to reveal. Also, the new developments nearby has recorded an average of HK$10,000/sf._x000a_14Oct2011: One of nine sites announced in CBD2-Kowloon East by Ms Carrie Lam. 18Oct2011: (HKET) - estimated price: 111 million ($333 psf) (???)"/>
    <x v="84"/>
    <m/>
    <m/>
    <m/>
    <m/>
  </r>
  <r>
    <m/>
    <x v="89"/>
    <s v="348 Kwun Tong Road"/>
    <s v="KTIL 761"/>
    <x v="13"/>
    <x v="3"/>
    <x v="3"/>
    <x v="1"/>
    <x v="10"/>
    <x v="1"/>
    <s v="2018 Q2"/>
    <x v="0"/>
    <x v="0"/>
    <n v="1"/>
    <s v="21+3 basement"/>
    <n v="19"/>
    <n v="35973.84210526316"/>
    <x v="82"/>
    <x v="0"/>
    <m/>
    <m/>
    <n v="63498.978075065039"/>
    <n v="683503"/>
    <n v="50799.182460052034"/>
    <n v="546802.4"/>
    <n v="197636.276446"/>
    <m/>
    <m/>
    <n v="349166.12355400005"/>
    <n v="0"/>
    <n v="0"/>
    <n v="0.36144003107155342"/>
    <s v="Commercial"/>
    <s v="OP Issued"/>
    <s v="BD Monthly Digest"/>
    <d v="2018-04-19T00:00:00"/>
    <d v="2018-04-19T00:00:00"/>
    <s v="Site"/>
    <x v="55"/>
    <x v="0"/>
    <s v="For Lease"/>
    <x v="0"/>
    <s v="Jessy: http://www.mapletreebaypoint.com/en/project-information.php_x000a_June 2016 (Jerry): Brochure saved I:\CBRE Research\Hong Kong\02. Databases\Office Database\Supply info\Mapletree_x000a_Mar 2016 (RJo): •Name: currently 348 Kwun Tong Road, they are considering what to ‘name’ the building at the moment, which will likely include the word ‘Mapletree’ as they want to improve brand recognition in HK. That said, for the right price they will consider sell out for an anchor tenant looking for naming rights._x000a_• Mapletree sees HK at a long term strategic location and are activity looking for new acquisitions _x000a_• Mapletree are in discussion with EKEO to connect their site to the MTR, nothing confirmed yet_x000a_• Mapletree is now… very realistic on rental in an attempt to secure their anchor tenant (circa 100,000 sq ft)_x000a__x000a_Aug 2014: completion in Oct-2017 according to Landlord_x000a_May 2014: Site visit in May, still bare site with no construction sign_x000a_Jan 10: Mapletree won the site for 5700 psf_x000a_On securing the site, Mapletree plans to develop a Grade-A office building with a total Gross Floor Area (GFA) of 61,344 square metres (660,301 square feet), at a total development cost of more than HK$6 billion.  &quot;There has been a wave of relocation activities as financial institutions, insurance and logistics companies have started to consolidate their operations in this area. The site enjoys good traffic flow and is within walking distance from Ngau Tau Kok MTR station. The potential underground link to Ngau Tau Kok MTR station and the waterfront promenade would further enhance connectivity and accessibility to the site, and help channel both office and retail needs in the locality to the development which is projected to complete by 2017,&quot; said Mapletree._x000a_Oct 2013: site will open open for tender on 29 Nov 2013 and tender will close on 10 Jan 2014. HKET: estimated value @ $4,000 - $6,000 psf._x000a_March 2013: New site on the 2013-14 programme. Estimated value $4.16 billion ($5,500 psf). Estimated Earliest Site Available Date: Mar 2014_x000a_14Oct2011: One of nine sites announced in CBD2-Kowloon East by Ms Carrie Lam. 18Oct2011: (HKET) - estimated price: 4.752 billion ($4,000 psf)."/>
    <x v="85"/>
    <m/>
    <m/>
    <m/>
    <m/>
  </r>
  <r>
    <m/>
    <x v="90"/>
    <s v="42 Pak Tin Par St, Chai Wan Kok"/>
    <m/>
    <x v="2"/>
    <x v="2"/>
    <x v="2"/>
    <x v="2"/>
    <x v="10"/>
    <x v="1"/>
    <s v="2018 Q2"/>
    <x v="2"/>
    <x v="0"/>
    <n v="1"/>
    <n v="6"/>
    <n v="3"/>
    <n v="17333.333333333332"/>
    <x v="83"/>
    <x v="1"/>
    <m/>
    <m/>
    <n v="4830.9627551352205"/>
    <n v="52000"/>
    <n v="3623.1884057971015"/>
    <n v="39000"/>
    <m/>
    <m/>
    <m/>
    <n v="39000"/>
    <n v="0"/>
    <n v="0"/>
    <n v="0"/>
    <s v="Commercial"/>
    <m/>
    <s v="OS"/>
    <d v="2017-04-18T00:00:00"/>
    <d v="2017-04-18T00:00:00"/>
    <s v="Revitalization"/>
    <x v="56"/>
    <x v="0"/>
    <s v="For Lease"/>
    <x v="0"/>
    <s v="Apr 2017 (Jerry): Planning at the moment: _x000a__x000a_G-3/F Retails_x000a_4-6/F office  (seems like Anthony Leung will take 1 floor for selfuse) _x000a__x000a_It is 13,000 sf salable per floor (not sure eventual Gross area)_x000a_"/>
    <x v="86"/>
    <m/>
    <m/>
    <m/>
    <s v="MULTIPOLYGON (((114.109934141 22.375025178,114.109922576 22.3745398,114.109281908 22.374553405,114.109282885 22.3745820860001,114.109237239 22.3745832050001,114.109248164 22.375041563,114.109934141 22.375025178)))"/>
  </r>
  <r>
    <m/>
    <x v="91"/>
    <s v="45-47 Pottinger Street, 1-5 Tun Wo Lane &amp; 4-7 Ezra's Lane"/>
    <m/>
    <x v="8"/>
    <x v="6"/>
    <x v="5"/>
    <x v="0"/>
    <x v="10"/>
    <x v="2"/>
    <s v="2018 Q3"/>
    <x v="1"/>
    <x v="0"/>
    <s v="1/1"/>
    <s v="23+1 lower ground floor / 11"/>
    <m/>
    <m/>
    <x v="41"/>
    <x v="2"/>
    <m/>
    <m/>
    <n v="12634.9"/>
    <n v="136000.80010999998"/>
    <n v="7883"/>
    <n v="102000.60008249999"/>
    <m/>
    <m/>
    <m/>
    <n v="102000.60008249999"/>
    <n v="0"/>
    <n v="0"/>
    <n v="0"/>
    <s v="Commercial"/>
    <s v="OP Issued"/>
    <s v="BD Digest"/>
    <d v="2018-08-01T00:00:00"/>
    <d v="2018-10-25T00:00:00"/>
    <s v="Redevelopment"/>
    <x v="57"/>
    <x v="0"/>
    <s v="For Lease"/>
    <x v="0"/>
    <m/>
    <x v="87"/>
    <m/>
    <m/>
    <m/>
    <s v="MULTIPOLYGON (((114.154310341 22.282110878,114.154069873 22.282176346,114.154100343 22.2823138490001,114.154200101 22.282304946,114.154201652 22.2823199990001,114.154393435 22.282302062,114.154310341 22.282110878)))"/>
  </r>
  <r>
    <m/>
    <x v="92"/>
    <s v="979 King's Road"/>
    <m/>
    <x v="0"/>
    <x v="0"/>
    <x v="0"/>
    <x v="0"/>
    <x v="10"/>
    <x v="2"/>
    <s v="2018 Q3"/>
    <x v="0"/>
    <x v="0"/>
    <n v="1"/>
    <s v="50+2 basement"/>
    <n v="41"/>
    <n v="23870"/>
    <x v="84"/>
    <x v="0"/>
    <m/>
    <m/>
    <n v="79128.847350867247"/>
    <n v="851735"/>
    <n v="73589.144370122638"/>
    <n v="792113.55"/>
    <n v="702683.82000000007"/>
    <m/>
    <n v="18830.64"/>
    <n v="70599.089999999982"/>
    <n v="0"/>
    <n v="0"/>
    <n v="0.91087251316430584"/>
    <s v="Commercial"/>
    <s v="Work Received"/>
    <s v="BD Monthly Digest &amp; Swire Fact Sheet"/>
    <d v="2016-04-01T00:00:00"/>
    <d v="2018-09-28T00:00:00"/>
    <s v="Redevelopment"/>
    <x v="0"/>
    <x v="0"/>
    <s v="For Lease"/>
    <x v="0"/>
    <s v="Feb 2016 (Roy): foundation looks complete_x000a_Feb 2014 (Swire): The first phase of the approved redevelopment plan of TaiKoo Place involves redeveloping Somerset House into a 51-storey office building; the second phase involves redeveloping Cornwall House and Warwick House into a single 46-storey office tower. The first new office building is expected to be ready for handover by 2018._x000a_The agreement includes a cash consideration payable to the HKSAR Government of HK$537million, and an additional amount to reflect any potential appreciation in office values between the date of the agreement and the date of completion of construction of the second phase of the TaiKoo Place redevelopment.  In addition, Swire Properties will fund relocation costs and expenses for the existing HKSAR Government departments to vacate Cornwall House, including the fit out of the 10 floors of Cityplaza Three. The transaction is expected to be completed no later than 30 December 2016._x000a_Feb 2013 (James): Swire indicated that the 'lights get turned off' (ie all tenants are out) at Somerset House on 7 Aug 2013. A little earlier  than expected. _x000a_Aug 2012: (SCMP): &quot;Swire Properties chief executive Martin Cubbon said Somerset House would be demolished first in the third quarter of next year, while plans for Cornwall House and Warwick House were not finalised yet. Somerset House will be torn down to make way for a grade A office tower of about 50storeys.&quot;_x000a_Jun 2012: Demolition to start Jan 2013 with tenants out of building by Q3/Q4 2012._x000a_Mar 2012 (James): Demolition of Somerset House is planned to start end 2103 with completion (building known as Building 2a) expected in 2017. _x000a_Aug 2011 (Cynthia): Major tenants start to receive development notices from Swire to terminate lease in Aug 2013.  Earliest approved date to commence knocking down is Dec 2013."/>
    <x v="88"/>
    <m/>
    <m/>
    <m/>
    <m/>
  </r>
  <r>
    <m/>
    <x v="93"/>
    <s v="8-10 Wong Chuk Hang Road"/>
    <s v="AIL 338 &amp; 339"/>
    <x v="9"/>
    <x v="7"/>
    <x v="6"/>
    <x v="0"/>
    <x v="10"/>
    <x v="2"/>
    <s v="2018 Q3"/>
    <x v="0"/>
    <x v="0"/>
    <n v="1"/>
    <s v="28+3 basement "/>
    <n v="23"/>
    <n v="16617.82608695652"/>
    <x v="85"/>
    <x v="1"/>
    <n v="35535"/>
    <n v="382495.18650000001"/>
    <n v="35508.505281542937"/>
    <n v="382210"/>
    <n v="29472.059383680637"/>
    <n v="317234.3"/>
    <n v="106491.16800000001"/>
    <m/>
    <m/>
    <n v="210743.13199999998"/>
    <n v="0"/>
    <n v="0"/>
    <n v="0.33568617264904843"/>
    <s v="Commercial"/>
    <s v="Work Received"/>
    <s v="BD Monthly Digest &amp; Swire 2Q 2014 Quarterly Announcement / CMB 2012/13 AR"/>
    <d v="2018-10-04T00:00:00"/>
    <d v="2018-10-04T00:00:00"/>
    <s v="Redevelopment"/>
    <x v="58"/>
    <x v="0"/>
    <s v="For Lease"/>
    <x v="0"/>
    <s v="Oct 2018(Peter): Obtained OP in Aug_x000a_Feb 2016 (Roy): doing foundation_x000a_Apr 2014 (Jason): China Motor Bus 2012/13 AR - It is anticipated that a 28 storeyed Grade A office building (comprising three levels of basement carpark, an entrance floor on the_x000a_ground floor, 25 office floors, one refuge floor and one mechanical floor) would be constructed on the site._x000a_Site Area: 25,500 sf_x000a_Feb 2014 (Ian): Industrial site that was converted to commercial use.  (premium paid approximately HK$1,070 million)_x000a_In February 2014, the Company which owns an industrial site at 8‐10 Wong Chuk Hang Road in Aberdeen, Hong Kong (in which Swire Properties has a 50% interest) agreed with the Government to proceed with a modification of the Government Leases to permit the site to be used for commercial purposes. The site is intended to be developed into an office building with an aggregate gross floor area of approximately 382,500 square feet._x000a_Aug 2011 (Cynthia): Potential only. No plans submitted."/>
    <x v="89"/>
    <m/>
    <m/>
    <m/>
    <m/>
  </r>
  <r>
    <m/>
    <x v="94"/>
    <s v="43-45 Tsun Yip Street"/>
    <m/>
    <x v="4"/>
    <x v="3"/>
    <x v="3"/>
    <x v="1"/>
    <x v="10"/>
    <x v="4"/>
    <s v="2018"/>
    <x v="1"/>
    <x v="1"/>
    <n v="1"/>
    <n v="14"/>
    <m/>
    <n v="7200.2702571428572"/>
    <x v="86"/>
    <x v="1"/>
    <m/>
    <m/>
    <n v="9364.9"/>
    <n v="100803.7836"/>
    <n v="7023.6749999999993"/>
    <n v="75602.837700000004"/>
    <m/>
    <m/>
    <m/>
    <n v="75602.837700000004"/>
    <n v="0"/>
    <n v="0"/>
    <n v="0"/>
    <s v="Commercial"/>
    <s v="Plans Approved"/>
    <s v="BD Monthly Digest"/>
    <d v="2015-01-06T00:00:00"/>
    <d v="2015-10-23T00:00:00"/>
    <s v="Redevelopment"/>
    <x v="59"/>
    <x v="0"/>
    <s v="For Lease"/>
    <x v="0"/>
    <s v="Yau Lee Group sold to New World._x000a__x000a_http://www.yaulee.com/eng/businessDomain/be/beCompany.htm"/>
    <x v="90"/>
    <m/>
    <m/>
    <m/>
    <m/>
  </r>
  <r>
    <m/>
    <x v="95"/>
    <s v="1 Hennessy Road"/>
    <m/>
    <x v="11"/>
    <x v="8"/>
    <x v="7"/>
    <x v="0"/>
    <x v="11"/>
    <x v="0"/>
    <s v="2019 Q1"/>
    <x v="0"/>
    <x v="0"/>
    <n v="1"/>
    <s v="24+1 basement"/>
    <n v="21"/>
    <n v="12794"/>
    <x v="87"/>
    <x v="1"/>
    <n v="29264.1"/>
    <n v="314995.84598999994"/>
    <n v="23016.007209282881"/>
    <n v="247742"/>
    <n v="17261.845039018954"/>
    <n v="185806.5"/>
    <n v="162195.75"/>
    <m/>
    <m/>
    <n v="23610.75"/>
    <n v="0"/>
    <n v="0"/>
    <n v="0.87292828829992497"/>
    <s v="Commercial"/>
    <s v="OP Issued"/>
    <s v="BD Monthly Digest"/>
    <d v="2019-02-01T00:00:00"/>
    <d v="2019-04-01T00:00:00"/>
    <s v="Redevelopment"/>
    <x v="42"/>
    <x v="0"/>
    <s v="For Lease"/>
    <x v="0"/>
    <s v="_x000a_Feb 2016 (Roy): doing foundation_x000a_May 2015 (Ian): OP in 2018 Q4_x000a_May 2014: according to Ivy Tai, in the last meeting with Chinachem in Jan 2014, their CEO mentioned that the expected completion year is 2016_x000a_Nov 2013: demolition issued_x000a_Jun 2013: all tenants vacated already, now empty building._x000a_Jan 2013 (Ian): from David Parker COO, Chinachem Group, they have served the “developer” notice on their tenants and the removal date is May 2013.  They have relocated the Post Office as they were obliged to under the government lease, and undertaken the ground contamination tests with regard to the gas station.  The are looking at the demolition tender process right now. OP is scheduled for May 2017._x000a_Jun 2012: tenants move out next year._x000a_Sep 2011 (Cynthia): CN asked Oscar if he knows anyone well at Chinachem that he could introduce._x000a_Contact: Doug Chiu 2368 4968 /  / Gipsy 2739 8811_x000a_Aug 2011 (Cynthia): Exisitng building unknocked. Located diagonally Swire's 28 Hennessy Rd.  The landlord indicated they will demolish building at end of year and will take 4 years to complete."/>
    <x v="91"/>
    <m/>
    <m/>
    <m/>
    <m/>
  </r>
  <r>
    <m/>
    <x v="96"/>
    <s v="123 Hoi Bun Road"/>
    <m/>
    <x v="13"/>
    <x v="3"/>
    <x v="3"/>
    <x v="1"/>
    <x v="11"/>
    <x v="0"/>
    <s v="2019 Q1"/>
    <x v="0"/>
    <x v="0"/>
    <n v="1"/>
    <s v="23+3 basement"/>
    <n v="19"/>
    <n v="27204.545454545456"/>
    <x v="88"/>
    <x v="0"/>
    <n v="55382.1"/>
    <n v="596127.38618999999"/>
    <n v="55602.523249008264"/>
    <n v="598500"/>
    <n v="43369.968134226445"/>
    <n v="466830"/>
    <n v="24570"/>
    <m/>
    <n v="49140"/>
    <n v="393120"/>
    <n v="0"/>
    <n v="0"/>
    <n v="0.15789473684210531"/>
    <s v="Commercial"/>
    <s v="OP Issued"/>
    <s v="BD Monthly Digest"/>
    <d v="2019-02-01T00:00:00"/>
    <d v="2019-04-01T00:00:00"/>
    <s v="Redevelopment"/>
    <x v="60"/>
    <x v="0"/>
    <s v="For Lease"/>
    <x v="0"/>
    <s v="Mar 2016 (Rod): will start to sell this building after the sale of One HarbourGate. 30,000 sf floorplate but could potentially divide into 2 blocks._x000a_Jun 2015: Demolition issed in April 2015_x000a_May 2014: Rod mentioned 2019_x000a_Jun 2013: tenants will be vacated by 2016, land premium paid for extra GFA&gt;_x000a_Jun 2012: may look to move tenants out by 2015/17._x000a_Feb2012: JD (OS) - could still do 3 year leases _x000a_To fully utilize the plot ratio, Wharf has paid a land premium of HK$502.79m to increase the total buildable GFA of World Trade Square (九倉電訊廣場) in Kwun Tong by 200,000 sq.ft. to 600,000 sq.ft. The AV of the additional office GFA was HK$2,514/sq.ft."/>
    <x v="92"/>
    <m/>
    <m/>
    <m/>
    <m/>
  </r>
  <r>
    <m/>
    <x v="97"/>
    <s v="97 Tai Lin Pai Road"/>
    <s v="KCTL 517"/>
    <x v="2"/>
    <x v="2"/>
    <x v="2"/>
    <x v="2"/>
    <x v="11"/>
    <x v="0"/>
    <s v="2019 Q1"/>
    <x v="1"/>
    <x v="0"/>
    <n v="1"/>
    <s v="21+2 basement"/>
    <n v="21"/>
    <n v="5879.139666666666"/>
    <x v="89"/>
    <x v="1"/>
    <n v="11470"/>
    <n v="123461.93299999999"/>
    <n v="11470"/>
    <n v="123461.93299999999"/>
    <n v="8602.5"/>
    <n v="92597.31"/>
    <m/>
    <m/>
    <m/>
    <n v="0"/>
    <n v="92597.31"/>
    <n v="0"/>
    <n v="0"/>
    <s v="Business"/>
    <s v="OP Issued"/>
    <s v="Land sale programme 2015-16"/>
    <d v="2019-02-01T00:00:00"/>
    <d v="2019-04-01T00:00:00"/>
    <s v="Site"/>
    <x v="53"/>
    <x v="0"/>
    <s v="For Sale"/>
    <x v="1"/>
    <s v="Jul 2016: 第一集團項目總監魏深儀表示，區內舊式工廈較多，市場對甲級商廈有需求，商業用地供應甚少，對葵涌區及商廈發展有信心，故是次出價進取，集團計劃打造一幢甲級寫字樓作為拆售，會考慮提供零售樓面，投資額約13億元，預計2019年落成。"/>
    <x v="93"/>
    <m/>
    <m/>
    <m/>
    <s v="MULTIPOLYGON (((114.133417956 22.361431761,114.133217257 22.3614947350001,114.13329935 22.361721086,114.133500069 22.3616570360001,114.133491133 22.361632764,114.13354191 22.361616561,114.133478008 22.3614403670001,114.133426894 22.3614564050001,114.133417956 22.361431761)))"/>
  </r>
  <r>
    <m/>
    <x v="98"/>
    <s v="43 Heung Yip Road"/>
    <m/>
    <x v="9"/>
    <x v="7"/>
    <x v="6"/>
    <x v="0"/>
    <x v="11"/>
    <x v="1"/>
    <s v="2019 Q2"/>
    <x v="1"/>
    <x v="0"/>
    <n v="1"/>
    <n v="34"/>
    <m/>
    <n v="7362.9519337920001"/>
    <x v="90"/>
    <x v="1"/>
    <m/>
    <m/>
    <n v="2935.7116313638053"/>
    <n v="31600"/>
    <n v="2201.783723522854"/>
    <n v="23700"/>
    <m/>
    <m/>
    <m/>
    <n v="0"/>
    <n v="0"/>
    <n v="23700"/>
    <n v="0"/>
    <s v="Hotel/ Commercial"/>
    <s v="OP Issued"/>
    <s v="BD Monthly Digest"/>
    <d v="2016-03-15T00:00:00"/>
    <d v="2016-03-15T00:00:00"/>
    <s v="Redevelopment"/>
    <x v="61"/>
    <x v="0"/>
    <s v="Uncertain"/>
    <x v="2"/>
    <m/>
    <x v="94"/>
    <m/>
    <m/>
    <m/>
    <s v="MULTIPOLYGON (((114.162557195 22.247721977,114.162570836 22.2479158220001,114.162879366 22.247872451,114.16284811 22.2476795870001,114.162557195 22.247721977)))"/>
  </r>
  <r>
    <m/>
    <x v="99"/>
    <s v="38 Wai Yip Street"/>
    <s v="NKIL 6313"/>
    <x v="3"/>
    <x v="3"/>
    <x v="3"/>
    <x v="1"/>
    <x v="11"/>
    <x v="1"/>
    <s v="2019 Q2"/>
    <x v="0"/>
    <x v="0"/>
    <n v="2"/>
    <s v="27+2 basement"/>
    <m/>
    <s v="11724/12358"/>
    <x v="91"/>
    <x v="1"/>
    <n v="56465.731077166623"/>
    <n v="607791.48274151376"/>
    <n v="49873.280130807609"/>
    <n v="536831"/>
    <n v="34911.296091565324"/>
    <n v="375781.69999999995"/>
    <m/>
    <n v="212363"/>
    <m/>
    <n v="0"/>
    <n v="163418.69999999995"/>
    <n v="0"/>
    <n v="0.56512331494588486"/>
    <s v="Commercial"/>
    <s v="OP Issued"/>
    <s v="BD Monthly Digest"/>
    <d v="2019-04-01T00:00:00"/>
    <d v="2019-06-01T00:00:00"/>
    <s v="Site"/>
    <x v="62"/>
    <x v="0"/>
    <s v="For Sale"/>
    <x v="1"/>
    <s v="Feb 2015: Land Sale Programme 2014-15.  (Rolled over from 2011-12)._x000a_Sep 2012: This is within action area 1"/>
    <x v="95"/>
    <m/>
    <m/>
    <m/>
    <m/>
  </r>
  <r>
    <m/>
    <x v="100"/>
    <s v="J/O Hung Yip Street, Wai Yip Street, Shun Yip Street &amp; Hoi Bun Road"/>
    <s v="NKIL 6512"/>
    <x v="13"/>
    <x v="3"/>
    <x v="3"/>
    <x v="1"/>
    <x v="11"/>
    <x v="1"/>
    <s v="2019 Q2"/>
    <x v="0"/>
    <x v="0"/>
    <n v="2"/>
    <s v="21+3 basement"/>
    <m/>
    <n v="25500"/>
    <x v="92"/>
    <x v="0"/>
    <n v="82045.26221908415"/>
    <n v="883126.99799999991"/>
    <n v="79153.010033444822"/>
    <n v="852003"/>
    <n v="59364.757525083616"/>
    <n v="639002.25"/>
    <n v="354851.42013600003"/>
    <m/>
    <n v="78989.853127000009"/>
    <n v="205160.97673699996"/>
    <n v="0"/>
    <n v="0"/>
    <n v="0.67893543921480726"/>
    <s v="Commercial"/>
    <s v="OP Issued"/>
    <s v="BD Monthly Digest"/>
    <d v="2017-05-01T00:00:00"/>
    <d v="2018-01-11T00:00:00"/>
    <s v="Site"/>
    <x v="63"/>
    <x v="0"/>
    <s v="For Lease"/>
    <x v="0"/>
    <s v="Jul 2016: JP Morgan signed 220,000sf with The Link REIT at $30/sf eff for Shatin relocation; and will potentially sign another 100,000sf for Hong Kong East relocation_x000a_Mar 2016 (Felipe Leung from Link): OP expected in early 2019 (or even earlier). Will be twin tower but every floor can be connnected (8 shaped). No naming right but will have signage. Floor plate 51,000 sf on connected floor. 72% whole floor efficiency. 400+ car parks in basement. Will likely have a new tunnel connecting mtr to Mapletree site to Hoi Bun Road Park. 110,000 sf (just over 2 floors) will be for retail._x000a_Nov 2015: Jess - it will be a twin tower like PCCW &amp; Dorset House, can be connected to make up 55,000 sf floorplate. 400+ carparks_x000a_Tender closes on 23 Jan 2015_x000a_Feb 2014: Rolled over from 2013-14 programme.  To be tendered 2H 2014/15_x000a_March 2013: Part of Action Area 1. New site on the 2013-14 programme. Estimated value $5.58 billion ($5,500 psf). Estimated Earliest Site Available Date: Mar 2014_x000a_Shuttle bus is target to have one to either Kowloon Bay or Nagy Tau Kok, one to Central."/>
    <x v="96"/>
    <m/>
    <m/>
    <m/>
    <m/>
  </r>
  <r>
    <m/>
    <x v="101"/>
    <s v="16-20 Chater Road"/>
    <m/>
    <x v="8"/>
    <x v="6"/>
    <x v="5"/>
    <x v="0"/>
    <x v="11"/>
    <x v="2"/>
    <s v="2019 Q3"/>
    <x v="0"/>
    <x v="0"/>
    <n v="1"/>
    <m/>
    <n v="1"/>
    <n v="10373"/>
    <x v="93"/>
    <x v="1"/>
    <n v="15237.6"/>
    <n v="10373"/>
    <n v="963.68416651957011"/>
    <n v="10373"/>
    <n v="963.68416651957011"/>
    <n v="10373"/>
    <m/>
    <m/>
    <m/>
    <n v="10373"/>
    <n v="0"/>
    <n v="0"/>
    <n v="0"/>
    <s v="Commercial"/>
    <m/>
    <s v="OS"/>
    <d v="2019-09-01T00:00:00"/>
    <d v="2019-09-01T00:00:00"/>
    <s v="Refurbishment"/>
    <x v="21"/>
    <x v="0"/>
    <s v="For Lease"/>
    <x v="0"/>
    <s v="Change of the top floor to office use"/>
    <x v="97"/>
    <m/>
    <m/>
    <m/>
    <m/>
  </r>
  <r>
    <m/>
    <x v="102"/>
    <s v="218 Electric Road"/>
    <m/>
    <x v="16"/>
    <x v="0"/>
    <x v="0"/>
    <x v="0"/>
    <x v="11"/>
    <x v="2"/>
    <s v="2019 Q3"/>
    <x v="1"/>
    <x v="0"/>
    <n v="1"/>
    <s v="25+2 basement"/>
    <n v="22"/>
    <n v="5500"/>
    <x v="94"/>
    <x v="1"/>
    <n v="14606.601696411153"/>
    <n v="157224"/>
    <n v="11255.864510075346"/>
    <n v="121157"/>
    <n v="9423.5397950556962"/>
    <n v="101434.04000000001"/>
    <m/>
    <m/>
    <m/>
    <n v="101434.04000000001"/>
    <n v="0"/>
    <n v="0"/>
    <n v="0"/>
    <s v="Commercial"/>
    <s v="OP Issued"/>
    <s v="BD Monthly Digest"/>
    <d v="2019-11-01T00:00:00"/>
    <d v="2018-04-19T00:00:00"/>
    <s v="Redevelopment"/>
    <x v="64"/>
    <x v="0"/>
    <s v="For Lease"/>
    <x v="0"/>
    <s v="Feb 2016 (Roy): scaffolding around building, about to demolish_x000a_Jul 2018 (Peter): updated GFA/NFA based on the marketing material"/>
    <x v="98"/>
    <m/>
    <m/>
    <m/>
    <s v="MULTIPOLYGON (((114.193124833878 22.2886299951312,114.193208718559 22.2887146908222,114.193294788841 22.2886474993216,114.193221610282 22.2885660219888,114.193258060323 22.2885282839304,114.193134600362 22.288391117032,114.193089133032 22.2884187269691,114.19304633819 22.288371269659,114.192955782619 22.2884420321224,114.193124833878 22.2886299951312)))"/>
  </r>
  <r>
    <m/>
    <x v="103"/>
    <s v="Harbour City, Tsim Sha Tsui, Kowloon, Hong Kong"/>
    <m/>
    <x v="6"/>
    <x v="5"/>
    <x v="1"/>
    <x v="1"/>
    <x v="11"/>
    <x v="2"/>
    <s v="2019 Q3"/>
    <x v="0"/>
    <x v="0"/>
    <n v="1"/>
    <n v="15"/>
    <m/>
    <n v="24500"/>
    <x v="95"/>
    <x v="0"/>
    <m/>
    <m/>
    <n v="34451.453469467386"/>
    <n v="370832"/>
    <n v="25838.590102100541"/>
    <n v="278124"/>
    <n v="133770"/>
    <m/>
    <m/>
    <n v="144354"/>
    <n v="0"/>
    <n v="0"/>
    <n v="0.48097251585623679"/>
    <s v="Commercial"/>
    <m/>
    <s v="Brokers"/>
    <d v="2019-07-01T00:00:00"/>
    <d v="2019-07-18T00:00:00"/>
    <s v="Refurbishment"/>
    <x v="60"/>
    <x v="0"/>
    <s v="For Lease"/>
    <x v="0"/>
    <s v="Aug 2017 (Jerry): Gateway decided to convert serviced apartment in Tower 5 (Hampton Court) into office, while keeping the service apartment in Tower 3 operated."/>
    <x v="99"/>
    <m/>
    <m/>
    <m/>
    <m/>
  </r>
  <r>
    <m/>
    <x v="104"/>
    <s v="728 King's Road"/>
    <m/>
    <x v="0"/>
    <x v="0"/>
    <x v="0"/>
    <x v="0"/>
    <x v="11"/>
    <x v="1"/>
    <s v="2019 Q2"/>
    <x v="0"/>
    <x v="0"/>
    <n v="1"/>
    <s v="25+3 basement"/>
    <n v="22"/>
    <n v="20080.363636363636"/>
    <x v="96"/>
    <x v="0"/>
    <n v="45290.2"/>
    <n v="487499.18377999996"/>
    <n v="41041.629892511082"/>
    <n v="441768"/>
    <n v="35706.21800648464"/>
    <n v="384341.73062180064"/>
    <n v="34290.18"/>
    <m/>
    <m/>
    <n v="350051.55062180065"/>
    <n v="0"/>
    <n v="0"/>
    <n v="8.9217946603207032E-2"/>
    <s v="Commercial"/>
    <s v="OP Issued"/>
    <s v="BD Monthly Digest"/>
    <d v="2019-06-01T00:00:00"/>
    <d v="2019-06-01T00:00:00"/>
    <s v="Redevelopment"/>
    <x v="65"/>
    <x v="0"/>
    <s v="For Lease"/>
    <x v="0"/>
    <s v="Jan 2026 (Zac): revised OP from Q4 to Q2 (June)_x000a_Feb 2016 (Roy): doing ground work_x000a_May 2015 (HKET): applied to Town Planning board in March for a 29 storey building of 488k sf GFA composed of Office, Exhibition and F&amp;B. 4/F to 24/F will be for office with floorplate of 1.9k sf GFA. 2/F will be a exhibition hall of 9m._x000a_9Jul14: Could be a 28-storey residential building_x000a_New World Development bought two retail units to speed up the redevelopment process"/>
    <x v="100"/>
    <m/>
    <m/>
    <m/>
    <m/>
  </r>
  <r>
    <m/>
    <x v="105"/>
    <s v="1001 King's Road"/>
    <m/>
    <x v="0"/>
    <x v="0"/>
    <x v="0"/>
    <x v="0"/>
    <x v="11"/>
    <x v="3"/>
    <s v="2019 Q4"/>
    <x v="1"/>
    <x v="0"/>
    <n v="1"/>
    <s v="22+2 basement"/>
    <m/>
    <n v="1972.6666666666667"/>
    <x v="97"/>
    <x v="1"/>
    <n v="11507.9"/>
    <n v="123869.88480999999"/>
    <n v="11507.9"/>
    <n v="47344"/>
    <n v="6428.3"/>
    <n v="69193.578370000003"/>
    <m/>
    <m/>
    <m/>
    <n v="69193.578370000003"/>
    <n v="0"/>
    <n v="0"/>
    <n v="0"/>
    <s v="Commercial"/>
    <s v="Plans Approved"/>
    <s v="BD Monthly Digest"/>
    <d v="2019-09-01T00:00:00"/>
    <d v="2019-11-01T00:00:00"/>
    <s v="Redevelopment"/>
    <x v="66"/>
    <x v="0"/>
    <s v="For Lease"/>
    <x v="0"/>
    <s v="Feb 2016 (Roy): beginning construction_x000a_Oct 2015 (Sing Tao): Foundation completed, project to be completed in 2018. Will be a ginza style commercial building with banks as F&amp;B. There will be 3 retail units on G/F, 2,000 sf each._x000a_Sep 2018 (Candy): Bank: B/F-2/F; F&amp;B: 3/F-12/F; Office: 17/F-22/F; F&amp;B: 23/F-25/F "/>
    <x v="101"/>
    <s v="LAND063"/>
    <m/>
    <m/>
    <s v="MULTIPOLYGON (((114.212402487 22.28504761,114.212549711 22.2849965180001,114.212541744 22.284949831,114.21251389 22.2849009130001,114.212458278 22.2848909150001,114.212118055 22.285003601,114.212118533 22.285019946,114.212174126 22.2850374110001,114.212161423 22.28505826,114.212396166 22.28517991,114.212402487 22.28504761)))"/>
  </r>
  <r>
    <m/>
    <x v="106"/>
    <s v="162 Queen's Road Central &amp; 111 Wellington Street"/>
    <m/>
    <x v="12"/>
    <x v="9"/>
    <x v="8"/>
    <x v="0"/>
    <x v="11"/>
    <x v="3"/>
    <s v="2019 Q4"/>
    <x v="1"/>
    <x v="0"/>
    <n v="1"/>
    <n v="24"/>
    <m/>
    <n v="2706.74235"/>
    <x v="98"/>
    <x v="1"/>
    <n v="6035.1"/>
    <n v="64961.212890000003"/>
    <n v="6035.1"/>
    <n v="64961.816400000003"/>
    <n v="3630.8"/>
    <n v="39081.568120000004"/>
    <m/>
    <m/>
    <m/>
    <n v="39081.568120000004"/>
    <n v="0"/>
    <n v="0"/>
    <n v="0"/>
    <s v="Commercial"/>
    <s v="OP Issued"/>
    <s v="BD Monthly Digest"/>
    <d v="2019-09-01T00:00:00"/>
    <d v="2019-11-01T00:00:00"/>
    <s v="Redevelopment"/>
    <x v="67"/>
    <x v="0"/>
    <s v="For Lease"/>
    <x v="0"/>
    <m/>
    <x v="102"/>
    <m/>
    <m/>
    <m/>
    <s v="MULTIPOLYGON (((114.153624398 22.284494532,114.153747642 22.2844027680001,114.1536849 22.2843330880001,114.153669657 22.2843463540001,114.153620896 22.2842866060001,114.153578076 22.284319968,114.153595347001 22.2843393440001,114.153530319 22.284389745,114.153624398 22.284494532)))"/>
  </r>
  <r>
    <m/>
    <x v="107"/>
    <s v="33 Wyndham Street, Central"/>
    <m/>
    <x v="8"/>
    <x v="6"/>
    <x v="5"/>
    <x v="0"/>
    <x v="11"/>
    <x v="4"/>
    <s v="2019"/>
    <x v="1"/>
    <x v="1"/>
    <n v="1"/>
    <m/>
    <m/>
    <m/>
    <x v="41"/>
    <x v="2"/>
    <m/>
    <m/>
    <n v="5574.187794386793"/>
    <n v="60000"/>
    <n v="4180.6408457900943"/>
    <n v="45000"/>
    <m/>
    <m/>
    <m/>
    <n v="0"/>
    <n v="0"/>
    <n v="45000"/>
    <n v="0"/>
    <s v="Business"/>
    <m/>
    <s v="Retail Team"/>
    <d v="2016-09-20T00:00:00"/>
    <d v="2016-09-24T00:00:00"/>
    <s v="Redevelopment"/>
    <x v="68"/>
    <x v="0"/>
    <s v="Uncertain"/>
    <x v="2"/>
    <s v="Sep 2016: Peterson Group plans to either renovate LKF Hotel or change the whole block to office use and decision will be finalized by end of 2016. If decided to change to office, the total office area will be 60,000 sf, G/F – 9/F will be for F&amp;B use.  (GC)"/>
    <x v="103"/>
    <m/>
    <m/>
    <m/>
    <m/>
  </r>
  <r>
    <m/>
    <x v="108"/>
    <s v="Junction of Castle Peak Road and Kin Chuen Street"/>
    <s v="KCTL 495"/>
    <x v="2"/>
    <x v="2"/>
    <x v="2"/>
    <x v="2"/>
    <x v="11"/>
    <x v="4"/>
    <s v="2019"/>
    <x v="1"/>
    <x v="1"/>
    <m/>
    <m/>
    <m/>
    <m/>
    <x v="41"/>
    <x v="2"/>
    <m/>
    <m/>
    <n v="21185"/>
    <n v="228035.34"/>
    <n v="15888.75"/>
    <n v="171026.50499999998"/>
    <m/>
    <m/>
    <m/>
    <n v="0"/>
    <n v="0"/>
    <n v="171026.50499999998"/>
    <n v="0"/>
    <s v="Business"/>
    <m/>
    <s v="Land sale programme 2014-15"/>
    <d v="2014-02-01T00:00:00"/>
    <d v="2014-02-01T00:00:00"/>
    <s v="Site"/>
    <x v="69"/>
    <x v="0"/>
    <s v="Uncertain"/>
    <x v="3"/>
    <s v="_x000a_Jan 2015: 漢國地產策劃董事李振彪指，集團擬有兩個發展方案，考慮發展成乙級商廈，或引入同系建聯集團（385）興建物流貨倉連商廈的綜合項目， 但最少逾半樓面為物流倉。_x000a_Tender closes on 9 Jan 2015_x000a_Land Sale Programme 2014-15.  New Site_x000a_Site Area: 29935"/>
    <x v="104"/>
    <m/>
    <m/>
    <m/>
    <m/>
  </r>
  <r>
    <m/>
    <x v="109"/>
    <s v="35 Queen's Road Central"/>
    <m/>
    <x v="8"/>
    <x v="6"/>
    <x v="5"/>
    <x v="0"/>
    <x v="12"/>
    <x v="0"/>
    <s v="2020 Q1"/>
    <x v="1"/>
    <x v="0"/>
    <n v="1"/>
    <n v="25"/>
    <m/>
    <n v="1982"/>
    <x v="99"/>
    <x v="1"/>
    <n v="3680.4503943737868"/>
    <n v="48991"/>
    <n v="3680.4503943737868"/>
    <n v="39616"/>
    <n v="2760.33779578034"/>
    <n v="29712"/>
    <m/>
    <m/>
    <m/>
    <n v="29712"/>
    <n v="0"/>
    <n v="0"/>
    <n v="0"/>
    <s v="Commercial"/>
    <s v="OP Issued"/>
    <s v="BD Monthly Digest"/>
    <d v="2020-01-01T00:00:00"/>
    <d v="2020-04-01T00:00:00"/>
    <s v="Redevelopment"/>
    <x v="70"/>
    <x v="0"/>
    <s v="For Lease"/>
    <x v="0"/>
    <s v="Mar 2017 (Jerry): Kingston Financial Group (Pollyanna Chu) bought this from Fook Lee portfolio sale in 2014"/>
    <x v="105"/>
    <m/>
    <m/>
    <m/>
    <s v="MULTIPOLYGON (((114.15632929 22.282231344,114.156271957 22.282302036,114.156366184 22.2823682360001,114.156377057 22.282354829,114.156432624 22.2823863040001,114.156473617 22.2823357600001,114.156453188 22.2823214070001,114.156461403 22.2823112780001,114.156424654 22.2822854590001,114.156411112001 22.282302157,114.156329796 22.282245029,114.15632929 22.282231344)))"/>
  </r>
  <r>
    <m/>
    <x v="110"/>
    <s v="18 Harbour Road"/>
    <m/>
    <x v="11"/>
    <x v="8"/>
    <x v="7"/>
    <x v="0"/>
    <x v="12"/>
    <x v="0"/>
    <s v="2020 Q1"/>
    <x v="0"/>
    <x v="0"/>
    <n v="1"/>
    <n v="3"/>
    <n v="3"/>
    <n v="7545"/>
    <x v="100"/>
    <x v="1"/>
    <m/>
    <m/>
    <n v="2170.4029208744041"/>
    <n v="23362"/>
    <n v="1736.3223366995235"/>
    <n v="18689.600000000002"/>
    <n v="17521.5"/>
    <m/>
    <m/>
    <n v="1168.1000000000022"/>
    <n v="0"/>
    <n v="0"/>
    <n v="0.93749999999999989"/>
    <s v="Commercial"/>
    <m/>
    <s v="Sino Land"/>
    <d v="2018-07-17T00:00:00"/>
    <d v="2018-07-31T00:00:00"/>
    <s v="Refurbishment"/>
    <x v="71"/>
    <x v="0"/>
    <s v="For Lease"/>
    <x v="0"/>
    <m/>
    <x v="106"/>
    <m/>
    <m/>
    <m/>
    <m/>
  </r>
  <r>
    <m/>
    <x v="111"/>
    <s v="54-58 Electric Road"/>
    <m/>
    <x v="16"/>
    <x v="0"/>
    <x v="0"/>
    <x v="0"/>
    <x v="12"/>
    <x v="1"/>
    <s v="2020 Q2"/>
    <x v="1"/>
    <x v="0"/>
    <n v="1"/>
    <n v="27"/>
    <n v="26"/>
    <n v="2037.8546676923074"/>
    <x v="101"/>
    <x v="1"/>
    <n v="4922.3999999999996"/>
    <n v="52984.221359999996"/>
    <n v="4922.3999999999996"/>
    <n v="52984.221359999996"/>
    <n v="2963.1"/>
    <n v="31894.512089999997"/>
    <m/>
    <m/>
    <m/>
    <n v="0"/>
    <n v="31894.512089999997"/>
    <n v="0"/>
    <n v="0"/>
    <s v="Commercial"/>
    <s v="OP Issued"/>
    <s v="BD Monthly Digest"/>
    <d v="2018-10-01T00:00:00"/>
    <d v="2019-01-05T00:00:00"/>
    <s v="Redevelopment"/>
    <x v="72"/>
    <x v="0"/>
    <s v="For Sale"/>
    <x v="0"/>
    <m/>
    <x v="107"/>
    <m/>
    <n v="22.283742901041599"/>
    <n v="114.19187846317"/>
    <s v="MultiPolygon (((114.19201931 22.28378056, 114.19202027 22.28376312, 114.19188858 22.28375618, 114.19189007 22.28373475, 114.19178781 22.28373055, 114.19178572 22.2837699, 114.19201931 22.28378056)))"/>
  </r>
  <r>
    <m/>
    <x v="112"/>
    <s v="103-107 Wellington Street &amp; 152-156 Queen's Road Central"/>
    <m/>
    <x v="12"/>
    <x v="9"/>
    <x v="8"/>
    <x v="0"/>
    <x v="12"/>
    <x v="1"/>
    <s v="2020 Q2"/>
    <x v="1"/>
    <x v="0"/>
    <n v="1"/>
    <n v="28"/>
    <m/>
    <n v="2160.873"/>
    <x v="102"/>
    <x v="1"/>
    <m/>
    <m/>
    <n v="5621"/>
    <n v="60504.443999999996"/>
    <n v="4215.75"/>
    <n v="45378.332999999999"/>
    <m/>
    <m/>
    <m/>
    <n v="45378.332999999999"/>
    <n v="0"/>
    <n v="0"/>
    <n v="0"/>
    <s v="Commercial"/>
    <s v="Work Received"/>
    <s v="BD Monthly Digest"/>
    <d v="2020-05-01T00:00:00"/>
    <d v="2018-07-01T00:00:00"/>
    <s v="Redevelopment"/>
    <x v="73"/>
    <x v="0"/>
    <s v="For Lease"/>
    <x v="0"/>
    <m/>
    <x v="108"/>
    <m/>
    <m/>
    <m/>
    <s v="MULTIPOLYGON (((114.153747642438 22.2844027682997,114.15386464441 22.2843025992675,114.153792146773 22.2842259712559,114.153733113086 22.2842546925305,114.153668246638 22.2842539544038,114.153630229935 22.2842980441632,114.153669656993 22.2843463540286,114.153684899607 22.2843330877068,114.153747642438 22.2844027682997)))"/>
  </r>
  <r>
    <m/>
    <x v="113"/>
    <s v="Yeung Uk Road, Tsuen Wan"/>
    <s v="TWTL 393"/>
    <x v="2"/>
    <x v="2"/>
    <x v="2"/>
    <x v="2"/>
    <x v="12"/>
    <x v="1"/>
    <s v="2020 Q2"/>
    <x v="0"/>
    <x v="0"/>
    <n v="1"/>
    <n v="18"/>
    <m/>
    <n v="23211"/>
    <x v="103"/>
    <x v="0"/>
    <m/>
    <m/>
    <n v="37102.444281347838"/>
    <n v="399367"/>
    <n v="25971.710996943486"/>
    <n v="279556.89999999997"/>
    <m/>
    <m/>
    <m/>
    <n v="279556.89999999997"/>
    <n v="0"/>
    <n v="0"/>
    <n v="0"/>
    <s v="Comprehensive Development Area (7)"/>
    <s v="OP Issued"/>
    <s v="BD Monthly Digest"/>
    <d v="2020-01-01T00:00:00"/>
    <d v="2020-02-01T00:00:00"/>
    <s v="Site"/>
    <x v="6"/>
    <x v="1"/>
    <s v="For Lease"/>
    <x v="0"/>
    <s v="Dec 2016: CDA Plan got approved by TPB in 2016 Oct. Domestic GFA: 39,365sm; non-Domestic GFA: 61,255sm (Office: 29,475sm, Shop and Service: 23,250sm, Eating Place: 7,030sm, Pesdestrian Walkway:1,500sm) Plan saved in I:\CBRE Research\Hong Kong\02. Databases\Office Database\Supply info\Yeung Uk Road Billion"/>
    <x v="109"/>
    <m/>
    <m/>
    <m/>
    <m/>
  </r>
  <r>
    <m/>
    <x v="114"/>
    <s v="5 On Yiu Street, Shek Mun"/>
    <s v="STTL 617"/>
    <x v="14"/>
    <x v="2"/>
    <x v="2"/>
    <x v="2"/>
    <x v="12"/>
    <x v="2"/>
    <s v="2020 Q3"/>
    <x v="1"/>
    <x v="0"/>
    <n v="1"/>
    <s v="24 + 2 basement"/>
    <n v="24"/>
    <n v="10171"/>
    <x v="104"/>
    <x v="1"/>
    <n v="20262.858162129622"/>
    <n v="218107.37897134703"/>
    <n v="20262.858162129622"/>
    <n v="218107.37897134703"/>
    <n v="12143.649467947729"/>
    <n v="130713.02850804255"/>
    <m/>
    <n v="7235"/>
    <m/>
    <n v="0"/>
    <n v="123478.02850804255"/>
    <n v="0"/>
    <n v="5.5350259133157831E-2"/>
    <s v="Business"/>
    <s v="OP Issued"/>
    <s v="Land sale programme 2015-16"/>
    <d v="2020-08-01T00:00:00"/>
    <d v="2020-10-01T00:00:00"/>
    <s v="Site"/>
    <x v="1"/>
    <x v="0"/>
    <s v="For Sale"/>
    <x v="1"/>
    <s v="Oct 2015: SHK won the tender for $675.5 million."/>
    <x v="110"/>
    <m/>
    <m/>
    <m/>
    <s v="MULTIPOLYGON (((114.20954575 22.38963516,114.209325023 22.3898182290001,114.209432996 22.3899299170001,114.20951222 22.389864491,114.209543202 22.3898971670001,114.209516701 22.38992016,114.209571798 22.389981419,114.209692807 22.389879905,114.209599125 22.389785342,114.209663353 22.3897196780001,114.209574092 22.389624769,114.20954575 22.38963516)))"/>
  </r>
  <r>
    <m/>
    <x v="115"/>
    <s v="1 Kwai On Street"/>
    <m/>
    <x v="2"/>
    <x v="2"/>
    <x v="2"/>
    <x v="2"/>
    <x v="12"/>
    <x v="4"/>
    <s v="2020"/>
    <x v="1"/>
    <x v="0"/>
    <n v="1"/>
    <s v="18 + 3 basement level"/>
    <n v="18"/>
    <n v="3196.5793027777777"/>
    <x v="105"/>
    <x v="1"/>
    <n v="5345.5"/>
    <n v="57538.427449999996"/>
    <n v="5345.5"/>
    <n v="43153.820587499999"/>
    <n v="3733.2"/>
    <n v="40183.79148"/>
    <m/>
    <m/>
    <m/>
    <n v="0"/>
    <n v="0"/>
    <n v="40183.79148"/>
    <n v="0"/>
    <s v="Commercial"/>
    <s v="OP Issued"/>
    <s v="BD Monthly Digest"/>
    <d v="2020-09-01T00:00:00"/>
    <d v="2020-11-01T00:00:00"/>
    <s v="Redevelopment"/>
    <x v="74"/>
    <x v="0"/>
    <s v="Uncertain"/>
    <x v="2"/>
    <m/>
    <x v="111"/>
    <m/>
    <n v="22.30724"/>
    <n v="114.17195"/>
    <s v="MultiPolygon (((114.13157487 22.36038774, 114.13166593 22.36036016, 114.13165368 22.36032608, 114.13140345 22.36040233, 114.13141526 22.36043608, 114.13153626 22.36039943, 114.13157487 22.36038774)))"/>
  </r>
  <r>
    <m/>
    <x v="116"/>
    <s v="8 Heung Yip Road"/>
    <m/>
    <x v="9"/>
    <x v="7"/>
    <x v="6"/>
    <x v="0"/>
    <x v="13"/>
    <x v="0"/>
    <s v="2021 Q1"/>
    <x v="1"/>
    <x v="0"/>
    <n v="1"/>
    <s v="25+2 basement"/>
    <n v="24"/>
    <n v="6124.6142504166664"/>
    <x v="106"/>
    <x v="1"/>
    <n v="13655.9"/>
    <n v="146990.74200999999"/>
    <n v="13655.9"/>
    <n v="146990.74200999999"/>
    <n v="8142.6"/>
    <n v="87646.132140000002"/>
    <m/>
    <m/>
    <m/>
    <n v="87646.132140000002"/>
    <n v="0"/>
    <n v="0"/>
    <n v="0"/>
    <s v="Commercial"/>
    <s v="OP Issued"/>
    <s v="BD Monthly Digest"/>
    <d v="2021-03-01T00:00:00"/>
    <d v="2021-05-01T00:00:00"/>
    <s v="Redevelopment"/>
    <x v="75"/>
    <x v="0"/>
    <s v="For Lease"/>
    <x v="0"/>
    <s v="Dec 2017 (Jerry): demolished_x000a_Feb 2016 (Roy): scaffolding around building, about to demolish"/>
    <x v="112"/>
    <m/>
    <m/>
    <m/>
    <s v="MULTIPOLYGON (((114.167691745 22.248264826,114.167606822 22.2485949970001,114.167711931 22.2486186940001,114.167702618 22.2486549160001,114.167789564 22.248687433,114.167886899 22.2483083010001,114.167691745 22.248264826)))"/>
  </r>
  <r>
    <m/>
    <x v="117"/>
    <s v="152 Connaught Road West"/>
    <m/>
    <x v="12"/>
    <x v="9"/>
    <x v="8"/>
    <x v="0"/>
    <x v="13"/>
    <x v="1"/>
    <s v="2021 Q2"/>
    <x v="1"/>
    <x v="1"/>
    <n v="1"/>
    <n v="25"/>
    <m/>
    <n v="5636.4085959999993"/>
    <x v="107"/>
    <x v="1"/>
    <m/>
    <m/>
    <n v="13091"/>
    <n v="140910.21489999999"/>
    <n v="9818.25"/>
    <n v="105682.66117499999"/>
    <m/>
    <m/>
    <m/>
    <n v="105682.66117499999"/>
    <n v="0"/>
    <n v="0"/>
    <n v="0"/>
    <s v="Commercial"/>
    <s v="Plans Approved"/>
    <s v="BD Monthly Digest"/>
    <d v="2017-10-31T00:00:00"/>
    <d v="2018-01-03T00:00:00"/>
    <s v="Redevelopment"/>
    <x v="76"/>
    <x v="0"/>
    <s v="For Lease"/>
    <x v="0"/>
    <s v="Owned by Wong's family_x000a_2021: Long lease to a tenant"/>
    <x v="113"/>
    <m/>
    <n v="22.2775"/>
    <n v="114.16633"/>
    <s v="MultiPolygon (((114.16590134 22.27725349, 114.16591921 22.27726714, 114.16596922 22.2773053, 114.16595912 22.27731886, 114.16607859 22.27740459, 114.16609461 22.2773846, 114.16613164 22.2774109, 114.16612622 22.27741762, 114.1661675 22.27744691, 114.16614945 22.27746902, 114.16617269 22.27748556, 114.16615589 22.2775062, 114.16617974 22.27752326, 114.16616209 22.27754499, 114.1661851 22.2775615, 114.16616705 22.27758355, 114.16619414 22.27760274, 114.16616815 22.27763462, 114.16616561 22.27763773, 114.16616737 22.27763898, 114.16617415 22.2776438, 114.16612786 22.27770457, 114.16609926 22.27774211, 114.16611873 22.27775558, 114.16608505 22.2777998, 114.16608878 22.27781158, 114.16612529 22.27783735, 114.16613813 22.27783561, 114.16615311 22.27783359, 114.16616181 22.27783241, 114.16618695 22.27780277, 114.1662188 22.27782317, 114.16628053 22.27781499, 114.16653847 22.27778084, 114.16660165 22.27777248, 114.16672037 22.27761658, 114.16673193 22.2776014, 114.1667446 22.27758476, 114.16671621 22.27756046, 114.16672734 22.27754682, 114.16673346 22.27753932, 114.16653276 22.27737379, 114.16651403 22.27739677, 114.16650013 22.2773875, 114.16651376 22.27737083, 114.16652584 22.27735451, 114.16615727 22.2770507, 114.16611413 22.27710611, 114.1660776 22.27707998, 114.16602012 22.2770867, 114.16590134 22.27725349)))"/>
  </r>
  <r>
    <m/>
    <x v="118"/>
    <s v="18 Tai Chung Road, Tsuen Wan"/>
    <s v="Lot No. 332 in DD No. 355"/>
    <x v="2"/>
    <x v="2"/>
    <x v="2"/>
    <x v="2"/>
    <x v="13"/>
    <x v="1"/>
    <s v="2021 Q2"/>
    <x v="0"/>
    <x v="0"/>
    <n v="1"/>
    <s v="20 + 3 basement"/>
    <n v="18"/>
    <n v="12248"/>
    <x v="108"/>
    <x v="1"/>
    <n v="19896.227203894501"/>
    <n v="214161"/>
    <n v="19462.927006010832"/>
    <n v="209497"/>
    <n v="12645.97823352619"/>
    <n v="136120.04510785255"/>
    <m/>
    <m/>
    <m/>
    <n v="136120.04510785255"/>
    <n v="0"/>
    <n v="0"/>
    <n v="0"/>
    <s v="Commercial"/>
    <s v="OP Issued"/>
    <s v="BD Digest"/>
    <d v="2021-04-01T00:00:00"/>
    <d v="2021-06-01T00:00:00"/>
    <s v="Site"/>
    <x v="77"/>
    <x v="0"/>
    <s v="For Lease"/>
    <x v="0"/>
    <s v="Jan 2018: First Group bought at HK$600mil in Jan 2018 Apr 2019: First Group paid $921mil as land premium ($5,344/sf)"/>
    <x v="114"/>
    <m/>
    <m/>
    <m/>
    <m/>
  </r>
  <r>
    <m/>
    <x v="119"/>
    <s v="81 Lockhart Road"/>
    <m/>
    <x v="11"/>
    <x v="8"/>
    <x v="7"/>
    <x v="0"/>
    <x v="13"/>
    <x v="3"/>
    <s v="2021 Q4"/>
    <x v="1"/>
    <x v="0"/>
    <n v="1"/>
    <n v="29"/>
    <n v="25"/>
    <n v="5246"/>
    <x v="109"/>
    <x v="1"/>
    <n v="12182.29452150243"/>
    <n v="131129"/>
    <n v="12182.181345224824"/>
    <n v="131129"/>
    <n v="9136.6360089186182"/>
    <n v="98346.75"/>
    <m/>
    <m/>
    <m/>
    <n v="98346.75"/>
    <n v="0"/>
    <n v="0"/>
    <n v="0"/>
    <s v="Commercial"/>
    <s v="OP Issued"/>
    <s v="BD Monthly Digest"/>
    <d v="2021-10-01T00:00:00"/>
    <d v="2021-12-01T00:00:00"/>
    <s v="Redevelopment"/>
    <x v="78"/>
    <x v="0"/>
    <s v="For Lease"/>
    <x v="0"/>
    <m/>
    <x v="115"/>
    <m/>
    <m/>
    <m/>
    <s v="MULTIPOLYGON (((114.17158606 22.27839758,114.17157306 22.278268057,114.171315304 22.278290465,114.171328302 22.278419987,114.17158606 22.27839758)))"/>
  </r>
  <r>
    <m/>
    <x v="120"/>
    <s v="23 Wong Chuk Hang Road"/>
    <m/>
    <x v="9"/>
    <x v="7"/>
    <x v="6"/>
    <x v="0"/>
    <x v="13"/>
    <x v="3"/>
    <s v="2021 Q4"/>
    <x v="1"/>
    <x v="0"/>
    <n v="1"/>
    <s v="26 + 3 basement"/>
    <m/>
    <n v="4853.2307692307695"/>
    <x v="110"/>
    <x v="1"/>
    <n v="9956"/>
    <n v="107165.3884"/>
    <n v="11722.877653194797"/>
    <n v="126184"/>
    <n v="6738"/>
    <n v="72527.158199999991"/>
    <m/>
    <m/>
    <m/>
    <n v="0"/>
    <n v="0"/>
    <n v="72527.158199999991"/>
    <n v="0"/>
    <s v="Commercial"/>
    <s v="OP Issued"/>
    <s v="BD Monthly Digest"/>
    <d v="2021-12-01T00:00:00"/>
    <d v="2021-12-01T00:00:00"/>
    <s v="Redevelopment"/>
    <x v="79"/>
    <x v="0"/>
    <s v="Uncertain"/>
    <x v="2"/>
    <s v="Jul 2021: March 2022 (annual report), was 2021 Q1"/>
    <x v="116"/>
    <m/>
    <n v="22.248700400000001"/>
    <n v="114.16365236"/>
    <s v="POLYGON((114.16360393166539 22.24881970088515,114.16379034519194 22.24879611700011,114.16376620531081 22.248556554153424,114.16357710957526 22.248595033187513,114.16360393166539 22.24881970088515))"/>
  </r>
  <r>
    <m/>
    <x v="121"/>
    <s v="888 Lai Chi Kok Road"/>
    <s v="NKIL 6582"/>
    <x v="7"/>
    <x v="4"/>
    <x v="4"/>
    <x v="1"/>
    <x v="13"/>
    <x v="3"/>
    <s v="2021 Q4"/>
    <x v="0"/>
    <x v="0"/>
    <n v="1"/>
    <s v="26+ 3 basement"/>
    <n v="24"/>
    <s v="20894-24626"/>
    <x v="111"/>
    <x v="1"/>
    <n v="49995.1"/>
    <n v="538142.25688999996"/>
    <n v="45360"/>
    <n v="580669"/>
    <n v="34207.881119999998"/>
    <n v="435501.75"/>
    <m/>
    <n v="271564"/>
    <m/>
    <n v="0"/>
    <n v="163937.75"/>
    <n v="0"/>
    <n v="0.62356580656679328"/>
    <s v="Commercial"/>
    <s v="OP Issued"/>
    <s v="BD Monthly Digest"/>
    <d v="2019-07-01T00:00:00"/>
    <d v="2019-10-01T00:00:00"/>
    <s v="Site"/>
    <x v="59"/>
    <x v="1"/>
    <s v="For Sale"/>
    <x v="1"/>
    <s v="Jul 2020: Delay from 2021 to 2022, according to the meeting with K11, also mentioned on news in May."/>
    <x v="117"/>
    <s v="LAND069"/>
    <n v="22.335439999999998"/>
    <n v="114.14588999999999"/>
    <s v="MULTIPOLYGON (((114.146210886403 22.3354234133943,114.146266168724 22.3352867080199,114.14634318848 22.3350925567932,114.146228025359 22.335086890742,114.146152131192 22.3350975306866,114.146077304225 22.3351133680413,114.146003960375 22.3351343172192,114.145932506581 22.3351602593965,114.145863339897 22.3351910524832,114.145796844803 22.3352265244752,114.145733390507 22.3352664784411,114.145673329147 22.3353106925215,114.145664469961 22.3353178035329,114.145667701202 22.3353208206025,114.145599038474 22.3353846535039,114.145594399574 22.3353803360468,114.145580661638 22.3353931022917,114.145499122458 22.3355227563872,114.14549170956 22.3355369468132,114.145486856861 22.3355520537407,114.145484689226 22.335567684976,114.145485265046 22.3355834358618,114.145488567253 22.3355988967554,114.145494510507 22.3356136663235,114.145513716488 22.335633284296,114.146037209719 22.3358120727812,114.146055438333 22.3358182980098,114.146210886403 22.3354234133943)))"/>
  </r>
  <r>
    <m/>
    <x v="122"/>
    <s v="1 Irving Street"/>
    <m/>
    <x v="10"/>
    <x v="8"/>
    <x v="7"/>
    <x v="0"/>
    <x v="13"/>
    <x v="4"/>
    <s v="2021"/>
    <x v="1"/>
    <x v="0"/>
    <n v="1"/>
    <n v="26"/>
    <n v="25"/>
    <n v="3248.0283528"/>
    <x v="112"/>
    <x v="1"/>
    <n v="7543.8"/>
    <n v="81200.70882"/>
    <n v="7548.8"/>
    <n v="81200.70882"/>
    <n v="4357.3999999999996"/>
    <n v="46902.617859999991"/>
    <m/>
    <m/>
    <m/>
    <n v="46902.617859999991"/>
    <n v="0"/>
    <n v="0"/>
    <n v="0"/>
    <s v="Commercial"/>
    <s v="OP Issued"/>
    <s v="BD Monthly Digest"/>
    <d v="2021-11-01T00:00:00"/>
    <d v="2021-11-01T00:00:00"/>
    <s v="Redevelopment"/>
    <x v="80"/>
    <x v="0"/>
    <s v="For Lease"/>
    <x v="0"/>
    <m/>
    <x v="118"/>
    <m/>
    <n v="22.27882"/>
    <n v="114.18647"/>
    <s v="MultiPolygon (((114.18633516 22.27889882, 114.18657928 22.27886027, 114.18656643 22.27879598, 114.18650549 22.27880575, 114.18649569 22.27874897, 114.1863732 22.27876805, 114.18638315 22.27882632, 114.18632417 22.27883627, 114.18633516 22.27889882)))"/>
  </r>
  <r>
    <m/>
    <x v="123"/>
    <s v="14 Wong Chuk Hang Road"/>
    <m/>
    <x v="9"/>
    <x v="7"/>
    <x v="6"/>
    <x v="0"/>
    <x v="13"/>
    <x v="4"/>
    <s v="2021"/>
    <x v="0"/>
    <x v="1"/>
    <n v="1"/>
    <s v="25+3 basement"/>
    <m/>
    <n v="6805.0007999999998"/>
    <x v="113"/>
    <x v="1"/>
    <m/>
    <m/>
    <n v="15805"/>
    <n v="170125.02"/>
    <n v="11853.75"/>
    <n v="127593.76499999998"/>
    <m/>
    <m/>
    <m/>
    <n v="0"/>
    <n v="0"/>
    <n v="127593.76499999998"/>
    <n v="0"/>
    <s v="Commercial"/>
    <s v="Plans Approved"/>
    <s v="BD Monthly Digest"/>
    <d v="2017-04-01T00:00:00"/>
    <d v="2017-06-21T00:00:00"/>
    <s v="Redevelopment"/>
    <x v="81"/>
    <x v="0"/>
    <s v="Uncertain"/>
    <x v="2"/>
    <m/>
    <x v="119"/>
    <m/>
    <m/>
    <m/>
    <m/>
  </r>
  <r>
    <m/>
    <x v="124"/>
    <s v="232 Wan Chai Road"/>
    <m/>
    <x v="11"/>
    <x v="8"/>
    <x v="7"/>
    <x v="0"/>
    <x v="14"/>
    <x v="0"/>
    <s v="2022 Q1"/>
    <x v="1"/>
    <x v="0"/>
    <n v="1"/>
    <s v="24  + 1 LG"/>
    <n v="24"/>
    <m/>
    <x v="41"/>
    <x v="2"/>
    <n v="8079.2"/>
    <n v="86963.700879999989"/>
    <n v="8079.2"/>
    <n v="86963.700879999989"/>
    <n v="6059.4"/>
    <n v="65222.775659999992"/>
    <m/>
    <m/>
    <m/>
    <n v="0"/>
    <n v="0"/>
    <n v="65222.775659999992"/>
    <n v="0"/>
    <s v="Commercial"/>
    <s v="OP Issued"/>
    <s v="BD Digest"/>
    <d v="2022-02-01T00:00:00"/>
    <d v="2022-07-13T00:00:00"/>
    <s v="Redevelopment"/>
    <x v="82"/>
    <x v="0"/>
    <s v="Uncertain"/>
    <x v="2"/>
    <m/>
    <x v="120"/>
    <s v="LAND122"/>
    <n v="22.2780411053295"/>
    <n v="114.179052313179"/>
    <s v="MULTIPOLYGON (((114.178997431083 22.277998501431,114.179015936907 22.2780019544994,114.17900248154 22.2780604795511,114.179014104938 22.2780629510812,114.179007573218 22.2780897468849,114.178990815881 22.2780861050518,114.178966013312 22.2781850766818,114.179088518714 22.2782206593565,114.179157515965 22.2779442395128,114.179018307001 22.2779155447847,114.178997431083 22.277998501431)))"/>
  </r>
  <r>
    <m/>
    <x v="125"/>
    <s v="11-15 Chai Wan Kok Street"/>
    <m/>
    <x v="2"/>
    <x v="2"/>
    <x v="2"/>
    <x v="2"/>
    <x v="14"/>
    <x v="0"/>
    <s v="2022 Q1"/>
    <x v="0"/>
    <x v="0"/>
    <n v="1"/>
    <s v="19 + 4 basement levels"/>
    <n v="18"/>
    <n v="10012.611111111111"/>
    <x v="114"/>
    <x v="1"/>
    <n v="14385"/>
    <n v="154838.7015"/>
    <n v="16743.652393649143"/>
    <n v="180227"/>
    <n v="10940.086771523333"/>
    <n v="117758"/>
    <m/>
    <m/>
    <m/>
    <n v="0"/>
    <n v="117758"/>
    <n v="0"/>
    <n v="0"/>
    <s v="Commercial"/>
    <s v="OP Issued"/>
    <s v="BD Monthly Digest"/>
    <d v="2022-01-01T00:00:00"/>
    <d v="2022-03-01T00:00:00"/>
    <s v="Redevelopment"/>
    <x v="53"/>
    <x v="0"/>
    <s v="For Sale"/>
    <x v="1"/>
    <s v="Jan 2023: was 180,226 and 124254_x000a_Nov 2021: changed from 2023 to 2022 based on inspection"/>
    <x v="121"/>
    <m/>
    <n v="22.374510000000001"/>
    <n v="114.10616"/>
    <s v="MULTIPOLYGON (((114.106266361757 22.3744180699861,114.106191745841 22.3742144956458,114.105981551843 22.374327748626,114.106150371189 22.3747786896223,114.106230712789 22.3747540352311,114.106269340939 22.3747296606237,114.106264505946 22.3747094391635,114.106348810459 22.3746820501915,114.106251250971 22.3744227863625,114.106266361757 22.3744180699861)))"/>
  </r>
  <r>
    <m/>
    <x v="126"/>
    <s v="Skycity Phase 2 Site A2 &amp; A3"/>
    <m/>
    <x v="17"/>
    <x v="2"/>
    <x v="2"/>
    <x v="2"/>
    <x v="14"/>
    <x v="0"/>
    <s v="2022 Q1"/>
    <x v="0"/>
    <x v="0"/>
    <n v="3"/>
    <s v="7 &amp; 8"/>
    <n v="7"/>
    <n v="27142.857142857145"/>
    <x v="115"/>
    <x v="0"/>
    <n v="348570.68534638931"/>
    <n v="3751980"/>
    <n v="52954.784046674533"/>
    <n v="570000"/>
    <n v="421800"/>
    <n v="421800"/>
    <n v="210900"/>
    <m/>
    <m/>
    <n v="210900"/>
    <n v="0"/>
    <n v="0"/>
    <n v="0.5"/>
    <s v="Commercial"/>
    <s v="OP Issued"/>
    <s v="Airport Authority"/>
    <d v="2022-06-01T00:00:00"/>
    <d v="2022-08-01T00:00:00"/>
    <s v="Site"/>
    <x v="59"/>
    <x v="0"/>
    <s v="For Lease"/>
    <x v="0"/>
    <s v="Jan 2023: office GFA was 562311_x000a_11 Nov 2020: meeting with K11, phase 1 Q1 2022, phase 2 Q2 2023 (retail), total GFA 3751980_x000a_The whole development will be returned to AA in 2066; Three phase for retail. Office will be opened in the first in 2021"/>
    <x v="122"/>
    <s v="LAND111"/>
    <n v="22.31672"/>
    <n v="113.94174"/>
    <s v="MULTIPOLYGON (((113.94002438533 22.3179904333744,113.942749615441 22.3188932703438,113.942911234404 22.3185031556039,113.94299483042 22.3181966368798,113.943044988029 22.3178789720202,113.943005976556 22.3175780263637,113.942866649863 22.3170430118634,113.942621434883 22.3162906477222,113.942448669784 22.3157389140187,113.942348354565 22.3157556332219,113.942058555044 22.3158392292376,113.941724170982 22.3159005329824,113.941283898632 22.315889386847,113.940810187877 22.3158838137793,113.940782322538 22.3160231404721,113.940737737997 22.3162627823837,113.940626276642 22.316586020311,113.940336477121 22.3172213500302,113.94002438533 22.3179904333744)))"/>
  </r>
  <r>
    <m/>
    <x v="127"/>
    <s v="368 Kwun Tong Road"/>
    <m/>
    <x v="4"/>
    <x v="3"/>
    <x v="3"/>
    <x v="1"/>
    <x v="14"/>
    <x v="1"/>
    <s v="2022 Q2"/>
    <x v="0"/>
    <x v="0"/>
    <n v="1"/>
    <s v="33 + 3 basement"/>
    <n v="32"/>
    <n v="9522.1875"/>
    <x v="116"/>
    <x v="1"/>
    <n v="28308.51271379333"/>
    <n v="304710"/>
    <n v="28308.51271379333"/>
    <n v="304710"/>
    <n v="21231.384535344998"/>
    <n v="201870.375"/>
    <n v="12674.950000000012"/>
    <m/>
    <m/>
    <n v="0"/>
    <n v="189195.42499999999"/>
    <n v="0"/>
    <n v="6.2787568507761571E-2"/>
    <s v="Commercial"/>
    <s v="OP Issued"/>
    <s v="BD Monthly Digest"/>
    <d v="2022-05-01T00:00:00"/>
    <d v="2022-07-01T00:00:00"/>
    <s v="Redevelopment"/>
    <x v="6"/>
    <x v="0"/>
    <s v="For Sale"/>
    <x v="1"/>
    <s v="Nov 2022: GFA was 250,000 sf"/>
    <x v="123"/>
    <m/>
    <n v="22.314609999999998"/>
    <n v="114.2193"/>
    <s v="MULTIPOLYGON (((114.219486692302 22.3145593549685,114.21949939948 22.3143951491599,114.219411535704 22.3143095441197,114.219375263198 22.31434252887,114.219222815249 22.314481163192,114.219047074987 22.3146409774775,114.219040474046 22.3146469809313,114.219055274631 22.3146614088772,114.219260292907 22.3148612729382,114.219266446163 22.3148672712573,114.219375410138 22.3148274204795,114.219468584715 22.3147933443327,114.219486692302 22.3145593549685)))"/>
  </r>
  <r>
    <m/>
    <x v="128"/>
    <s v="979 King's Road"/>
    <m/>
    <x v="0"/>
    <x v="0"/>
    <x v="0"/>
    <x v="0"/>
    <x v="14"/>
    <x v="2"/>
    <s v="2022 Q3"/>
    <x v="0"/>
    <x v="0"/>
    <n v="1"/>
    <s v="42+3 basement"/>
    <n v="35"/>
    <n v="22660"/>
    <x v="117"/>
    <x v="0"/>
    <n v="92260.9"/>
    <n v="993087.10150999995"/>
    <n v="74116.258976764933"/>
    <n v="797780"/>
    <n v="66704.633079088439"/>
    <n v="718002"/>
    <n v="390791.7"/>
    <m/>
    <m/>
    <n v="327210.3"/>
    <n v="0"/>
    <n v="0"/>
    <n v="0.54427661761387847"/>
    <s v="Commercial"/>
    <s v="OP Issued"/>
    <s v="BD Monthly Digest"/>
    <d v="2019-04-01T00:00:00"/>
    <d v="2019-06-01T00:00:00"/>
    <s v="Redevelopment"/>
    <x v="0"/>
    <x v="0"/>
    <s v="For Lease"/>
    <x v="0"/>
    <s v="Jul 2022: delay to Nov 2022 (from boss)_x000a_Jul 2021: delay to Jul 2022 (from boss)_x000a_Jul 2020: Change from 2022 Q1 to Q2 (April), possession date to be in Q4, mentioned during the forecast meeting with OS EXDir._x000a_Jul 2017: Swire applied TPB to allocate more area to footbridge (48sq. m.)._x000a_Oct 2016: Swire applied to increase retail GFA by reducing office GFA._x000a_Apr 2015: Notice have been served to existing teants to vacate the buildings by Sep 2016._x000a_Feb 2014 (Swire): The first phase of the approved redevelopment plan of TaiKoo Place involves redeveloping Somerset House into a 51-storey office building; the second phase involves redeveloping Cornwall House and Warwick House into a single 46-storey office tower. The first new office building is expected to be ready for handover by 2018._x000a_The agreement includes a cash consideration payable to the HKSAR Government of HK$537million, and an additional amount to reflect any potential appreciation in office values between the date of the agreement and the date of completion of construction of the second phase of the TaiKoo Place redevelopment.  In addition, Swire Properties will fund relocation costs and expenses for the existing HKSAR Government departments to vacate Cornwall House, including the fit out of the 10 floors of Cityplaza Three. The transaction is expected to be completed no later than 30 December 2016._x000a_Aug 2012: (SCMP): &quot;Swire Properties chief executive Martin Cubbon said Somerset House would be demolished first in the third quarter of next year, while plans for Cornwall House and Warwick House were not finalised yet. Somerset House will be torn down to make way for a grade A office tower of about 50storeys.&quot;_x000a_Jun 2012: tenants out of building Jan 2016._x000a_Mar 2012 (James): the current plan shows that both will start to come down during 2016 and demolition is to be completed prior to OP of Building 2a. Whilst nothing is firmed she alluded to the fact that they need the GFA for 2a._x000a_Aug 2011 (Cynthia): Swire indicated Cornwall &amp; Warwick will only commence knocking down after completion of rebuilding Somerset House. "/>
    <x v="124"/>
    <s v="LAND110"/>
    <n v="22.286619999999999"/>
    <n v="114.21205999999999"/>
    <s v="MultiPolygon (((114.21243604 22.28673282, 114.21243375 22.28657623, 114.21242741 22.28657592, 114.21242485 22.28646614, 114.21205303 22.28647513, 114.21205199 22.28647279, 114.21205188 22.28647243, 114.21205176 22.28647207, 114.21205164 22.28647171, 114.2120515 22.28647135, 114.21205136 22.286471, 114.21205122 22.28647065, 114.21205107 22.2864703, 114.21205091 22.28646995, 114.21205074 22.28646961, 114.21205057 22.28646927, 114.21205039 22.28646893, 114.21205021 22.28646859, 114.21205002 22.28646826, 114.21204982 22.28646793, 114.21204962 22.28646761, 114.21204941 22.28646728, 114.21204919 22.28646696, 114.21204897 22.28646665, 114.21204874 22.28646634, 114.21204851 22.28646603, 114.21204827 22.28646573, 114.21204803 22.28646543, 114.21204778 22.28646513, 114.21204752 22.28646484, 114.21204726 22.28646455, 114.212047 22.28646426, 114.21204673 22.28646399, 114.21204645 22.28646371, 114.21204617 22.28646344, 114.21204588 22.28646317, 114.21204559 22.28646291, 114.21204529 22.28646266, 114.21204499 22.28646241, 114.21204468 22.28646216, 114.21204437 22.28646192, 114.21204406 22.28646168, 114.21204374 22.28646145, 114.21204342 22.28646122, 114.21204309 22.286461, 114.21204276 22.28646079, 114.21204242 22.28646058, 114.21204208 22.28646037, 114.21204174 22.28646017, 114.21204139 22.28645998, 114.21204104 22.28645979, 114.21204068 22.28645961, 114.21204033 22.28645943, 114.21203997 22.28645927, 114.2120396 22.2864591, 114.21203923 22.28645894, 114.21203886 22.28645879, 114.21203849 22.28645864, 114.21203812 22.2864585, 114.21203774 22.28645837, 114.21203736 22.28645824, 114.21203697 22.28645812, 114.21203659 22.286458, 114.2120362 22.28645789, 114.21203581 22.28645779, 114.21203542 22.28645769, 114.21203503 22.2864576, 114.21203463 22.28645752, 114.21203424 22.28645744, 114.21203384 22.28645737, 114.21203344 22.28645731, 114.21203304 22.28645725, 114.21203264 22.2864572, 114.21203224 22.28645715, 114.21203184 22.28645711, 114.21203143 22.28645708, 114.21203103 22.28645706, 114.21203063 22.28645704, 114.21203022 22.28645703, 114.21202982 22.28645702, 114.21202933 22.28645702, 114.21191615 22.28645823, 114.21191583 22.28645813, 114.2119155 22.28645805, 114.21191517 22.28645796, 114.21191484 22.28645788, 114.21191451 22.28645781, 114.21191418 22.28645775, 114.21191385 22.28645768, 114.21191352 22.28645763, 114.21191318 22.28645758, 114.21191285 22.28645753, 114.21191251 22.28645749, 114.21191217 22.28645746, 114.21191184 22.28645743, 114.2119115 22.28645741, 114.21191116 22.28645739, 114.21191082 22.28645738, 114.21191048 22.28645737, 114.21191014 22.28645737, 114.21190981 22.28645737, 114.21190947 22.28645738, 114.21190913 22.2864574, 114.21190879 22.28645742, 114.21190845 22.28645745, 114.21190811 22.28645748, 114.21190778 22.28645752, 114.21190744 22.28645756, 114.21190711 22.28645761, 114.21190677 22.28645766, 114.21190644 22.28645772, 114.21190611 22.28645778, 114.21190578 22.28645785, 114.21190545 22.28645793, 114.21190512 22.28645801, 114.2119048 22.2864581, 114.21190447 22.28645819, 114.21190415 22.28645828, 114.21190383 22.28645839, 114.21190351 22.28645849, 114.21190319 22.2864586, 114.21190288 22.28645872, 114.21190256 22.28645884, 114.21190225 22.28645897, 114.21190195 22.2864591, 114.21190164 22.28645924, 114.21190134 22.28645938, 114.21190104 22.28645953, 114.21190074 22.28645968, 114.21190045 22.28645984, 114.21190016 22.28646, 114.21189987 22.28646017, 114.21189958 22.28646034, 114.2118993 22.28646051, 114.21189902 22.28646069, 114.21189875 22.28646088, 114.21189848 22.28646107, 114.21189821 22.28646126, 114.21189795 22.28646146, 114.21189769 22.28646166, 114.21189743 22.28646187, 114.21189718 22.28646207, 114.21189693 22.28646229, 114.21189668 22.28646251, 114.21189644 22.28646273, 114.21189621 22.28646296, 114.21189598 22.28646319, 114.21189575 22.28646342, 114.21189552 22.28646366, 114.21189531 22.2864639, 114.21189509 22.28646414, 114.21189488 22.28646439, 114.21189468 22.28646464, 114.21189448 22.2864649, 114.21189428 22.28646515, 114.21189409 22.28646542, 114.21189391 22.28646568, 114.21189373 22.28646595, 114.21189355 22.28646622, 114.21189338 22.28646649, 114.21189321 22.28646676, 114.21189305 22.28646704, 114.2118929 22.28646732, 114.21189275 22.28646761, 114.21189261 22.28646789, 114.21189247 22.28646818, 114.21189233 22.28646847, 114.21189221 22.28646876, 114.21189208 22.28646905, 114.21189197 22.28646935, 114.21189185 22.28646965, 114.21189175 22.28646995, 114.21189165 22.28647025, 114.21189155 22.28647055, 114.21189147 22.28647086, 114.21189138 22.28647116, 114.21189131 22.28647147, 114.21189123 22.28647178, 114.21189117 22.28647209, 114.21189111 22.2864724, 114.21189105 22.28647271, 114.21189101 22.28647302, 114.21189096 22.28647333, 114.21189093 22.28647365, 114.2118909 22.28647396, 114.21189087 22.28647428, 114.21189085 22.28647459, 114.21189084 22.28647491, 114.21189083 22.28647522, 114.21189083 22.28647554, 114.21189084 22.28647585, 114.21189085 22.28647617, 114.21189086 22.28647648, 114.21189089 22.2864768, 114.2118911 22.28647912, 114.21176375 22.28648229, 114.21152601 22.28648391, 114.21152805 22.28657416, 114.21152857 22.28659512, 114.21152307 22.28659508, 114.21152609 22.28671035, 114.21152786 22.28675744, 114.21152886 22.28676055, 114.2115302 22.28676248, 114.21153176 22.28676425, 114.21153354 22.28676584, 114.2115355 22.28676724, 114.21153762 22.28676841, 114.21153987 22.28676936, 114.21154222 22.28677006, 114.21154478 22.28677052, 114.21156455 22.28677056, 114.21158337 22.2867704, 114.21197738 22.28676145, 114.21237403 22.2867515, 114.21241458 22.28675057, 114.21241703 22.28675028, 114.21241944 22.28674976, 114.21242177 22.28674901, 114.21242401 22.28674803, 114.21242612 22.28674684, 114.21242809 22.28674546, 114.21242989 22.28674389, 114.21243151 22.28674216, 114.21243292 22.28674028, 114.21243412 22.28673828, 114.21243508 22.28673616, 114.2124358 22.28673397, 114.21243604 22.28673282)))"/>
  </r>
  <r>
    <m/>
    <x v="129"/>
    <s v="88 Wing Lok Street"/>
    <m/>
    <x v="12"/>
    <x v="9"/>
    <x v="8"/>
    <x v="0"/>
    <x v="14"/>
    <x v="2"/>
    <s v="2022 Q3"/>
    <x v="1"/>
    <x v="0"/>
    <n v="1"/>
    <n v="25"/>
    <n v="24"/>
    <n v="2823.5055187500002"/>
    <x v="118"/>
    <x v="1"/>
    <n v="6295.5"/>
    <n v="67764.132450000005"/>
    <n v="6295.5"/>
    <n v="67764.132450000005"/>
    <n v="3830.5"/>
    <n v="41231.118949999996"/>
    <m/>
    <m/>
    <m/>
    <n v="0"/>
    <n v="41231.118949999996"/>
    <n v="0"/>
    <n v="0"/>
    <s v="Commercial"/>
    <s v="OP Issued"/>
    <s v="BD Monthly Digest"/>
    <d v="2021-02-01T00:00:00"/>
    <d v="2021-05-01T00:00:00"/>
    <s v="Redevelopment"/>
    <x v="83"/>
    <x v="0"/>
    <s v="For Sale"/>
    <x v="0"/>
    <m/>
    <x v="125"/>
    <m/>
    <n v="22.28613"/>
    <n v="114.15232"/>
    <s v="MultiPolygon (((114.15226208 22.28620929, 114.15238739 22.28617974, 114.15235493 22.28606701, 114.15222952 22.28610128, 114.15223025 22.28610374, 114.15225176 22.28617503, 114.15226208 22.28620929)))"/>
  </r>
  <r>
    <m/>
    <x v="130"/>
    <s v="Yip Kan Street and Wong Chuk Hang Road"/>
    <s v="AIL 462"/>
    <x v="9"/>
    <x v="7"/>
    <x v="6"/>
    <x v="0"/>
    <x v="14"/>
    <x v="2"/>
    <s v="2022 Q3"/>
    <x v="0"/>
    <x v="0"/>
    <n v="1"/>
    <s v="27+3 basement"/>
    <n v="26"/>
    <n v="14000"/>
    <x v="119"/>
    <x v="1"/>
    <n v="23872.109551370788"/>
    <n v="256957"/>
    <n v="20273.50681444458"/>
    <n v="218222"/>
    <n v="15711.967781194549"/>
    <n v="169122.05000000002"/>
    <n v="4967.75"/>
    <m/>
    <m/>
    <n v="164154.30000000002"/>
    <n v="0"/>
    <n v="0"/>
    <n v="2.9373756999752532E-2"/>
    <s v="Commercial"/>
    <s v="OP Issued"/>
    <s v="Land sale programme 2016-17"/>
    <d v="2019-04-01T00:00:00"/>
    <d v="2019-06-01T00:00:00"/>
    <s v="Site"/>
    <x v="84"/>
    <x v="1"/>
    <s v="For Lease"/>
    <x v="0"/>
    <s v="1 Jun 2022: Judy: July OP_x000a_26 May 2022: updated GFA based on new brochure_x000a_16 May 2022: efficiency 77.5% (wf) based on flyer_x000a_4 Jan 2022: Tom's email 256,957 sf G; OP Q2 2022_x000a_8 Aug 2021: Bevis- OP should be Dec 2021 but completion should be Q1 2022_x000a_Feb 2014: Rolled over from 2013-14 programme.  To be tendered by 2H 2014/15_x000a_March 2013: New site on the 2013-14 programme. Estimated value $1.02 billion ($4,500 psf)_x000a_July 2018: (PL) Met Sino. The project will be done in 2021"/>
    <x v="126"/>
    <m/>
    <n v="22.249300000000002"/>
    <n v="114.16707"/>
    <s v="MULTIPOLYGON (((114.16673482096 22.2494240066279,114.166813836773 22.2494318952412,114.166844472917 22.2494338208344,114.166844578918 22.2494322228249,114.166877136559 22.2494349158284,114.1668778615 22.2494292912007,114.166991628639 22.2494402960153,114.167121564555 22.2494508335651,114.167173786317 22.2494553515581,114.167197759657 22.2494564008232,114.167221680895 22.2494545874735,114.16724085813 22.2494491623899,114.167258871148 22.2494410052255,114.167275268995 22.2494303213432,114.167289640243 22.2494173768002,114.167301626464 22.2494024966852,114.167310926722 22.2493860534788,114.167317308353 22.2493684579071,114.167320611459 22.2493501514597,114.167320754291 22.2493315914234,114.167315333857 22.2492989535898,114.167304181272 22.249267586176,114.167287601067 22.249238346389,114.167263455251 22.2492137177169,114.167235676647 22.2491926234579,114.167204862636 22.2491755175754,114.167132366796 22.2491417206889,114.167076116988 22.2491128558516,114.167022512718 22.249079960223,114.166993332743 22.2490607117245,114.166986333969 22.2490555809529,114.166961853979 22.2490419321516,114.166957973257 22.2490415156037,114.166954070975 22.2490416818903,114.166950247745 22.2490424276856,114.166946604178 22.2490437330352,114.166943235496 22.2490455638503,114.166940227937 22.2490478719079,114.16693766145 22.2490505981761,114.166935602511 22.2490536711518,114.16684169353 22.2492236774387,114.16678371177 22.2493306776805,114.16673482096 22.2494240066279)))"/>
  </r>
  <r>
    <m/>
    <x v="131"/>
    <s v="Kai Tak Area 1F Site 2"/>
    <s v="NKIL 6556"/>
    <x v="18"/>
    <x v="3"/>
    <x v="3"/>
    <x v="1"/>
    <x v="14"/>
    <x v="2"/>
    <s v="2022 Q3"/>
    <x v="0"/>
    <x v="0"/>
    <n v="2"/>
    <s v="23 &amp; 8"/>
    <n v="31"/>
    <s v="35,000/52,700"/>
    <x v="120"/>
    <x v="1"/>
    <n v="177670"/>
    <n v="1912422.1129999999"/>
    <n v="119659.12015243532"/>
    <n v="1288000"/>
    <n v="88547.748912802141"/>
    <n v="953120"/>
    <m/>
    <m/>
    <m/>
    <n v="953120"/>
    <n v="0"/>
    <n v="0"/>
    <n v="0"/>
    <s v="Commercial"/>
    <s v="OP Issued"/>
    <s v="Land sale programme 2016-17"/>
    <d v="2022-08-01T00:00:00"/>
    <d v="2022-11-01T00:00:00"/>
    <s v="Site"/>
    <x v="56"/>
    <x v="1"/>
    <s v="For Lease"/>
    <x v="0"/>
    <s v="1 Jun 2022: Judy: Sep 2022 OP, sorting the fire service requirements at the mall and aim to get the OP by Sep 2022. Mall opening mid 2023._x000a_May 2022: delay to Q1 2023, cannot meet fire safety requirement_x000a_Nov 2020: change GFA according to A/K22/24, no hotel anymore and 74% efficiency according to boss_x000a_Approved Kai Tak OZP No. S/K22/4: The “CDA(1)” and “CDA(2)” sub-areas located in the Kai Tak City Centre north on the eastern and western sides of Kai Tak River respectively are intended for commercial uses with a lower structure cascading down to the open spaces along the Kai Tak River. The “CDA(1)” sub-are is intended for a comprehensive office/hotel/retail development with low-rise structures in the west and high-rise landmark commercial tower in the east. The landmark tower in the “CDA(1)” sub-area will complement with the curvilinear landscaped elevated walkway and the landscaped Kai Tak River to signify the prominent image in the locality. Development within the “CDA(1)” sub-area is subject to a max non-domestic plot ratio of 10 and a max building height of 200mPD in the east to allow for a landmark building in the City Centre and 40mPD in the west for the cascading low-rise structure. The cascading low-rise structures in both “CDA” sub-areas should descend from 40mPD to 15mPD towards the Kai Tak River or the curvilinear walkway. Both “CDA” sub-areas are subject to a max site coverage (excluding basement(s)) of 65%. 5m wide NBAs along the Kai Tak River will provide a wider vista along the River. ‘Shop and Services’ and ‘Eating Place’ uses in the buildings not exceeding 2 storeys in the retail frontage abutting the Station Square will create a riverside vibrant and festive public gathering place in the town square environment. _x000a_Was named Landmark Tower"/>
    <x v="127"/>
    <s v="LAND044"/>
    <n v="22.330939999999998"/>
    <n v="114.1981"/>
    <m/>
  </r>
  <r>
    <m/>
    <x v="132"/>
    <s v="1-9 Sha Tsui Road"/>
    <m/>
    <x v="2"/>
    <x v="2"/>
    <x v="2"/>
    <x v="2"/>
    <x v="14"/>
    <x v="2"/>
    <s v="2022 Q3"/>
    <x v="0"/>
    <x v="0"/>
    <n v="1"/>
    <s v="21 + 2 basements"/>
    <n v="20"/>
    <n v="22700"/>
    <x v="121"/>
    <x v="0"/>
    <n v="50612.510335473205"/>
    <n v="544788"/>
    <n v="50612.510335473205"/>
    <n v="544788"/>
    <n v="34717.063517869916"/>
    <n v="373691"/>
    <m/>
    <m/>
    <m/>
    <n v="0"/>
    <n v="373691"/>
    <n v="0"/>
    <n v="0"/>
    <s v="Commercial"/>
    <s v="OP Issued"/>
    <s v="BD Digest"/>
    <d v="2019-07-01T00:00:00"/>
    <d v="2019-10-01T00:00:00"/>
    <s v="Redevelopment"/>
    <x v="6"/>
    <x v="0"/>
    <s v="For Sale"/>
    <x v="1"/>
    <s v="Sep 2020: Land Premium - $2841 psf_x000a_Jul 2020: Still foundation work from inspection"/>
    <x v="128"/>
    <m/>
    <n v="22.375129999999999"/>
    <n v="114.10812"/>
    <s v="MultiPolygon (((114.10782195 22.37538451, 114.10782983 22.3753915, 114.10824519 22.37539075, 114.10846032 22.37539031, 114.10845333 22.37501074, 114.10837689 22.37501095, 114.10818305 22.37501147, 114.10814303 22.37501157, 114.10814307 22.37500492, 114.10810042 22.37500472, 114.10810017 22.37504912, 114.10810056 22.37510624, 114.10801978 22.37510629, 114.10784552 22.3751066, 114.10783001 22.37510672, 114.10782218 22.37510674, 114.10782218 22.37514758, 114.1078225 22.37535007, 114.10782195 22.37538451)))"/>
  </r>
  <r>
    <m/>
    <x v="133"/>
    <s v="22 Heung Yip Road"/>
    <m/>
    <x v="9"/>
    <x v="7"/>
    <x v="6"/>
    <x v="0"/>
    <x v="14"/>
    <x v="3"/>
    <s v="2022 Q4"/>
    <x v="0"/>
    <x v="0"/>
    <n v="1"/>
    <n v="28"/>
    <n v="22"/>
    <n v="7630"/>
    <x v="122"/>
    <x v="1"/>
    <n v="15189.661739704012"/>
    <n v="163500"/>
    <n v="16243.554845362742"/>
    <n v="174844"/>
    <n v="11370.488391753917"/>
    <n v="122390.79999999999"/>
    <m/>
    <m/>
    <m/>
    <n v="122390.79999999999"/>
    <n v="0"/>
    <n v="0"/>
    <n v="0"/>
    <s v="Commercial"/>
    <s v="OP Issued"/>
    <s v="Judy Wai"/>
    <d v="2022-12-01T00:00:00"/>
    <d v="2023-02-01T00:00:00"/>
    <s v="Redevelopment"/>
    <x v="85"/>
    <x v="0"/>
    <s v="For Lease"/>
    <x v="0"/>
    <s v="Oct 2021: http://www.ghg.com.hk/news/aggressive-construction-engineering-limited-has-been-awarded-a-main-contract-by-empire-group-holdings-limited/"/>
    <x v="129"/>
    <m/>
    <n v="22.2480334823635"/>
    <n v="114.165827310382"/>
    <s v="MultiPolygon (((114.16583506 22.24820974, 114.1659327 22.24785932, 114.1658771 22.24784938, 114.16586309 22.24791033, 114.16567966 22.24787753, 114.16562176 22.24816371, 114.16564845 22.24816839, 114.1656503 22.24817075, 114.16565343 22.24817479, 114.16566013 22.24818189, 114.16566758 22.2481883, 114.16567431 22.24819307, 114.16568294 22.24819805, 114.16569207 22.24820216, 114.1657 22.24820489, 114.16570981 22.24820732, 114.16571984 22.24820877, 114.16572997 22.24820925, 114.16573842 22.24820889, 114.16574847 22.24820757, 114.16575831 22.24820528, 114.16576628 22.24820265, 114.16577547 22.24819866, 114.16578393 22.24819393, 114.16580928 22.24819871, 114.16580768 22.24820443, 114.16580583 22.24821152, 114.16580638 22.24821601, 114.16580856 22.24822005, 114.16581211 22.24822313, 114.16581656 22.24822491, 114.1658214 22.24822515, 114.16582688 22.24822339, 114.1658299 22.24822109, 114.16583312 22.24821675, 114.16583506 22.24820974)))"/>
  </r>
  <r>
    <m/>
    <x v="134"/>
    <s v="98 How Ming Street"/>
    <s v="KTIL 240"/>
    <x v="4"/>
    <x v="3"/>
    <x v="3"/>
    <x v="1"/>
    <x v="14"/>
    <x v="3"/>
    <s v="2022 Q4"/>
    <x v="0"/>
    <x v="0"/>
    <n v="2"/>
    <n v="32"/>
    <s v="21 + 12 podium and 4 basement levels"/>
    <s v="19700 &amp; 11800"/>
    <x v="123"/>
    <x v="1"/>
    <n v="106830.39247856259"/>
    <n v="1149911.6615999998"/>
    <n v="57599.940541996861"/>
    <n v="620000"/>
    <n v="43199.955406497647"/>
    <n v="465000"/>
    <n v="96866"/>
    <m/>
    <m/>
    <n v="368134"/>
    <n v="0"/>
    <n v="0"/>
    <n v="0.20831397849462363"/>
    <s v="Commercial"/>
    <s v="OP Issued"/>
    <s v="Rhodri James"/>
    <d v="2022-11-01T00:00:00"/>
    <d v="2023-02-01T00:00:00"/>
    <s v="Redevelopment"/>
    <x v="86"/>
    <x v="0"/>
    <s v="For Lease"/>
    <x v="0"/>
    <s v="29 Nov 2022: OP obtained (Ada) Nov 2022: GFA was 804400 sf_x000a_Jun 2022: Judy Dec 2022 OP_x000a_Aug 2016: Land premium agreed at HK$4.305 bil (HK$3,743/sf)_x000a_Jun 2013: still haven't agreed land premium._x000a_Mar 2013: Could be half retail, half office (half million each)_x000a_Nov 2012 (Rhodri): SHK looking at making half retail, not confirmed yet_x000a_Aug 2012 (JD): delay due to lease modification issues_x000a_Jun 2012: subject to lease modification."/>
    <x v="130"/>
    <s v="LAND113"/>
    <n v="22.312794762016601"/>
    <n v="114.221279318138"/>
    <s v="POLYGON((114.22074973583221 22.31329435003842,114.22197282314298 22.312840258658625,114.22177970409393 22.312425867968514,114.22150343656537 22.312170285073336,114.2204922437668 22.31308591483436,114.22074973583221 22.31329435003842))"/>
  </r>
  <r>
    <m/>
    <x v="135"/>
    <s v="41 King Yip Street"/>
    <m/>
    <x v="4"/>
    <x v="3"/>
    <x v="3"/>
    <x v="1"/>
    <x v="14"/>
    <x v="3"/>
    <s v="2022 Q4"/>
    <x v="0"/>
    <x v="0"/>
    <n v="1"/>
    <s v="29 + 3 basement"/>
    <n v="25"/>
    <n v="14869"/>
    <x v="124"/>
    <x v="1"/>
    <n v="37062.310129228252"/>
    <n v="398935"/>
    <n v="29449.82"/>
    <n v="371725"/>
    <n v="34534.415964473847"/>
    <n v="260207.49999999997"/>
    <m/>
    <m/>
    <m/>
    <n v="0"/>
    <n v="260207.49999999997"/>
    <n v="0"/>
    <n v="0"/>
    <s v="Commercial"/>
    <s v="OP Issued"/>
    <s v="BD Monthly Digest"/>
    <d v="2022-11-01T00:00:00"/>
    <d v="2023-02-01T00:00:00"/>
    <s v="Redevelopment"/>
    <x v="87"/>
    <x v="0"/>
    <s v="For Sale"/>
    <x v="1"/>
    <m/>
    <x v="131"/>
    <m/>
    <n v="22.307580000000002"/>
    <n v="114.22435"/>
    <s v="MultiPolygon (((114.22432807 22.30778832, 114.2243647 22.30774741, 114.22442145 22.30768401, 114.22448202 22.30761634, 114.22453633 22.30755568, 114.22457431 22.30751325, 114.22465937 22.30741823, 114.22448189 22.30728147, 114.22445606 22.30726157, 114.22442143 22.30730002, 114.22437902 22.3073471, 114.22439523 22.30735958, 114.22410567 22.3076841, 114.22405913 22.30773626, 114.22424545 22.30788062, 114.22432807 22.30778832)))"/>
  </r>
  <r>
    <m/>
    <x v="136"/>
    <s v="8 Hong Yip Street"/>
    <m/>
    <x v="19"/>
    <x v="2"/>
    <x v="2"/>
    <x v="2"/>
    <x v="14"/>
    <x v="3"/>
    <s v="2022 Q4"/>
    <x v="0"/>
    <x v="0"/>
    <n v="4"/>
    <s v="13 + 2 podium + 2 basement"/>
    <n v="26"/>
    <n v="17115.384615384613"/>
    <x v="125"/>
    <x v="1"/>
    <n v="53698.009085926104"/>
    <n v="578000"/>
    <n v="41341.892808368713"/>
    <n v="445000"/>
    <n v="31006.419606276533"/>
    <n v="333750"/>
    <m/>
    <m/>
    <m/>
    <n v="333750"/>
    <n v="0"/>
    <n v="0"/>
    <n v="0"/>
    <s v="Commercial"/>
    <s v="OP Issued"/>
    <s v="BD Monthly Digest"/>
    <d v="2022-10-01T00:00:00"/>
    <d v="2022-12-01T00:00:00"/>
    <s v="Site"/>
    <x v="88"/>
    <x v="0"/>
    <s v="For Lease"/>
    <x v="0"/>
    <s v="Jan 2022: Brochure from Sam Lau: Q2 2022_x000a_Mar 2021: Boss said Q1 2022_x000a_Feb 2021: Rocky - Yes please take it as Grade A supply, will be next year Q2-Q3_x000a_Jan 2021: 76% will be office according to annual report_x000a_Dec 2021: One North用地是信置在2015年以16.9億元投得，該綜合項目鄰近港鐵屯馬線朗屏站，包含2座樓高14層的商廈部份，辦公室面積約44.5萬方呎；商場零售面積約11.3萬方呎；另外亦有2萬方呎的休憩園林。"/>
    <x v="132"/>
    <s v="LAND118"/>
    <n v="22.45082"/>
    <n v="114.02943999999999"/>
    <s v="MULTIPOLYGON (((114.028779668445 22.450750891356,114.029218083105 22.4513286327088,114.029316540634 22.4513509249797,114.030093054736 22.4508326296824,114.029613770912 22.4501880115171,114.028779668445 22.450750891356)))"/>
  </r>
  <r>
    <m/>
    <x v="137"/>
    <s v="222-228 Wan Chai Road"/>
    <m/>
    <x v="11"/>
    <x v="8"/>
    <x v="7"/>
    <x v="0"/>
    <x v="14"/>
    <x v="4"/>
    <s v="2022"/>
    <x v="1"/>
    <x v="0"/>
    <n v="1"/>
    <n v="26"/>
    <n v="24"/>
    <n v="5687.625"/>
    <x v="126"/>
    <x v="1"/>
    <n v="13570.267282304741"/>
    <n v="146069"/>
    <n v="12681.555941619674"/>
    <n v="136503"/>
    <n v="9511.1669562147545"/>
    <n v="102377.25"/>
    <m/>
    <m/>
    <m/>
    <n v="102377.25"/>
    <n v="0"/>
    <n v="0"/>
    <n v="0"/>
    <s v="Commercial"/>
    <s v="OP Issued"/>
    <s v="HKET"/>
    <d v="2022-04-26T00:00:00"/>
    <d v="2022-07-13T00:00:00"/>
    <s v="Redevelopment"/>
    <x v="89"/>
    <x v="0"/>
    <s v="For Lease"/>
    <x v="0"/>
    <s v="Jul 2017: https://www.mpfinance.com/fin/daily2.php?node=1501872391300&amp;issue=20170805"/>
    <x v="133"/>
    <s v="LAND123"/>
    <n v="22.277962338199099"/>
    <n v="114.178713473044"/>
    <s v="MULTIPOLYGON (((114.17886575624 22.2779475883868,114.178662605618 22.2779035655348,114.178659122388 22.2779177292306,114.178636753762 22.2779129513696,114.178596430464 22.2779041911896,114.178563867484 22.2780340322826,114.178586265238 22.2780388977506,114.178583592163 22.2780495539351,114.178600751195 22.2780532770816,114.178601054903 22.278053343002,114.178596529595 22.278071137025,114.178751455807 22.2781051112409,114.178748618769 22.2781163074623,114.178826270141 22.2781327233258,114.178826403074 22.2781327513191,114.178872325263 22.2779490160484,114.17886575624 22.2779475883868)))"/>
  </r>
  <r>
    <m/>
    <x v="138"/>
    <s v="39 Wong Chuk Hang Road"/>
    <m/>
    <x v="9"/>
    <x v="7"/>
    <x v="6"/>
    <x v="0"/>
    <x v="14"/>
    <x v="4"/>
    <s v="2022"/>
    <x v="2"/>
    <x v="0"/>
    <m/>
    <m/>
    <m/>
    <m/>
    <x v="41"/>
    <x v="2"/>
    <n v="8273.6168637761421"/>
    <n v="89056.384560000006"/>
    <n v="8273.6168637761421"/>
    <n v="89056.384560000006"/>
    <n v="6205.2126478321061"/>
    <n v="66792.288419999997"/>
    <m/>
    <m/>
    <m/>
    <n v="66792.288419999997"/>
    <n v="0"/>
    <n v="0"/>
    <n v="0"/>
    <s v="Commercial"/>
    <m/>
    <s v="Town Planning Board"/>
    <m/>
    <d v="2020-07-07T00:00:00"/>
    <s v="Refurbishment"/>
    <x v="90"/>
    <x v="0"/>
    <s v="For Lease"/>
    <x v="0"/>
    <m/>
    <x v="134"/>
    <m/>
    <n v="22.248820475662299"/>
    <n v="114.16636088489"/>
    <s v="MultiPolygon (((114.16632428 22.2490346, 114.16636782 22.24895573, 114.16637759 22.24893802, 114.16645992 22.24878888, 114.16630257 22.24871238, 114.16621019 22.24887884, 114.16616645 22.24895765, 114.16632428 22.2490346)))"/>
  </r>
  <r>
    <m/>
    <x v="139"/>
    <s v="1016-1018 Tai Nan West Street"/>
    <m/>
    <x v="7"/>
    <x v="4"/>
    <x v="4"/>
    <x v="1"/>
    <x v="14"/>
    <x v="4"/>
    <s v="2022"/>
    <x v="0"/>
    <x v="1"/>
    <n v="1"/>
    <s v="22 + 2 basement"/>
    <n v="21"/>
    <n v="8451.4285714285706"/>
    <x v="127"/>
    <x v="1"/>
    <n v="17727.2"/>
    <n v="190813.80807999999"/>
    <n v="16488.447495796136"/>
    <n v="177480"/>
    <n v="12366.335621847102"/>
    <n v="133110"/>
    <m/>
    <m/>
    <m/>
    <n v="0"/>
    <n v="133110"/>
    <n v="0"/>
    <n v="0"/>
    <s v="Commercial"/>
    <s v="Plans Approved"/>
    <s v="Ming Pao"/>
    <d v="2018-08-01T00:00:00"/>
    <d v="2018-10-25T00:00:00"/>
    <s v="Redevelopment"/>
    <x v="53"/>
    <x v="0"/>
    <s v="For Sale"/>
    <x v="1"/>
    <s v="Jul 2020: no superstructure/foundation from inspection_x000a_Aug 2020: Applied Revitalisation 2.0"/>
    <x v="135"/>
    <m/>
    <n v="22.365469999999998"/>
    <n v="114.13772"/>
    <s v="MultiPolygon (((114.13786877 22.36528352, 114.1378044 22.3652429, 114.13766703 22.36543228, 114.13752157 22.36563259, 114.13765011 22.36571328, 114.13781691 22.36548294, 114.13793228 22.3653231, 114.13786877 22.36528352)))"/>
  </r>
  <r>
    <m/>
    <x v="140"/>
    <s v="1 Tsat Po Street"/>
    <m/>
    <x v="5"/>
    <x v="4"/>
    <x v="4"/>
    <x v="1"/>
    <x v="14"/>
    <x v="4"/>
    <s v="2022"/>
    <x v="0"/>
    <x v="1"/>
    <n v="1"/>
    <m/>
    <m/>
    <n v="9698"/>
    <x v="128"/>
    <x v="1"/>
    <m/>
    <m/>
    <n v="16633.37637845019"/>
    <n v="179040"/>
    <n v="12475.032283837641"/>
    <n v="134280"/>
    <m/>
    <m/>
    <m/>
    <n v="0"/>
    <n v="134280"/>
    <n v="0"/>
    <n v="0"/>
    <s v="Commercial"/>
    <m/>
    <s v="Sing Tao"/>
    <d v="2018-08-28T00:00:00"/>
    <d v="2018-08-29T00:00:00"/>
    <s v="Redevelopment"/>
    <x v="91"/>
    <x v="0"/>
    <s v="For Sale"/>
    <x v="1"/>
    <s v="A/K11/233 applied for redevelopment for non-polluting industrial use"/>
    <x v="136"/>
    <m/>
    <m/>
    <m/>
    <m/>
  </r>
  <r>
    <m/>
    <x v="141"/>
    <s v="226-240 Electric Road"/>
    <m/>
    <x v="16"/>
    <x v="0"/>
    <x v="0"/>
    <x v="0"/>
    <x v="15"/>
    <x v="0"/>
    <s v="2023 Q1"/>
    <x v="1"/>
    <x v="0"/>
    <n v="1"/>
    <n v="1"/>
    <n v="23"/>
    <n v="4550"/>
    <x v="129"/>
    <x v="1"/>
    <n v="9754.5"/>
    <n v="104996.46255"/>
    <n v="6767.6"/>
    <n v="104996.46255"/>
    <n v="7315.875"/>
    <n v="78747.346912499997"/>
    <m/>
    <m/>
    <m/>
    <n v="78747.346912499997"/>
    <n v="0"/>
    <n v="0"/>
    <n v="0"/>
    <s v="Commercial"/>
    <s v="OP Issued"/>
    <s v="Hang Lung Announcement"/>
    <d v="2023-03-01T00:00:00"/>
    <d v="2023-05-01T00:00:00"/>
    <s v="Redevelopment"/>
    <x v="92"/>
    <x v="0"/>
    <s v="For Lease"/>
    <x v="0"/>
    <m/>
    <x v="137"/>
    <s v="LAND003"/>
    <n v="22.2888419114458"/>
    <n v="114.193387748867"/>
    <s v="MULTIPOLYGON (((114.193325024 22.2888601060001,114.193357165 22.288896029,114.193418831 22.288848701,114.193403055 22.2888308970001,114.193434923 22.288807138,114.193418038 22.288788119,114.193325024 22.2888601060001)))"/>
  </r>
  <r>
    <m/>
    <x v="142"/>
    <s v="210-212 Choi Hung Road and 15&amp;17 Ng Fong Street"/>
    <m/>
    <x v="5"/>
    <x v="4"/>
    <x v="4"/>
    <x v="1"/>
    <x v="15"/>
    <x v="0"/>
    <s v="2023 Q1"/>
    <x v="0"/>
    <x v="0"/>
    <n v="1"/>
    <s v="21 + 3 basement"/>
    <n v="21"/>
    <n v="5880.4761904761908"/>
    <x v="130"/>
    <x v="1"/>
    <n v="15796.8"/>
    <n v="168282"/>
    <n v="9993.6"/>
    <n v="123490"/>
    <n v="7495.2000000000007"/>
    <n v="92617.5"/>
    <m/>
    <m/>
    <m/>
    <n v="92617.5"/>
    <n v="0"/>
    <n v="0"/>
    <n v="0"/>
    <s v="Commercial"/>
    <s v="OP Issued"/>
    <s v="BD Monthly Digest"/>
    <d v="2023-03-01T00:00:00"/>
    <d v="2023-05-01T00:00:00"/>
    <s v="Redevelopment"/>
    <x v="93"/>
    <x v="0"/>
    <s v="For Lease"/>
    <x v="0"/>
    <m/>
    <x v="138"/>
    <m/>
    <n v="22.338495895203799"/>
    <n v="114.200075047732"/>
    <s v="MultiPolygon (((114.20011214 22.33873171, 114.20022469 22.33867758, 114.2003222 22.33863068, 114.20005084 22.33820348, 114.19986426 22.33830546, 114.19984806 22.33831432, 114.20011214 22.33873171)))"/>
  </r>
  <r>
    <m/>
    <x v="143"/>
    <s v="83 Wing Hong Street"/>
    <s v="NKIL 6572"/>
    <x v="7"/>
    <x v="4"/>
    <x v="4"/>
    <x v="1"/>
    <x v="15"/>
    <x v="1"/>
    <s v="2023 Q2"/>
    <x v="0"/>
    <x v="0"/>
    <n v="1"/>
    <s v="28 + 4 basement"/>
    <n v="28"/>
    <n v="15000"/>
    <x v="131"/>
    <x v="1"/>
    <n v="34474.1"/>
    <n v="371075.76499"/>
    <n v="40952.5357909308"/>
    <s v="440,809"/>
    <n v="30714.401843198102"/>
    <n v="330606.75"/>
    <m/>
    <m/>
    <m/>
    <n v="0"/>
    <n v="330606.75"/>
    <n v="0"/>
    <n v="0"/>
    <s v="Commercial"/>
    <s v="OP Issued"/>
    <s v="Land sale programme 2016-17"/>
    <d v="2023-06-01T00:00:00"/>
    <d v="2023-06-01T00:00:00"/>
    <s v="Site"/>
    <x v="94"/>
    <x v="1"/>
    <s v="For Sale"/>
    <x v="1"/>
    <s v="14 Aug 2023: late 2023 https://www.nwd.com.hk/content/new-world-development-and-ares-ssg-partner-develop-commercial-complex-cheung-sha-wan-0"/>
    <x v="139"/>
    <m/>
    <n v="22.33982"/>
    <n v="114.15017"/>
    <s v="MultiPolygon (((114.15025802 22.33991303, 114.15023483 22.33990483, 114.15030678 22.33972629, 114.15009922 22.33965485, 114.15000613 22.33989037, 114.15023605 22.3399711, 114.15025802 22.33991303)))"/>
  </r>
  <r>
    <m/>
    <x v="144"/>
    <s v="153-167 Queen's Road East"/>
    <m/>
    <x v="11"/>
    <x v="8"/>
    <x v="7"/>
    <x v="0"/>
    <x v="15"/>
    <x v="2"/>
    <s v="2023 Q3"/>
    <x v="1"/>
    <x v="0"/>
    <n v="1"/>
    <s v="26 + 1 basement"/>
    <n v="20"/>
    <n v="3700"/>
    <x v="132"/>
    <x v="1"/>
    <n v="9871.7999999999993"/>
    <n v="106259.06801999999"/>
    <n v="5697.1"/>
    <n v="61323.014690000004"/>
    <n v="4272.8250000000007"/>
    <n v="45992.261017500001"/>
    <m/>
    <m/>
    <m/>
    <n v="45992.261017500001"/>
    <n v="0"/>
    <n v="0"/>
    <n v="0"/>
    <s v="Commercial"/>
    <s v="OP Issued"/>
    <s v="BD Monthly Digest"/>
    <d v="2023-10-01T00:00:00"/>
    <d v="2024-01-01T00:00:00"/>
    <s v="Redevelopment"/>
    <x v="95"/>
    <x v="0"/>
    <s v="For Lease"/>
    <x v="0"/>
    <m/>
    <x v="140"/>
    <s v="LAND115"/>
    <n v="22.2750639212727"/>
    <n v="114.171491356514"/>
    <s v="MultiPolygon (((114.17148905 22.2751103, 114.17152678 22.27509066, 114.17148209 22.27501424, 114.17146735 22.27498903, 114.17145388 22.27499587, 114.17144147 22.27497577, 114.17141901 22.27498715, 114.17142011 22.274989, 114.17142062 22.2749899, 114.17148905 22.2751103)))"/>
  </r>
  <r>
    <m/>
    <x v="145"/>
    <s v="Kai Tak Area 1E Site 2"/>
    <s v="NKIL 6557"/>
    <x v="18"/>
    <x v="3"/>
    <x v="3"/>
    <x v="1"/>
    <x v="15"/>
    <x v="2"/>
    <s v="2023 Q3"/>
    <x v="0"/>
    <x v="0"/>
    <n v="2"/>
    <s v="22+4 basement"/>
    <n v="18"/>
    <n v="20696.227272727272"/>
    <x v="133"/>
    <x v="0"/>
    <n v="101944.3311859456"/>
    <n v="1097318.5864523998"/>
    <n v="4645.1564953223278"/>
    <n v="50000.464515649532"/>
    <n v="3483.8673714917459"/>
    <n v="45000.418064084581"/>
    <m/>
    <m/>
    <n v="22500.20903204229"/>
    <n v="22500.20903204229"/>
    <n v="0"/>
    <n v="0"/>
    <n v="0.5"/>
    <s v="Commercial"/>
    <s v="OP Issued"/>
    <s v="BD Monthly Digest"/>
    <d v="2023-09-01T00:00:00"/>
    <d v="2020-08-31T00:00:00"/>
    <s v="Site"/>
    <x v="96"/>
    <x v="1"/>
    <s v="For Lease"/>
    <x v="0"/>
    <s v="31 Aug 2023: Judy _x000a_- T1 office self use_x000a_- T2 office space for medical, _x000a_- T1 retail for brand consignment_x000a_- T2 for whole floor entertainment and other semi retail_x000a_- both towers have designated F&amp;B floors_x000a__x000a_Approved Kai Tak OZP No. S/K22/4: The “C(6)” zone comprising 2 linked sites is located in the eastern side of Kai Tak City Centre near the proposed SCL Kai Tak Station. An iconic gateway twin-tower development is planned so as to anchor the vista towards the Station Square. NBAs are imposed in the eastern part of the 2 linked sites to create a wider pedestrian vista in the green corridor between the proposed commercial/office developments in these sites and the mixed use and public housing developments to their east. As for the western part of the northern “C(6)” site, a NBA is imposed in order to maintain a breezeway from Kai Tak to San Po Kong as well as to allow a vehicular access serving the two linked sites. A vehicular access restricted for loading/unloading only will be provided via Road L3B to serve the southern “C(6)” site. The area in between the 2 linked “C(6)” sites will remain as open space for a gateway plaza. Developments within this zone are subject to a max plot ratio of 6, a max site coverage (excluding basement(s)) of 65% and a max building height of 100mPD._x000a_Delayed from 2021"/>
    <x v="141"/>
    <s v="LAND112"/>
    <n v="22.332519999999999"/>
    <n v="114.20085"/>
    <s v="MULTIPOLYGON (((114.201328764962 22.3326466050679,114.200899832678 22.3322245981107,114.200657984723 22.332443471883,114.200475580625 22.3324298804829,114.200381214701 22.3323396426101,114.200228889715 22.3321939743298,114.200228886804 22.3321939808322,114.20016849697 22.33233048025,114.19998589164 22.3327431677998,114.200367892079 22.3328894984603,114.200668402146 22.332911913589,114.200736719124 22.3329107024593,114.200804958126 22.3329076219825,114.200873070616 22.3329026811965,114.200940998351 22.3328958891406,114.201008683087 22.3328872367933,114.201076066584 22.3328767512552,114.201143090596 22.3328644235048,114.201193612899 22.3328522697892,114.201242950311 22.3328364407906,114.201290792229 22.332817044924,114.201336837754 22.3327941996336,114.201380805412 22.3327680494529,114.201422423432 22.3327387479446,114.201328764962 22.3326466050679)),((114.202107741964 22.3314048800462,114.202103476791 22.3313294211794,114.201967767256 22.3313358088432,114.20153157667 22.331356339202,114.201594856248 22.3314168705584,114.201604457175 22.3315868697695,114.20122133138 22.3319336208848,114.201660329371 22.3323534400642,114.20175508447 22.3324440654465,114.20179566236 22.3324073408649,114.201832308854 22.3323700840754,114.201864141114 22.3323350134213,114.201894332678 22.3322987058251,114.201922825316 22.3322612245109,114.201949570509 22.3322226507622,114.201974519736 22.3321830478014,114.201997624475 22.3321424878815,114.202018836207 22.3321010432556,114.202038135533 22.3320587952025,114.202055464228 22.3320158159767,114.202070812601 22.3319721868554,114.202084132132 22.3319279891221,114.202095413132 22.3318832950233,114.202104626498 22.3318382039004,114.202111762537 22.3317927789692,114.202116801856 22.3317471195696,114.202119744468 22.3317012889157,114.202120570981 22.3316553953777,114.202119291115 22.331609502168,114.202107741964 22.3314048800462)))"/>
  </r>
  <r>
    <m/>
    <x v="146"/>
    <s v="83 King Lam Street"/>
    <s v="NKIL 6505"/>
    <x v="7"/>
    <x v="4"/>
    <x v="4"/>
    <x v="1"/>
    <x v="15"/>
    <x v="3"/>
    <s v="2023 Q4"/>
    <x v="0"/>
    <x v="0"/>
    <n v="2"/>
    <s v="24+3 podium+3 basement"/>
    <n v="23"/>
    <s v="30,817-32,490/ 16,408-17,991"/>
    <x v="134"/>
    <x v="1"/>
    <n v="108512.8916908447"/>
    <n v="1168023"/>
    <n v="104318.0405633269"/>
    <n v="1122870"/>
    <n v="78238.530422495169"/>
    <n v="842152.5"/>
    <n v="188602.5"/>
    <m/>
    <n v="135000"/>
    <n v="0"/>
    <n v="518550"/>
    <n v="0"/>
    <n v="0.38425641436675662"/>
    <s v="Commercial"/>
    <s v="OP Issued"/>
    <s v="Land sale programme 2016-17"/>
    <d v="2023-11-01T00:00:00"/>
    <d v="2023-11-01T00:00:00"/>
    <s v="Site"/>
    <x v="59"/>
    <x v="1"/>
    <s v="For Sale"/>
    <x v="1"/>
    <s v="6 Sep 2022: Thomas Lam: Q4 2023_x000a_Jul 2020: H1 2020 Interim Report - FY2024 (Jul-Jun)_x000a_Two towers and one with 600,000sf G for lease and NWD will set up 2nd HQ (100,000sf)"/>
    <x v="142"/>
    <s v="LAND066"/>
    <n v="22.339259999999999"/>
    <n v="114.14648"/>
    <m/>
  </r>
  <r>
    <m/>
    <x v="147"/>
    <s v="Shing Kai Road"/>
    <s v="NKIL 6607"/>
    <x v="18"/>
    <x v="3"/>
    <x v="3"/>
    <x v="1"/>
    <x v="15"/>
    <x v="3"/>
    <s v="2023 Q4"/>
    <x v="0"/>
    <x v="0"/>
    <n v="1"/>
    <n v="10"/>
    <n v="8"/>
    <n v="20229.592499999999"/>
    <x v="135"/>
    <x v="0"/>
    <n v="32000"/>
    <n v="344444.8"/>
    <n v="15035"/>
    <n v="161836.74"/>
    <n v="11276.25"/>
    <n v="121377.55499999999"/>
    <m/>
    <m/>
    <n v="121377.55499999999"/>
    <n v="0"/>
    <n v="0"/>
    <n v="0"/>
    <n v="1"/>
    <s v="Commercial"/>
    <s v="Consent Given"/>
    <s v="BD Digest"/>
    <d v="2023-12-31T00:00:00"/>
    <d v="2024-02-21T00:00:00"/>
    <s v="Site"/>
    <x v="97"/>
    <x v="1"/>
    <s v="Self-use"/>
    <x v="0"/>
    <s v="Dec 2021: CLP bought the office portion for self-use_x000a_Aug 2021: annual report 2024_x000a_s. 16 A/K22/17 saved:I:\CBRE Research\Hong Kong\02. Databases\Infrastructure Database\Kowloon East"/>
    <x v="143"/>
    <s v="LAND077"/>
    <n v="22.3219615"/>
    <n v="114.1949858"/>
    <s v="POLYGON ((114.195985130674 22.3234508518802,114.1961777085 22.3232857851723,114.196122686264 22.3229988835134,114.196067664028 22.3228652580832,114.196071594187 22.3221735499739,114.195721809973 22.3218237657596,114.194955428829 22.3225036833897,114.195092984419 22.3226962612156,114.195226609849 22.3228495374443,114.195450628953 22.3230774867076,114.195670717897 22.3232504137349,114.195863295723 22.3233879693248,114.195985130674 22.3234508518802))"/>
  </r>
  <r>
    <m/>
    <x v="148"/>
    <s v="23 Wang Chiu Road (14 Wang Tai Road)"/>
    <m/>
    <x v="3"/>
    <x v="3"/>
    <x v="3"/>
    <x v="1"/>
    <x v="15"/>
    <x v="3"/>
    <s v="2023 Q4"/>
    <x v="0"/>
    <x v="0"/>
    <n v="1"/>
    <s v="21+2 basement"/>
    <n v="19"/>
    <n v="14342"/>
    <x v="136"/>
    <x v="1"/>
    <n v="26672.862453531598"/>
    <n v="287000"/>
    <n v="25325.092936802976"/>
    <n v="272498"/>
    <n v="16714.561338289965"/>
    <n v="179848.68000000002"/>
    <m/>
    <m/>
    <m/>
    <n v="0"/>
    <n v="179848.68000000002"/>
    <n v="0"/>
    <n v="0"/>
    <s v="Commercial"/>
    <s v="OP Issued"/>
    <s v="BD Monthly Digest"/>
    <d v="2023-11-01T00:00:00"/>
    <d v="2023-11-01T00:00:00"/>
    <s v="Redevelopment"/>
    <x v="53"/>
    <x v="0"/>
    <s v="For Sale"/>
    <x v="1"/>
    <s v="Oct 2022: news OP 2024_x000a_Jun 2022: brochure OP Q4 2023, floorplate 13,268 –14,969 sf_x000a_Dec 2017: First Group targets to complete the development by 2022_x000a_Jun 2019: The lease can be extend to Jul 2020. Likely to be redeveloped in late 2020."/>
    <x v="144"/>
    <m/>
    <n v="22.32272"/>
    <n v="114.20923999999999"/>
    <s v="MultiPolygon (((114.20904417 22.32253292, 114.20903599 22.32261179, 114.20901293 22.32284751, 114.2093874 22.32287995, 114.20941371 22.32261171, 114.2094149 22.32259952, 114.20945449 22.32260286, 114.20945775 22.32256777, 114.20937654 22.32256093, 114.20904417 22.32253292)))"/>
  </r>
  <r>
    <m/>
    <x v="149"/>
    <s v="32 Hung To Road"/>
    <m/>
    <x v="4"/>
    <x v="3"/>
    <x v="3"/>
    <x v="1"/>
    <x v="15"/>
    <x v="3"/>
    <s v="2023 Q4"/>
    <x v="1"/>
    <x v="0"/>
    <n v="1"/>
    <s v="31 + 4 basements"/>
    <n v="28"/>
    <n v="3362.8730149999997"/>
    <x v="137"/>
    <x v="1"/>
    <n v="13655.1"/>
    <n v="146982.13089"/>
    <n v="8747.7999999999993"/>
    <n v="94160.444419999985"/>
    <n v="6560.8499999999995"/>
    <n v="70620.333314999996"/>
    <m/>
    <m/>
    <m/>
    <n v="0"/>
    <n v="70620.333314999996"/>
    <n v="0"/>
    <n v="0"/>
    <s v="Commercial"/>
    <s v="OP Issued"/>
    <s v="BD Digest"/>
    <d v="2023-10-30T00:00:00"/>
    <d v="2024-01-01T00:00:00"/>
    <s v="Redevelopment"/>
    <x v="98"/>
    <x v="0"/>
    <s v="For Sale"/>
    <x v="1"/>
    <m/>
    <x v="145"/>
    <m/>
    <n v="22.312350085803299"/>
    <n v="114.220058467694"/>
    <s v="MultiPolygon (((114.21986653 22.31232944, 114.21995665 22.31239872, 114.22011767 22.31252032, 114.22028864 22.31236629, 114.220189 22.31228949, 114.2201576 22.31226529, 114.22012547 22.31224052, 114.22002691 22.31216456, 114.21988904 22.31230589, 114.21986653 22.31232944)))"/>
  </r>
  <r>
    <m/>
    <x v="150"/>
    <s v="3-6 Glenealy"/>
    <m/>
    <x v="8"/>
    <x v="6"/>
    <x v="5"/>
    <x v="0"/>
    <x v="15"/>
    <x v="4"/>
    <s v="2023"/>
    <x v="0"/>
    <x v="1"/>
    <n v="1"/>
    <s v="20 +  4 basement"/>
    <n v="15"/>
    <n v="7540"/>
    <x v="138"/>
    <x v="1"/>
    <m/>
    <m/>
    <n v="10507.343992419104"/>
    <n v="113099.99999999999"/>
    <n v="84824.999999999985"/>
    <n v="84824.999999999985"/>
    <m/>
    <m/>
    <m/>
    <n v="0"/>
    <n v="84824.999999999985"/>
    <n v="0"/>
    <n v="0"/>
    <s v="Commercial"/>
    <m/>
    <s v="Town Planning Board"/>
    <d v="2018-05-16T00:00:00"/>
    <d v="2018-05-16T00:00:00"/>
    <s v="Redevelopment"/>
    <x v="99"/>
    <x v="0"/>
    <s v="For Sale"/>
    <x v="1"/>
    <s v="Sep 2018: Rejected by the TPB"/>
    <x v="146"/>
    <m/>
    <m/>
    <m/>
    <m/>
  </r>
  <r>
    <m/>
    <x v="151"/>
    <s v="100-114 Bedford Road"/>
    <m/>
    <x v="20"/>
    <x v="4"/>
    <x v="4"/>
    <x v="1"/>
    <x v="15"/>
    <x v="4"/>
    <s v="2023"/>
    <x v="1"/>
    <x v="2"/>
    <n v="1"/>
    <s v="26 + 2 basement"/>
    <n v="25"/>
    <n v="5784.1839599039995"/>
    <x v="139"/>
    <x v="1"/>
    <n v="13434.219845743644"/>
    <n v="144604.5989976"/>
    <n v="13340.99815290183"/>
    <n v="143601.17001802"/>
    <n v="10005.748614676373"/>
    <n v="107700.87751351501"/>
    <m/>
    <m/>
    <m/>
    <n v="0"/>
    <n v="107700.87751351501"/>
    <n v="0"/>
    <n v="0"/>
    <s v="Commercial"/>
    <s v="Work Received"/>
    <s v="BD Digest"/>
    <d v="2021-03-01T00:00:00"/>
    <d v="2021-05-01T00:00:00"/>
    <s v="Redevelopment"/>
    <x v="100"/>
    <x v="0"/>
    <s v="For Sale"/>
    <x v="1"/>
    <s v="Lofter Group accquired the site and will redevelop it to commercial use"/>
    <x v="147"/>
    <m/>
    <n v="22.3236977837342"/>
    <n v="114.16318134581"/>
    <s v="MultiPolygon (((114.16321225 22.32374868, 114.16323285 22.32373363, 114.16326151 22.3237652, 114.16329156 22.32374192, 114.16317826 22.32361495, 114.16312812 22.32365394, 114.16321225 22.32374868)))"/>
  </r>
  <r>
    <m/>
    <x v="152"/>
    <s v="2 Murray Road"/>
    <s v="IL 9051"/>
    <x v="8"/>
    <x v="6"/>
    <x v="5"/>
    <x v="0"/>
    <x v="16"/>
    <x v="0"/>
    <s v="2024 Q1"/>
    <x v="0"/>
    <x v="0"/>
    <n v="1"/>
    <s v="36 + 5 basement levels"/>
    <n v="25"/>
    <s v="12500; 15000"/>
    <x v="140"/>
    <x v="1"/>
    <n v="43199.9"/>
    <n v="464999.87016892002"/>
    <n v="41965.617142857147"/>
    <n v="357411"/>
    <n v="39028.023942857151"/>
    <n v="332392.23000000004"/>
    <n v="135513.09"/>
    <m/>
    <n v="13020"/>
    <n v="183859.14000000004"/>
    <n v="0"/>
    <n v="0"/>
    <n v="0.44686089683865349"/>
    <s v="Commercial"/>
    <s v="Plans Approved"/>
    <s v="Land sale programme 2016-17"/>
    <d v="2024-01-31T00:00:00"/>
    <d v="2016-03-02T00:00:00"/>
    <s v="Redevelopment"/>
    <x v="57"/>
    <x v="1"/>
    <s v="For Lease"/>
    <x v="0"/>
    <s v="May 2020 (Marcos):_x000a_•_x0009_Superstructure commences May 2020_x000a_•_x0009_Apr 2023 OP, handover Jul 2023_x000a_•_x0009_Sep 2020 agency appointment_x000a_•_x0009_No decision if HLD will move there_x000a_•_x0009_25 off flrs (16,000 sq ft GFA)_x000a_•_x0009_1 F&amp;B flr (10,000 sq ft)_x000a_•_x0009_1 banquet fl (10,000 sq ft), 8.5m ceiling height_x000a_•_x0009_5 flrs cp, 265 slots_x000a_•_x0009_Floor-to-ceiling 3.5m (clear)_x000a_•_x0009_Jun/Jul market update from agents_x000a_•_x0009_Submission of proposal end-Jul, Aug presentation_x000a_•_x0009_No naming right, signage maybe at the G/F_x000a__x000a_Feb 2016 (RN): put onto the 2016-17 Land Sale Programme_x000a_Jan 2014 (HKET): MURRAY ROAD CAR PARK PLOT EXPECTED LAUNCH IN 2016 (Hong Kong Economic Times)_x000a_The plot of Murray Road Car Park; Murray Road, Central, is expected to be launch in 2016 as various technical assessments have to be made, including traffic assessment. There will not be any government plots launched for sale core districts of Central in the coming years. The government plans to convert the car park building to commercial development, providing around 430,000 square feet of gross floor space for the commercial district in Central. The market predicted that the psf price would reach around HK$18,000. The market value of the project is more than HK$7.7 billion. _x000a_Mar 2013 (Ed): I’ve just spoken to the planning dept to follow up on the recent announcements.  The whole planning process to change the use of Murray Road car park (TIA, parking provision study, Town Planning procedures, ExCo approval) could perhaps be done within a  year and disposal could be realised within the 2013 / 2014 program (in addition to the 9 sites already announced). This could supply 400,000 sq ft of grade A space in Central in 2018 approx. _x000a_Mar 2013: Budget: “The relocation of the Independent Commission Against Corruption to North Point has freed a prime site at Murray Road.  Upon completion of the zoning procedures, the site can provide some 40 000 square metres of Grade A office space.”_x000a_CBRE Research view: We already had this tagged as long term disposal. The minimum time needed for planning is approximately one year but parking requirement and traffic impact assessment studies are needed so the process may take longer.  Allowing a further 4-5 years for demolition and re-development it may be the end of the current decade at the earliest before a new building is ready for occupation. _x000a_Sep 2011: No immediate plans, uncertain_x000a_Aug 2011 (Cynthia): No Plans submitted, potential only.  Located off QRC, 50 metres away from HSBC building._x000a_GFA estimated by CBRE Research on 23 June 2011"/>
    <x v="148"/>
    <s v="LAND072"/>
    <n v="22.280110000000001"/>
    <n v="114.1622"/>
    <s v="MultiPolygon (((114.16201026628964144 22.28041339852243041, 114.16258006579428752 22.2802614765342426, 114.16245409614757023 22.27985239469664691, 114.16188383631256897 22.28000410669801568, 114.16201026628964144 22.28041339852243041)))"/>
  </r>
  <r>
    <m/>
    <x v="153"/>
    <s v="1 Stubbs Road"/>
    <m/>
    <x v="11"/>
    <x v="8"/>
    <x v="7"/>
    <x v="0"/>
    <x v="16"/>
    <x v="0"/>
    <s v="2024 Q1"/>
    <x v="0"/>
    <x v="0"/>
    <n v="1"/>
    <s v="18 + 4 basement"/>
    <n v="18"/>
    <n v="14145.618382777777"/>
    <x v="141"/>
    <x v="1"/>
    <n v="23655.1"/>
    <n v="254621.13088999997"/>
    <n v="23655.1"/>
    <n v="254621.13088999997"/>
    <n v="14372.2"/>
    <n v="190965.84816749999"/>
    <m/>
    <m/>
    <n v="190965.84816749999"/>
    <n v="0"/>
    <n v="0"/>
    <n v="0"/>
    <n v="1"/>
    <s v="Commercial"/>
    <s v="OP Issued"/>
    <s v="BD Monthly Digest"/>
    <d v="2024-02-01T00:00:00"/>
    <s v="22/2/2024"/>
    <s v="Redevelopment"/>
    <x v="101"/>
    <x v="0"/>
    <s v="Self-use"/>
    <x v="0"/>
    <m/>
    <x v="149"/>
    <m/>
    <n v="22.273890000000002"/>
    <n v="114.17726999999999"/>
    <s v="MultiPolygon (((114.17745555 22.2741648, 114.17747353 22.27412538, 114.17755102 22.27395546, 114.17757341 22.27390505, 114.17759751 22.27384965, 114.17761352 22.27381282, 114.17715045 22.27362211, 114.17704578 22.27384965, 114.17703076 22.27388372, 114.1769887 22.2739735, 114.17703713 22.27399298, 114.17707617 22.27400893, 114.17729526 22.27409935, 114.17737714 22.2741328, 114.17745555 22.2741648)))"/>
  </r>
  <r>
    <m/>
    <x v="154"/>
    <s v="46-56 Queen's Road East, 2-12 Anton Street and 1-11 Landale Street"/>
    <m/>
    <x v="11"/>
    <x v="8"/>
    <x v="7"/>
    <x v="0"/>
    <x v="16"/>
    <x v="0"/>
    <s v="2024 Q1"/>
    <x v="0"/>
    <x v="0"/>
    <n v="1"/>
    <s v="28+4 basement"/>
    <n v="22"/>
    <s v="7,200-7,700"/>
    <x v="142"/>
    <x v="1"/>
    <n v="20728.400000000001"/>
    <n v="223118.42475999999"/>
    <n v="20728.400000000001"/>
    <n v="178384"/>
    <n v="18655.560000000001"/>
    <n v="160545.60000000001"/>
    <n v="57498"/>
    <m/>
    <m/>
    <n v="103047.6"/>
    <n v="0"/>
    <n v="0"/>
    <n v="0.35814123837713396"/>
    <s v="Commercial"/>
    <s v="Work Received"/>
    <s v="BD Monthly Digset"/>
    <d v="2020-06-01T00:00:00"/>
    <d v="2021-10-22T00:00:00"/>
    <s v="Redevelopment"/>
    <x v="0"/>
    <x v="0"/>
    <s v="For Lease"/>
    <x v="0"/>
    <s v="22 Feb 2024: OP obtained Judy_x000a_Aug 2022: OP 2024 Judy_x000a_Apr 2022: may delay to 2024 but Judy said stay in 2023_x000a_3 Aug 2021: Alan Lok - name Six PP_x000a_Dec 2015 (HKET): 根據EPRC經濟地產庫資料顯示，寶華大廈近日連錄5宗收購，收購價介乎608萬至1,300萬元，合共涉資3,862萬元，例如9樓G室，實用面積300平方呎，以608萬元收購，實用呎價達2萬元，較1年前收購價提高14%。此外，寶華大廈11樓D室，實用面積810平方呎，收購價1,300萬元，實用呎價1.6萬元，與早前收購價相若。_x000a_太古地產今年初就位於皇后大道東的寶華大廈，以及周邊晏頓街、蘭杜街一帶舊樓申請強拍，物業估值多達14.7億元，屬於今年最大型的收購項目。_x000a_由於項目餘下不接受收購的小業主不少屬「非富則貴」，包括大生地產馬氏家族等，早前更在法庭各自聘請專業人士作提供抗辯理據，令重建的風險增加，為加快重建步伐，發展商亦願意提高收購出價。_x000a_Aug 2014 (Jerry): Swire may redevelop the building toegther with the buildings on Anton Road (90% ownership) and Landale Street_x000a_Apr 2018 (Peter): Check supply info A/H5/411. 22 floors for office. Will be connecting 28 Hennessy"/>
    <x v="150"/>
    <m/>
    <n v="22.277159933130498"/>
    <n v="114.16908638706199"/>
    <s v="MultiPolygon (((114.16819228 22.27635369, 114.16817963 22.27633798, 114.16816695 22.27634535, 114.168082 22.27640119, 114.16818316 22.27653358, 114.16824236 22.27649626, 114.16827938 22.27647293, 114.16825317 22.27643706, 114.16822832 22.27640303, 114.16819228 22.27635369)))"/>
  </r>
  <r>
    <s v="偉華匯"/>
    <x v="155"/>
    <s v="38 Heung Yip Road (24 Wong Chuk Hang Road)"/>
    <m/>
    <x v="9"/>
    <x v="7"/>
    <x v="6"/>
    <x v="0"/>
    <x v="16"/>
    <x v="0"/>
    <s v="2024 Q1"/>
    <x v="0"/>
    <x v="0"/>
    <m/>
    <s v="27+ 3 basement"/>
    <n v="26"/>
    <s v="10,749/11,963"/>
    <x v="143"/>
    <x v="1"/>
    <n v="27306.7"/>
    <n v="293926.58812999999"/>
    <n v="27306.7"/>
    <n v="297861"/>
    <n v="27306.7"/>
    <n v="241267.41"/>
    <m/>
    <m/>
    <m/>
    <n v="241267.41"/>
    <n v="0"/>
    <n v="0"/>
    <n v="0"/>
    <s v="Commercial"/>
    <s v="Consent Given"/>
    <s v="BD Monthly Digest"/>
    <d v="2020-04-01T00:00:00"/>
    <d v="2020-08-31T00:00:00"/>
    <s v="Redevelopment"/>
    <x v="102"/>
    <x v="0"/>
    <s v="For Lease"/>
    <x v="0"/>
    <s v="https://www.prc-magazine.com/viva-properties-viva-place-a-new-iconic-office-tower-at-the-heart-of-island-south/"/>
    <x v="151"/>
    <m/>
    <n v="22.248000000000001"/>
    <n v="114.16426"/>
    <s v="MultiPolygon (((114.16399724 22.24807676, 114.16400947 22.24815448, 114.1640943 22.24814181, 114.16427763 22.24811442, 114.16435427 22.24810297, 114.16437095 22.24819651, 114.16442009 22.24818892, 114.16452663 22.24817247, 114.16450003 22.24800685, 114.16446674 22.24779964, 114.16403467 22.24785972, 114.16396463 22.24786946, 114.16399724 22.24807676)))"/>
  </r>
  <r>
    <m/>
    <x v="156"/>
    <s v="10 Harcourt Road"/>
    <m/>
    <x v="8"/>
    <x v="6"/>
    <x v="5"/>
    <x v="0"/>
    <x v="16"/>
    <x v="1"/>
    <s v="2024 Q2"/>
    <x v="0"/>
    <x v="0"/>
    <n v="1"/>
    <s v="41+3 basement"/>
    <m/>
    <n v="17300"/>
    <x v="144"/>
    <x v="1"/>
    <n v="51294.419308986522"/>
    <n v="552128"/>
    <n v="51294.419308986522"/>
    <n v="552128"/>
    <n v="38983.758674829754"/>
    <n v="419617.28000000003"/>
    <n v="36086"/>
    <m/>
    <m/>
    <n v="383531.28"/>
    <n v="0"/>
    <n v="0"/>
    <n v="8.5997411736713936E-2"/>
    <s v="Commercial (major revisions)-Scheme 3"/>
    <s v="Work Received"/>
    <s v="BD Monthly Digest"/>
    <d v="2021-03-01T00:00:00"/>
    <d v="2021-05-01T00:00:00"/>
    <s v="Redevelopment"/>
    <x v="103"/>
    <x v="0"/>
    <s v="For Lease"/>
    <x v="0"/>
    <s v="29 Sep 2023: Judy: delay to Dec 2023/Jan 2024_x000a_3 Dec 2021: Mr Chan's photo, switch back from 2024 to 2023_x000a_9 Aug 2021: still no superstructure vs Murrary Road 5-10 floors, unlikely to be in 2023_x000a_Jul 2021: Will be delayed but landlord would like to stick with 2023_x000a_Jun 2013: no Sales &amp; Redevelopment clause for new leases and can now do leases up to 2019._x000a_Mar 2011 (Roy): New plan approved for 41 storeys instead of 47 but GFA remain approximately same. They needed to apply to beat a deadline relating to being able exclude some of the car parking spaces from the GFA_x000a_Sep 2011 (Cynthia): CBRE OS and research group meeting held on 9 Sep 2011, and confirm this will not be subject to redevelopment in the next 5-10 years._x000a_Aug 2011: Benny (OS) advised building will be knocked down around Q3, 2012.  Completion of new blg around Q3, 2016.  Benny advised not to contact Landlord directly._x000a_From OS (Benny): L/L said no offical plan at meeting on Apr 2009"/>
    <x v="152"/>
    <m/>
    <n v="22.281020000000002"/>
    <n v="114.16254000000001"/>
    <s v="MultiPolygon (((114.16236015 22.28119207, 114.16238213 22.28126159, 114.16285922 22.28113696, 114.16274895 22.28076969, 114.16273041 22.28070794, 114.16225225 22.28083548, 114.16225119 22.28083577, 114.16217577 22.28085589, 114.16219515 22.28091741, 114.16219616 22.2809206, 114.16228779 22.2812114, 114.16229391 22.28120977, 114.16233556 22.28119864, 114.16236015 22.28119207)))"/>
  </r>
  <r>
    <m/>
    <x v="157"/>
    <s v="350 Kwun Tong Road"/>
    <m/>
    <x v="4"/>
    <x v="3"/>
    <x v="3"/>
    <x v="1"/>
    <x v="16"/>
    <x v="1"/>
    <s v="2024 Q2"/>
    <x v="0"/>
    <x v="0"/>
    <n v="1"/>
    <s v="29 + 4 basement"/>
    <n v="24"/>
    <n v="10012.622835599999"/>
    <x v="145"/>
    <x v="1"/>
    <n v="26715.9"/>
    <n v="287567.27601000003"/>
    <n v="22058"/>
    <n v="302064"/>
    <n v="15440.599999999999"/>
    <n v="211444.8"/>
    <m/>
    <m/>
    <m/>
    <n v="211444.8"/>
    <n v="0"/>
    <n v="0"/>
    <n v="0"/>
    <s v="Commercial"/>
    <s v="Work Received"/>
    <s v="BD Monthly Digest"/>
    <d v="2019-07-01T00:00:00"/>
    <d v="2019-10-01T00:00:00"/>
    <s v="Redevelopment"/>
    <x v="104"/>
    <x v="0"/>
    <s v="For Lease"/>
    <x v="0"/>
    <m/>
    <x v="153"/>
    <m/>
    <n v="22.31503"/>
    <n v="114.21796000000001"/>
    <s v="MultiPolygon (((114.2176926 22.31505233, 114.21769403 22.31505368, 114.21794882 22.31529518, 114.21796395 22.31530952, 114.21810786 22.31517657, 114.21816732 22.31509418, 114.21817286 22.31508092, 114.21817759 22.31506737, 114.21818157 22.31505363, 114.21818467 22.31503964, 114.21818528 22.31502908, 114.21818497 22.3150186, 114.21818398 22.31500812, 114.21818216 22.31499774, 114.21817962 22.31498744, 114.21817624 22.31497742, 114.21817214 22.31496758, 114.21816505 22.31495583, 114.21815682 22.31494465, 114.21814749 22.31493427, 114.21798779 22.31478331, 114.21794868 22.31481896, 114.2176926 22.31505233)))"/>
  </r>
  <r>
    <m/>
    <x v="158"/>
    <s v="37-43 Sha Tsui Road"/>
    <m/>
    <x v="2"/>
    <x v="2"/>
    <x v="2"/>
    <x v="2"/>
    <x v="16"/>
    <x v="1"/>
    <s v="2024 Q2"/>
    <x v="1"/>
    <x v="0"/>
    <n v="1"/>
    <s v="20 + 3 basement level"/>
    <n v="18"/>
    <n v="9511.6111111111113"/>
    <x v="146"/>
    <x v="1"/>
    <n v="15905.851968152807"/>
    <n v="171209"/>
    <n v="15905.851968152807"/>
    <n v="171209"/>
    <n v="10370.869294586535"/>
    <n v="111631"/>
    <m/>
    <m/>
    <m/>
    <n v="0"/>
    <n v="111631"/>
    <n v="0"/>
    <n v="0"/>
    <s v="Commercial"/>
    <s v="Work Received"/>
    <s v="BD Digest"/>
    <d v="2022-01-01T00:00:00"/>
    <d v="2022-04-01T00:00:00"/>
    <s v="Redevelopment"/>
    <x v="6"/>
    <x v="0"/>
    <s v="For Sale"/>
    <x v="1"/>
    <m/>
    <x v="154"/>
    <m/>
    <n v="22.37398"/>
    <n v="114.10937"/>
    <s v="MultiPolygon (((114.10928291 22.37423085, 114.10964693 22.37403554, 114.10947187 22.37375614, 114.10914712 22.37393242, 114.10910893 22.37395295, 114.10913957 22.37400189, 114.10915479 22.37399337, 114.10925929 22.37416028, 114.10924394 22.3741686, 114.10928291 22.37423085)))"/>
  </r>
  <r>
    <m/>
    <x v="159"/>
    <s v="918 Cheung Sha Wan Road"/>
    <m/>
    <x v="7"/>
    <x v="4"/>
    <x v="4"/>
    <x v="1"/>
    <x v="16"/>
    <x v="2"/>
    <s v="2024 Q3"/>
    <x v="0"/>
    <x v="1"/>
    <n v="1"/>
    <s v="28+1 basement"/>
    <n v="24"/>
    <n v="6295"/>
    <x v="147"/>
    <x v="1"/>
    <n v="10699.8"/>
    <n v="138235"/>
    <n v="6578.6"/>
    <n v="138235"/>
    <n v="9631.8391736831691"/>
    <n v="103676.25"/>
    <m/>
    <m/>
    <m/>
    <n v="0"/>
    <n v="103676.25"/>
    <n v="0"/>
    <n v="0"/>
    <s v="Commercial"/>
    <s v="Consent Given"/>
    <s v="BD Monthly Digest"/>
    <d v="2023-03-01T00:00:00"/>
    <d v="2023-05-01T00:00:00"/>
    <s v="Redevelopment"/>
    <x v="53"/>
    <x v="0"/>
    <s v="For Sale"/>
    <x v="1"/>
    <m/>
    <x v="155"/>
    <m/>
    <n v="22.336880000000001"/>
    <n v="114.14572"/>
    <s v="POLYGON((114.1459201276302 22.33696088732998,114.14598450064659 22.336790942235567,114.14619103074074 22.336861649343803,114.14612397551535 22.337031594352055,114.1459201276302 22.33696088732998))"/>
  </r>
  <r>
    <m/>
    <x v="160"/>
    <s v="926 Cheung Sha Wan Road"/>
    <m/>
    <x v="7"/>
    <x v="4"/>
    <x v="4"/>
    <x v="1"/>
    <x v="16"/>
    <x v="2"/>
    <s v="2024 Q3"/>
    <x v="0"/>
    <x v="1"/>
    <n v="1"/>
    <s v="28+1 basement"/>
    <n v="24"/>
    <n v="8387"/>
    <x v="148"/>
    <x v="1"/>
    <n v="13189.7"/>
    <n v="172801"/>
    <n v="8745"/>
    <n v="172801"/>
    <n v="12040.304127403519"/>
    <n v="129600.75"/>
    <m/>
    <m/>
    <m/>
    <n v="0"/>
    <n v="129600.75"/>
    <n v="0"/>
    <n v="0"/>
    <s v="Commercial"/>
    <s v="Consent Given"/>
    <s v="BD Monthly Digest"/>
    <d v="2023-03-01T00:00:00"/>
    <d v="2023-05-01T00:00:00"/>
    <s v="Redevelopment"/>
    <x v="53"/>
    <x v="0"/>
    <s v="For Sale"/>
    <x v="1"/>
    <m/>
    <x v="156"/>
    <m/>
    <n v="22.336960000000001"/>
    <n v="114.14601"/>
    <s v="POLYGON((114.14561837911604 22.336885218371933,114.14569079875946 22.336690463651664,114.14598315954206 22.336787220807835,114.14590403437613 22.33698197539296,114.14561837911604 22.336885218371933))"/>
  </r>
  <r>
    <m/>
    <x v="161"/>
    <s v="20 Des Voeux Road Central"/>
    <m/>
    <x v="8"/>
    <x v="6"/>
    <x v="5"/>
    <x v="0"/>
    <x v="17"/>
    <x v="3"/>
    <s v="2025 Q4"/>
    <x v="0"/>
    <x v="0"/>
    <n v="1"/>
    <s v="32+1 basement"/>
    <m/>
    <n v="6000"/>
    <x v="31"/>
    <x v="1"/>
    <m/>
    <m/>
    <n v="14277.9"/>
    <n v="91808"/>
    <n v="10708.424999999999"/>
    <n v="78036.800000000003"/>
    <m/>
    <m/>
    <m/>
    <n v="78036.800000000003"/>
    <n v="0"/>
    <n v="0"/>
    <n v="0"/>
    <s v="Commercial"/>
    <s v="Plans Approved"/>
    <s v="BD Monthly Digest"/>
    <d v="2014-10-01T00:00:00"/>
    <d v="2015-04-22T00:00:00"/>
    <s v="Redevelopment"/>
    <x v="105"/>
    <x v="0"/>
    <s v="For Lease"/>
    <x v="0"/>
    <s v="Nov 2025: got OP (on OS meeting from Anson)_x000a_Jun 2025: no naming right, OP Q4 2025_x000a_Aug 2024: Anson/Judy Q1/Q2 2025_x000a_Feb 2024: Judy - Q4 2025_x000a_Feb 2023: still bare site by end 2022, move to 2024_x000a_Nov 2021: still bare site, moved to 2023_x000a_Aug 2020: Demolished and active construction. Small development so should be quick. Changed from 2023 Q3 to 2022 Q4_x000a_Retail WC: Tenants need to move out by April 2019"/>
    <x v="157"/>
    <m/>
    <n v="22.282229999999998"/>
    <n v="114.15724"/>
    <s v="MultiPolygon (((114.15699241 22.28213267, 114.15697632 22.28215303, 114.15733458 22.28240199, 114.15743092 22.28228182, 114.15716176 22.28209637, 114.15715684 22.28210256, 114.15711632 22.28207448, 114.15712144 22.28206859, 114.1570707 22.28203363, 114.15704597 22.28206491, 114.15699241 22.28213267)))"/>
  </r>
  <r>
    <m/>
    <x v="162"/>
    <s v="303 Des Voeux Road Central &amp; 153 Connaught Road Central"/>
    <m/>
    <x v="12"/>
    <x v="9"/>
    <x v="8"/>
    <x v="0"/>
    <x v="17"/>
    <x v="1"/>
    <s v="2025 Q2"/>
    <x v="0"/>
    <x v="0"/>
    <n v="1"/>
    <n v="28"/>
    <n v="17"/>
    <n v="8980.0588235294126"/>
    <x v="149"/>
    <x v="1"/>
    <n v="19649.011975213445"/>
    <n v="211500"/>
    <n v="14182.684714648038"/>
    <n v="152661"/>
    <n v="11346.147771718432"/>
    <n v="122128.8"/>
    <m/>
    <m/>
    <n v="35648"/>
    <n v="86480.8"/>
    <n v="0"/>
    <n v="0"/>
    <n v="0.29188856354930204"/>
    <s v="Commercial"/>
    <s v="Work Received"/>
    <s v="BD Monthly Digest"/>
    <d v="2023-03-01T00:00:00"/>
    <d v="2023-05-01T00:00:00"/>
    <s v="Redevelopment"/>
    <x v="106"/>
    <x v="0"/>
    <s v="For Lease"/>
    <x v="0"/>
    <s v="Jun 2025: GFA updated from Unicorn/Landlord's brochure"/>
    <x v="158"/>
    <s v="LAND001"/>
    <n v="22.28715"/>
    <n v="114.15089999999999"/>
    <m/>
  </r>
  <r>
    <m/>
    <x v="163"/>
    <s v="GZHK Express Rail Link, West kowloon Terminus"/>
    <m/>
    <x v="1"/>
    <x v="1"/>
    <x v="1"/>
    <x v="1"/>
    <x v="17"/>
    <x v="3"/>
    <s v="2025 Q4"/>
    <x v="0"/>
    <x v="0"/>
    <n v="2"/>
    <s v="20-30"/>
    <s v="15-25"/>
    <s v="34,000/37,000-31,000/33,000"/>
    <x v="150"/>
    <x v="0"/>
    <n v="293858.5"/>
    <n v="3163063.5081499997"/>
    <n v="238000"/>
    <n v="2561832"/>
    <n v="178500"/>
    <n v="1921374"/>
    <n v="439578.75"/>
    <m/>
    <m/>
    <n v="1481795.25"/>
    <n v="0"/>
    <n v="0"/>
    <n v="0.22878354240246823"/>
    <s v="Commercial"/>
    <s v="Consent Given"/>
    <s v="BD Digest"/>
    <d v="2021-08-01T00:00:00"/>
    <d v="2021-11-01T00:00:00"/>
    <s v="Site"/>
    <x v="107"/>
    <x v="1"/>
    <s v="For Lease"/>
    <x v="0"/>
    <s v="Sep 2020: A/K20/133 (16 Sep proposal submission) - change from 3 blocks to 2 twin towers; office portion reduced; ceiling height 4.2m; retail G/F-4/F_x000a_OZP: The &quot;CDA(1)&quot; zone bounded by Lin Cheung Road, Jordam Road, Road D1 and Austin Road West is to facilitate the proposed development of the West Kowloon Terminus of the Guangzhou-Shenzhen-Hong Kong Express Rail Link (XRL). It is intened for a comprehensive development of the railway terminus and the topside development, which is primarily for office/commercial use, into a strategic rail and high-grade office hub. The office hub is planned to be an extension of the Central Business District (CBD) from Tsim Sha Tsui to West Kowloon for the provision of Grade A office accommodation so as to capitalise on the benefits brought by the XRL and the WECD. The site is subject to specific control on plot ratio of 0.68 above-ground railway facilities and a maximum plot ratio of 5.0 above the railway station. Development within this zone is also subject to maximum building heights of 90, 100 and 115 metres above Principal Datum (mPD) as stipulated on the Plan. A public open space of not less than 8,900 sm is to be provided at the south-western portion of the site to align with the public open space at the WKCD to enhance visual permeability and pedestrian accessibility._x000a_Sep 2011: Sam (OS) - The MTR Station is to be completed by July 2015. MTR normally tender after completion of station. Original plan was 1 mega tower, plan now is for 3 low rise buildings, GFA remains the same. Assume 2020+ until further clarity from developer. Also check timeline between completion of Hong Kong Station and IFC._x000a_TheStandard (10Feb2010) MTRC plans to build three commercial bldgs at the proposed express rail link terminus,, covering 3.16M sf of GFA. MTRC proposes to build three 98-meter-high bldgs, equal to 21-23 stories. The terminus is expected to be completed in 2015 and the bldgs are expected to be completed in 2020._x000a_May-20: Ping An Insurance bought 1/3 of the office portion for self-use"/>
    <x v="159"/>
    <s v="LAND116"/>
    <n v="22.304754715561302"/>
    <n v="114.165009748196"/>
    <s v="POLYGON ((114.164173064962 22.3062856538389,114.164173064962 22.3029066829196,114.166221258032 22.3031038351937,114.166182922867 22.3035912394268,114.16608434673 22.3041388846325,114.165947435429 22.3046262888656,114.165635277662 22.3052286985919,114.165186208593 22.306006354784,114.165109538264 22.3061213602772,114.164173064962 22.3062856538389))"/>
  </r>
  <r>
    <m/>
    <x v="164"/>
    <s v="15 Sheung Yuet Road"/>
    <m/>
    <x v="3"/>
    <x v="3"/>
    <x v="3"/>
    <x v="1"/>
    <x v="17"/>
    <x v="0"/>
    <s v="2025 Q1"/>
    <x v="0"/>
    <x v="0"/>
    <n v="1"/>
    <s v="22+3 basement"/>
    <n v="17"/>
    <n v="27647.058823529413"/>
    <x v="151"/>
    <x v="0"/>
    <n v="46228.597441447804"/>
    <n v="497600"/>
    <n v="43664.471056029877"/>
    <n v="470000"/>
    <n v="30477.200000000001"/>
    <n v="328053.53308000002"/>
    <m/>
    <m/>
    <m/>
    <n v="328053.53308000002"/>
    <n v="0"/>
    <n v="0"/>
    <n v="0"/>
    <s v="Commercial"/>
    <s v="Work Received"/>
    <s v="BD Monthly Digest"/>
    <d v="2019-11-01T00:00:00"/>
    <d v="2020-01-01T00:00:00"/>
    <s v="Redevelopment"/>
    <x v="108"/>
    <x v="0"/>
    <s v="For Lease"/>
    <x v="0"/>
    <s v="Dec 2024: The building was named as &quot;THE CENDAS&quot; https://www.thecendas.com/workspace-evolution/_x000a_Aug 2024: Rocky April 2025_x000a_Aug 2021: still no work done, landlord status unknown_x000a_Feb 2018: Executed lease modification in Dec 2017"/>
    <x v="160"/>
    <s v="LAND034"/>
    <n v="22.32217"/>
    <n v="114.20993"/>
    <s v="MultiPolygon (((114.21019191267367887 22.32193143526723844, 114.20974784566904248 22.3218846843610379, 114.20967870726168769 22.32196089850812371, 114.20963695431655083 22.32234696470482049, 114.20970976086032067 22.32243217163578919, 114.21013501619580666 22.3224670783727781, 114.21019191267367887 22.32193143526723844)))"/>
  </r>
  <r>
    <m/>
    <x v="165"/>
    <s v="281 Gloucester Road"/>
    <m/>
    <x v="10"/>
    <x v="8"/>
    <x v="7"/>
    <x v="0"/>
    <x v="17"/>
    <x v="2"/>
    <s v="2025 Q3"/>
    <x v="0"/>
    <x v="0"/>
    <n v="1"/>
    <s v="30 + 3 basement"/>
    <n v="24"/>
    <n v="20000"/>
    <x v="152"/>
    <x v="0"/>
    <n v="64080"/>
    <n v="689757.12"/>
    <n v="49237.358206597979"/>
    <n v="529986"/>
    <n v="43328.875221806222"/>
    <n v="466387.68"/>
    <n v="56789.919999999998"/>
    <m/>
    <m/>
    <n v="409597.76"/>
    <n v="0"/>
    <n v="0"/>
    <n v="0.12176548059760062"/>
    <s v="Commercial"/>
    <s v="Work Received"/>
    <s v="Judy Wai"/>
    <d v="2023-02-01T00:00:00"/>
    <d v="2024-01-01T00:00:00"/>
    <s v="Redevelopment"/>
    <x v="109"/>
    <x v="0"/>
    <s v="For Lease"/>
    <x v="0"/>
    <s v="Jun 2023: Judy said retail only 65k sf_x000a_31 May 2022: boss said HKL confirm Q1 2025_x000a_Oct 18 (Peter): Mandarin Oriental decided to redevelop the building"/>
    <x v="161"/>
    <s v="LAND114"/>
    <n v="22.281792659733"/>
    <n v="114.184473214257"/>
    <s v="MultiPolygon (((114.1840562 22.282212, 114.1845591 22.2813285, 114.1847415 22.2813967, 114.1843982 22.2823051, 114.1840562 22.282212)))"/>
  </r>
  <r>
    <m/>
    <x v="166"/>
    <s v="Junction of Peel Street &amp; Graham Street"/>
    <m/>
    <x v="12"/>
    <x v="9"/>
    <x v="8"/>
    <x v="0"/>
    <x v="18"/>
    <x v="3"/>
    <s v="2026 Q4"/>
    <x v="0"/>
    <x v="2"/>
    <n v="1"/>
    <n v="37"/>
    <n v="28"/>
    <n v="10600"/>
    <x v="153"/>
    <x v="1"/>
    <n v="39679.800000000003"/>
    <n v="433000"/>
    <n v="30995"/>
    <n v="333630.18"/>
    <n v="23246.25"/>
    <n v="250222.63500000001"/>
    <m/>
    <m/>
    <m/>
    <n v="250222.63500000001"/>
    <n v="0"/>
    <n v="0"/>
    <n v="0"/>
    <s v="Commercial/ Hotel"/>
    <s v="Plans Approved"/>
    <s v="BD Monthly Digest"/>
    <d v="2020-03-01T00:00:00"/>
    <d v="2020-05-22T00:00:00"/>
    <s v="Redevelopment"/>
    <x v="110"/>
    <x v="1"/>
    <s v="For Lease"/>
    <x v="0"/>
    <s v="Oct 2025: Phoebe - May 2026 OP (target), low zone floor area 10,598 sf approx; high zone floor area 10,558 sf gross approx._x000a_Jun 2025: boss - Q2 2026 OP_x000a_Mar 2023: boss - Jun 2025 OP; 100k hotel, 300k office, 30k retail; soft marketing in Q3 2023; car access from Wellington Street_x000a_Nov 2021: boss asked Wing Tai and said 2024_x000a_Oct 2021: Ellen - delay to 2025 becos of heritage, net floor plate 9k sf_x000a_Two Resi Blocks on site A/B and Hotel and office on Site C._x000a_Site B: Completion 2016_x000a_Site A/C: Completion 2021_x000a_http://www.ura.org.hk/en/projects/redevelopment/central/peel-street-graham-street-development-scheme.aspx_x000a_http://www1.ozp.tpb.gov.hk/gos/download.aspx?type=apply&amp;caseno=A/H3/380&amp;lang=0"/>
    <x v="162"/>
    <s v="LAND109"/>
    <n v="22.28304"/>
    <n v="114.15396"/>
    <s v="POLYGON((114.15409952402113 22.283529631628014,114.15360063314438 22.283048142525246,114.1538447141647 22.282736662866725,114.15399223566054 22.282860758431354,114.1540566086769 22.28278381919425,114.15441468358037 22.283128804475083,114.15437310934065 22.28318340638397,114.15420144796369 22.283033251083253,114.15401369333264 22.283239249223257,114.15419206023215 22.28342290995961,114.15409952402113 22.283529631628014))"/>
  </r>
  <r>
    <m/>
    <x v="167"/>
    <s v="Kai Tak Area 2A Site 2 &amp; Kai Tak Area 2A Site 3"/>
    <s v="NKIL 6590"/>
    <x v="18"/>
    <x v="3"/>
    <x v="3"/>
    <x v="1"/>
    <x v="17"/>
    <x v="4"/>
    <s v="2025"/>
    <x v="0"/>
    <x v="1"/>
    <n v="1"/>
    <s v="25/25"/>
    <n v="40"/>
    <n v="15942.560399999998"/>
    <x v="154"/>
    <x v="1"/>
    <n v="80583"/>
    <n v="867387.35369999998"/>
    <n v="74055"/>
    <n v="797128.0199999999"/>
    <n v="55541.25"/>
    <n v="597846.0149999999"/>
    <m/>
    <m/>
    <m/>
    <n v="0"/>
    <n v="0"/>
    <n v="597846.0149999999"/>
    <n v="0"/>
    <s v="Commercial"/>
    <m/>
    <m/>
    <m/>
    <d v="2020-02-28T00:00:00"/>
    <s v="Site"/>
    <x v="24"/>
    <x v="1"/>
    <s v="Uncertain"/>
    <x v="2"/>
    <s v="Approved Kai Tak OZP No. S/K22/4: 3 sites abutting the Lung Tsun Stone Bridge Preservation Corridor are designated “CDA(3)”, “CDA(4)” and “CDA(5)” respectively. The planning intention for these sites is to ensure their disposition and design would be in harmony with the Preservation Corridor for Lung Tsun Stone Bridge. The planning briefs will set out the special design features for these 3 “CDA” sites to ensure a harmonious environment with the Preservation Corridor. The “CDA(3)” and “CDA(4)” zones are intended for commercial use while “CDA(5)” is intended for residential use. The “CDA(4)” zone is subject to a max plot ratio of 4.5, a max building height restriction of 70mPD and a max site coverage (excluding basement(s)) of 65%._x000a_May 2021 (Peter): Potential to rezone to residential use"/>
    <x v="163"/>
    <s v="LAND047"/>
    <m/>
    <m/>
    <m/>
  </r>
  <r>
    <m/>
    <x v="168"/>
    <s v="7 Lai Yip Street"/>
    <m/>
    <x v="4"/>
    <x v="3"/>
    <x v="3"/>
    <x v="1"/>
    <x v="17"/>
    <x v="4"/>
    <s v="2025"/>
    <x v="1"/>
    <x v="2"/>
    <n v="1"/>
    <s v="29 + 3 basement levels &amp; 2 basement"/>
    <n v="25"/>
    <n v="5963.6311560000004"/>
    <x v="155"/>
    <x v="1"/>
    <n v="15366.9"/>
    <n v="165407.77490999998"/>
    <n v="10227.9"/>
    <n v="110092.09280999999"/>
    <n v="7670.9249999999993"/>
    <n v="82569.069607499987"/>
    <m/>
    <m/>
    <m/>
    <n v="0"/>
    <n v="82569.069607499987"/>
    <n v="0"/>
    <n v="0"/>
    <s v="Commercial"/>
    <s v="Work Received"/>
    <s v="Town Planning Board"/>
    <d v="2023-03-01T00:00:00"/>
    <d v="2023-05-01T00:00:00"/>
    <s v="Redevelopment"/>
    <x v="111"/>
    <x v="0"/>
    <s v="For Sale"/>
    <x v="1"/>
    <s v="Jan 2020: Apporved for revitalisation 2.0 for 20% plot ratio relaxation for office development"/>
    <x v="164"/>
    <m/>
    <n v="22.314594639924501"/>
    <n v="114.21744638339"/>
    <s v="MultiPolygon (((114.21738349 22.314757, 114.21760784 22.31455144, 114.21765973 22.3145039, 114.21753034 22.31438165, 114.2172541 22.31463475, 114.21738349 22.314757)))"/>
  </r>
  <r>
    <m/>
    <x v="169"/>
    <s v="107-109 Wai Yip Street"/>
    <m/>
    <x v="4"/>
    <x v="3"/>
    <x v="3"/>
    <x v="1"/>
    <x v="19"/>
    <x v="0"/>
    <s v="2027 Q1"/>
    <x v="2"/>
    <x v="2"/>
    <n v="1"/>
    <s v="26 + 3 basement levels"/>
    <n v="24"/>
    <n v="7062.2543999999998"/>
    <x v="156"/>
    <x v="1"/>
    <n v="16855"/>
    <n v="181425.53449999998"/>
    <n v="15746.532910933771"/>
    <n v="169494.10560000001"/>
    <n v="11809.899683200329"/>
    <n v="127120.57920000001"/>
    <m/>
    <m/>
    <m/>
    <n v="0"/>
    <n v="127120.57920000001"/>
    <n v="0"/>
    <n v="0"/>
    <s v="Commercial"/>
    <s v="Plans Approved"/>
    <s v="BD Monthly Digest"/>
    <d v="2017-07-01T00:00:00"/>
    <d v="2019-01-02T00:00:00"/>
    <s v="Redevelopment"/>
    <x v="112"/>
    <x v="0"/>
    <s v="For Sale"/>
    <x v="1"/>
    <s v="Jan 2025: will be Industrial use_x000a_Jan 2020: Applying for revitalisation 2.0 for 20% plot ratio relaxation for office development_x000a_Jul 2023: Currently temp. car parking. The developer is short of cash to proceed"/>
    <x v="165"/>
    <m/>
    <n v="22.3156"/>
    <n v="114.21576"/>
    <s v="MultiPolygon (((114.21552716 22.31567491, 114.2156499 22.31579166, 114.21576202 22.3156854, 114.21573959 22.31566392, 114.21577788 22.31562896, 114.21576918 22.31562106, 114.21578226 22.31560893, 114.21580506 22.31563058, 114.21586616 22.3155739, 114.21585253 22.31556076, 114.21589076 22.31552583, 114.21591352 22.31554675, 114.21603014 22.31544424, 114.21590777 22.31532588, 114.21552716 22.31567491)))"/>
  </r>
  <r>
    <m/>
    <x v="170"/>
    <s v="98 Caroline Hill Road"/>
    <m/>
    <x v="10"/>
    <x v="8"/>
    <x v="7"/>
    <x v="0"/>
    <x v="18"/>
    <x v="3"/>
    <s v="2026 Q4"/>
    <x v="0"/>
    <x v="2"/>
    <n v="2"/>
    <n v="41"/>
    <n v="30"/>
    <n v="9965.8536585365855"/>
    <x v="157"/>
    <x v="1"/>
    <n v="170000"/>
    <n v="1829863"/>
    <n v="90000"/>
    <n v="817200"/>
    <n v="83700"/>
    <n v="752964"/>
    <n v="92454"/>
    <m/>
    <m/>
    <n v="660510"/>
    <n v="0"/>
    <n v="0"/>
    <n v="0.12278674677673829"/>
    <s v="Commercial"/>
    <s v="Work Received"/>
    <s v="Policy Address 2016"/>
    <d v="2023-09-01T00:00:00"/>
    <d v="2024-01-01T00:00:00"/>
    <s v="Redevelopment"/>
    <x v="113"/>
    <x v="1"/>
    <s v="For Lease"/>
    <x v="0"/>
    <s v="Apr 2016 (HKEJ): government plans to finish demolition (but keep foundation) by Q3 2018._x000a_Jan 2016 (Policy Address): In the short and medium term, Queensway Plaza will be redeveloped and the government site at Caroline Hill Road will be rezoned for commercial development._x000a__x000a_Rosanna: Currently the site is of a combination of (1)ex-Electrical and Mechanical Services Department Headquarters, (2) PCCW Recreation Club and (3) Post Office Recreation Club, and therefore if the government really decide to convert the site for commercial use, it would involve another process of rezoning from GIC and recreational usage to commercial usage. _x000a_A local news (HKET) reported this again in their press yesterday, and said a “market source” indicated that if the sites are to be converted, it could provide ~1.1 million sq ft commercial spaces in CWB._x000a_Therefore, it is to be confirmed whether (1) if the site will be converted to commercial usage; and (2) if yes, what is the office space proportion and (3) the actual timeline to put in the public._x000a__x000a_Causeway Bay for commercial use. The site xpctd to provide total GFA of 1.1mft2. According to the preliminary proposal, future dev on the site willmainly be office use. There will also be some hotel &amp; retail elements in the dev. The current mkt xpctd value HK$10- 13.2bn, or HK$10,000- 12,000psf. (HKET) &lt;&lt;As the Caroline Hill Rd site is near Hysan’s Lee Gardens hub &amp; opposite its new Sunning Court/Sunning Place re-dev, we would xpct Hysan to be v interested in the site. The total dev costfor the Caroline Hill Rd site cld be over HK$20bn &amp; would be easily Hysan’s largest investment ever. Despite Hysan’s low net gearing at 5%, we think such an investment cld take Hysan’s net gearing to above its comfort lvl. As such, we think Hysan would bring in a partner if it were interested. However, we xpct it to take time to rezone the site b/f it becomes available to the mkt&gt;&gt;_x000a__x000a_Mar-18: Total GFA area is 170,000 sqm, with 100,000 sqm for commercial and 70,000 sqm for District Court_x000a__x000a_Jun-18: PlansD mentioned during the meeting: 規劃署會向城規會建議，把零售樓面面積限制為 10 000平方米，並會建議地政總 署 在將 來的 賣 地條款加入這限制，以免該處一帶的零售用途吸引過多車輛，造成如時代廣場對其附近道路網絡的影響。時代廣場的零售樓面面積佔整體樓面面積約40%，因此對交通造成較大影響。有關規劃建議只將一成的樓面面積作零售用途，相信可減低交通影響。"/>
    <x v="166"/>
    <s v="LAND029"/>
    <n v="22.276730000000001"/>
    <n v="114.18613999999999"/>
    <m/>
  </r>
  <r>
    <m/>
    <x v="171"/>
    <s v="92-103A Connaught Road West and 91, 99 &amp; 101 Des Voeux Road West"/>
    <m/>
    <x v="12"/>
    <x v="9"/>
    <x v="8"/>
    <x v="0"/>
    <x v="18"/>
    <x v="3"/>
    <s v="2026 Q4"/>
    <x v="0"/>
    <x v="2"/>
    <n v="1"/>
    <s v="26 + 2 basements"/>
    <n v="25"/>
    <n v="13145.124940674999"/>
    <x v="158"/>
    <x v="1"/>
    <n v="28142.7"/>
    <n v="302925.20853"/>
    <n v="28142.7"/>
    <n v="302925.20853"/>
    <n v="21107.025000000001"/>
    <n v="227193.90639750002"/>
    <m/>
    <m/>
    <m/>
    <n v="0"/>
    <n v="0"/>
    <n v="0"/>
    <n v="1"/>
    <s v="Commercial"/>
    <s v="Plans Approved"/>
    <s v="BD Digest"/>
    <d v="2021-01-01T00:00:00"/>
    <d v="2021-05-01T00:00:00"/>
    <s v="Redevelopment"/>
    <x v="114"/>
    <x v="0"/>
    <s v="For Lease"/>
    <x v="0"/>
    <s v="Mar 2026: HKU is currently in negotiations to acquire the entire building for self-use._x000a_May 2024: Tai Hung Fai said 2026_x000a_Jan 19 (Peter): Can combine with the sites nearby to be a 400,000sf project"/>
    <x v="167"/>
    <m/>
    <n v="22.288101809199802"/>
    <n v="114.145444797037"/>
    <s v="MULTIPOLYGON (((114.145057821671 22.2883793571527,114.145060023377 22.2883771554469,114.145060023377 22.2883771554469,114.145060023377 22.2883771554469,114.14564567711 22.2883419281547,114.1456225592 22.2881052447852,114.145050115701 22.2881481780476,114.145057821671 22.2883793571527)))"/>
  </r>
  <r>
    <m/>
    <x v="172"/>
    <s v="77 How Ming Street"/>
    <m/>
    <x v="4"/>
    <x v="3"/>
    <x v="3"/>
    <x v="1"/>
    <x v="18"/>
    <x v="2"/>
    <s v="2026 Q3"/>
    <x v="0"/>
    <x v="0"/>
    <n v="1"/>
    <s v="34 + 4 basement levels"/>
    <n v="28"/>
    <n v="8845.7142857142862"/>
    <x v="159"/>
    <x v="1"/>
    <n v="18298"/>
    <n v="247680"/>
    <n v="18298"/>
    <n v="247680"/>
    <n v="13174.56"/>
    <n v="178329.60000000001"/>
    <m/>
    <m/>
    <m/>
    <n v="178329.60000000001"/>
    <n v="0"/>
    <n v="0"/>
    <n v="0"/>
    <s v="Commercial"/>
    <s v="Plans Approved"/>
    <s v="BD Digest"/>
    <d v="2021-08-01T00:00:00"/>
    <d v="2021-10-01T00:00:00"/>
    <s v="Redevelopment"/>
    <x v="115"/>
    <x v="0"/>
    <s v="For Lease"/>
    <x v="0"/>
    <s v="Aug 2026: got OP from zac's email re Savills' news (https://www.retalkasia.com/properties/2026/08/13/brand-new-crystal-tower-kwun-tong-hong-kong-lease-%E2%80%93-savills/1786595503)_x000a_Dec 2023: bare site_x000a_Jul 2020: Changed from 2024-2028 to 2025 after inspection_x000a_Jan 2020: Applying for revitalisation 2.0 for 20% plot ratio relaxation for office development"/>
    <x v="168"/>
    <m/>
    <n v="22.313359999999999"/>
    <n v="114.22044"/>
    <s v="MultiPolygon (((114.22032587 22.31350231, 114.22041757 22.31358819, 114.22058914 22.31343163, 114.2205844 22.31332748, 114.22035463 22.31314966, 114.22015133 22.31333514, 114.22024251 22.31342419, 114.22026582 22.31340371, 114.22034866 22.31348142, 114.22032587 22.31350231)))"/>
  </r>
  <r>
    <m/>
    <x v="173"/>
    <s v="Man Yiu Street, New Central Harbourfront, Hong Kong"/>
    <s v="IL 9088"/>
    <x v="8"/>
    <x v="6"/>
    <x v="5"/>
    <x v="0"/>
    <x v="18"/>
    <x v="3"/>
    <s v="2026 Q4"/>
    <x v="0"/>
    <x v="2"/>
    <n v="1"/>
    <n v="6"/>
    <n v="6"/>
    <s v="55,000-65,000"/>
    <x v="160"/>
    <x v="1"/>
    <n v="56670.909242932394"/>
    <n v="610000"/>
    <n v="33445.126766320762"/>
    <n v="360000"/>
    <n v="30100.614089688686"/>
    <n v="324000"/>
    <n v="232290.9"/>
    <m/>
    <m/>
    <n v="91709.1"/>
    <n v="0"/>
    <n v="0"/>
    <n v="0.71694722222222218"/>
    <s v="Commercial"/>
    <m/>
    <s v="Central Reclamation website of Planning Department"/>
    <m/>
    <d v="2016-03-02T00:00:00"/>
    <s v="Redevelopment &amp; Site"/>
    <x v="57"/>
    <x v="1"/>
    <s v="For Lease"/>
    <x v="0"/>
    <s v="Oct 2026: Central Yards Phase I will get OP at the end of 2026. (from  media: https://hk.finance.yahoo.com/news/kim-jones-%E6%98%8E%E5%B9%B4%E8%90%BD%E6%88%B6-central-yards-081056715.html and Ken Lau from Weekly Meeting)_x000a_Nov 2025: Renamed to Central Yards, according to Henderson Land (https://www.hld.com/en/our-news/press-releases/henderson-land-reinvents-central-with-its-global-harbourfront-icon-central-yardsset-to-become-hong-kongs-most-sustainable-district-for-commerce-culture-and-lifestyle-launching-2027)_x000a_Jul 2025: David Wood: efficiency is over 90%_x000a_Jun 2023: Alan Lok+MC said Henderson said 2027_x000a_Nov 2022: TPB plan submitted_x000a_Jan 2021: Tender results in Nov 2021. Changed completion from 2024 to 2026. Winner need to complete at lease 1.29 mil sq. ft. by end-2032_x000a_Aug 2011 (Cynthia): No official programme indicated / announced.  Outisde GPO, in front of ferry pier._x000a_No official programme yet/ http://www.pland.gov.hk/p_study/prog_s/UDS/eng_v1/images_eng/OI07_eng.jpg_x000a_Site 3 Total Area:157,400 sm (including 103,400/ 104,200 sm for retail; 44,800/44,000 sm for office; 3,800 sm for 150 public car parking spaces; 5,400 sm for mini-bus, taxi and coach facilities)_x000a_https://www.hld.com/en/press/pressdetail.shtml?region=hk&amp;id=426"/>
    <x v="169"/>
    <s v="LAND013"/>
    <n v="22.284549999999999"/>
    <n v="114.16054"/>
    <s v="MULTIPOLYGON (((114.160644282655 22.2860261887976,114.161057085441 22.2858704141614,114.161384212177 22.2849747100027,114.160994775586 22.2837752453032,114.159740789764 22.2844528649711,114.160644282655 22.2860261887976)))"/>
  </r>
  <r>
    <m/>
    <x v="174"/>
    <s v="216-232 Des Voeux Road Central"/>
    <m/>
    <x v="12"/>
    <x v="9"/>
    <x v="8"/>
    <x v="0"/>
    <x v="19"/>
    <x v="3"/>
    <s v="2027 Q4"/>
    <x v="0"/>
    <x v="2"/>
    <n v="1"/>
    <n v="25"/>
    <n v="24"/>
    <n v="7512.4846066666678"/>
    <x v="161"/>
    <x v="1"/>
    <n v="16750.400000000001"/>
    <n v="180299.63056000002"/>
    <n v="16750.400000000001"/>
    <n v="180299.63056000002"/>
    <n v="12562.800000000001"/>
    <n v="135224.72292000003"/>
    <m/>
    <m/>
    <m/>
    <n v="135224.72292000003"/>
    <n v="0"/>
    <n v="0"/>
    <n v="0"/>
    <s v="Commercial"/>
    <s v="Plans Approved"/>
    <s v="BD Monthly Digest"/>
    <d v="2021-01-01T00:00:00"/>
    <d v="2021-05-01T00:00:00"/>
    <s v="Redevelopment"/>
    <x v="114"/>
    <x v="0"/>
    <s v="For Lease"/>
    <x v="0"/>
    <s v="Aug 2024: change from Q4 2025 to Q2 2026 based on inspection_x000a_1 Jun 2022: Judy: resumed construction, mid 2024 OP"/>
    <x v="170"/>
    <s v="LAND002"/>
    <n v="22.286149999999999"/>
    <n v="114.15299"/>
    <m/>
  </r>
  <r>
    <m/>
    <x v="175"/>
    <s v="31-37 Hankow Road"/>
    <m/>
    <x v="6"/>
    <x v="5"/>
    <x v="1"/>
    <x v="1"/>
    <x v="18"/>
    <x v="2"/>
    <s v="2026 Q3"/>
    <x v="1"/>
    <x v="2"/>
    <n v="1"/>
    <n v="21"/>
    <n v="19"/>
    <n v="7305"/>
    <x v="162"/>
    <x v="1"/>
    <n v="13396.166816860061"/>
    <n v="144195"/>
    <n v="12894.48991536525"/>
    <n v="138795"/>
    <n v="9670.8674365239367"/>
    <n v="97156.5"/>
    <m/>
    <m/>
    <m/>
    <n v="0"/>
    <n v="0"/>
    <n v="97156.5"/>
    <n v="0"/>
    <s v="Commercial"/>
    <s v="Plans Approved"/>
    <s v="BD Monthly Digest"/>
    <d v="2023-04-01T00:00:00"/>
    <d v="2023-04-01T00:00:00"/>
    <s v="Redevelopment"/>
    <x v="100"/>
    <x v="0"/>
    <s v="Uncertain"/>
    <x v="2"/>
    <s v="Nov 2025: 1 retail floor (6300sf), 19 medical/office floors, Sep 2026_x000a_Dec 2023: bare site_x000a_4 Sep 2023: Q4 2025 according to landlord"/>
    <x v="171"/>
    <m/>
    <m/>
    <m/>
    <m/>
  </r>
  <r>
    <m/>
    <x v="176"/>
    <s v="49-53 Queen's Road Central &amp;_x000a_1 Li Yuen Street West"/>
    <m/>
    <x v="12"/>
    <x v="9"/>
    <x v="8"/>
    <x v="0"/>
    <x v="18"/>
    <x v="4"/>
    <s v="2026"/>
    <x v="1"/>
    <x v="1"/>
    <n v="1"/>
    <s v="24 + 1LG"/>
    <n v="24"/>
    <m/>
    <x v="41"/>
    <x v="2"/>
    <n v="4205"/>
    <n v="45262.241549999999"/>
    <n v="4205"/>
    <n v="45262.199499999995"/>
    <n v="3153.75"/>
    <n v="33946.649624999998"/>
    <m/>
    <m/>
    <m/>
    <n v="0"/>
    <n v="0"/>
    <n v="33946.649624999998"/>
    <n v="0"/>
    <s v="Commercial"/>
    <m/>
    <s v="Building Digest"/>
    <m/>
    <d v="2022-08-01T00:00:00"/>
    <s v="Redevelopment"/>
    <x v="116"/>
    <x v="0"/>
    <s v="Uncertain"/>
    <x v="2"/>
    <m/>
    <x v="172"/>
    <m/>
    <m/>
    <m/>
    <m/>
  </r>
  <r>
    <m/>
    <x v="177"/>
    <s v="199-203 Hennessy Road"/>
    <m/>
    <x v="11"/>
    <x v="8"/>
    <x v="7"/>
    <x v="0"/>
    <x v="18"/>
    <x v="4"/>
    <s v="2026"/>
    <x v="1"/>
    <x v="2"/>
    <n v="1"/>
    <n v="27"/>
    <m/>
    <n v="5820.4792592592594"/>
    <x v="163"/>
    <x v="1"/>
    <n v="11210.2"/>
    <n v="120665.47178000001"/>
    <n v="11210.095854700856"/>
    <n v="120665.47178000001"/>
    <n v="8407.5718910256419"/>
    <n v="90499.103835000002"/>
    <m/>
    <m/>
    <m/>
    <n v="90499.103835000002"/>
    <n v="0"/>
    <n v="0"/>
    <n v="0"/>
    <s v="Commercial"/>
    <s v="Work Received"/>
    <s v="BD Monthly Digest"/>
    <d v="2019-09-01T00:00:00"/>
    <d v="2020-06-26T00:00:00"/>
    <s v="Redevelopment"/>
    <x v="117"/>
    <x v="0"/>
    <s v="For Lease"/>
    <x v="0"/>
    <m/>
    <x v="173"/>
    <m/>
    <n v="22.2779713260352"/>
    <n v="114.174527281596"/>
    <s v="MultiPolygon (((114.17446926 22.2780452, 114.17461677 22.27806021, 114.17463628 22.27790666, 114.17445 22.27788612, 114.1744392 22.27797663, 114.17446401 22.27797915, 114.17445605 22.27804385, 114.17446926 22.2780452)))"/>
  </r>
  <r>
    <m/>
    <x v="178"/>
    <s v="822 Lai Chi Kok Road"/>
    <m/>
    <x v="7"/>
    <x v="4"/>
    <x v="4"/>
    <x v="1"/>
    <x v="18"/>
    <x v="4"/>
    <s v="2026"/>
    <x v="0"/>
    <x v="1"/>
    <n v="1"/>
    <n v="27"/>
    <n v="21"/>
    <n v="9223.6006420999984"/>
    <x v="164"/>
    <x v="1"/>
    <n v="18983.5"/>
    <n v="204336.49565"/>
    <n v="17994.928741822201"/>
    <n v="193695.61348409997"/>
    <n v="13496.196556366651"/>
    <n v="145271.71011307498"/>
    <m/>
    <m/>
    <m/>
    <n v="145271.71011307498"/>
    <n v="0"/>
    <n v="0"/>
    <n v="0"/>
    <s v="Commercial"/>
    <s v="Plans Approved"/>
    <s v="BD Monthly Digest"/>
    <d v="2021-02-01T00:00:00"/>
    <d v="2021-05-01T00:00:00"/>
    <s v="Redevelopment"/>
    <x v="115"/>
    <x v="0"/>
    <s v="For Lease"/>
    <x v="0"/>
    <s v="A/K5/813_x000a_KLNOS (Jul-23): Not going to redevelop in next six years"/>
    <x v="174"/>
    <m/>
    <n v="22.335809999999999"/>
    <n v="114.14801"/>
    <s v="MultiPolygon (((114.14768971 22.3358267, 114.14774832 22.33584581, 114.14781699 22.3358682, 114.14783555 22.3358586, 114.14797038 22.33592087, 114.14814896 22.33598302, 114.14819151 22.33596614, 114.14825185 22.33583315, 114.1482329 22.33579478, 114.14806374 22.33572118, 114.1479227 22.33567197, 114.14791309 22.33565702, 114.14783852 22.3356241, 114.1477808 22.33559862, 114.14774679 22.33568644, 114.14773763 22.33570882, 114.14768971 22.3358267)))"/>
  </r>
  <r>
    <m/>
    <x v="179"/>
    <s v="348 Nathan Road"/>
    <m/>
    <x v="21"/>
    <x v="4"/>
    <x v="4"/>
    <x v="1"/>
    <x v="18"/>
    <x v="4"/>
    <s v="2026"/>
    <x v="1"/>
    <x v="2"/>
    <n v="1"/>
    <s v="17 + 3 podium levels + 3 basement levels"/>
    <n v="17"/>
    <n v="3735.3582267647057"/>
    <x v="165"/>
    <x v="1"/>
    <n v="23597.8"/>
    <n v="254004.35941999999"/>
    <n v="5899.45"/>
    <n v="63501.089854999998"/>
    <n v="4424.5874999999996"/>
    <n v="47625.817391249999"/>
    <m/>
    <m/>
    <m/>
    <n v="0"/>
    <n v="47625.817391249999"/>
    <n v="0"/>
    <n v="0"/>
    <s v="Commercial"/>
    <s v="Plans Approved"/>
    <s v="BD Monthly Digest"/>
    <d v="2020-12-01T00:00:00"/>
    <d v="2021-02-01T00:00:00"/>
    <s v="Redevelopment"/>
    <x v="118"/>
    <x v="0"/>
    <s v="For Sale"/>
    <x v="0"/>
    <m/>
    <x v="175"/>
    <m/>
    <n v="22.30724"/>
    <n v="114.17195"/>
    <s v="MultiPolygon (((114.17227747 22.30730215, 114.17228135 22.30726291, 114.17229029 22.30717188, 114.17229039 22.30717086, 114.17229039 22.30716996, 114.17229032 22.30716906, 114.17229015 22.30716817, 114.1722899 22.30716729, 114.17228957 22.30716644, 114.17228916 22.30716563, 114.17228868 22.30716484, 114.17228812 22.3071641, 114.1722875 22.30716341, 114.17228681 22.30716277, 114.17228607 22.3071622, 114.17228527 22.30716168, 114.17228443 22.30716123, 114.17228355 22.30716085, 114.17228264 22.30716055, 114.1722817 22.30716032, 114.17228074 22.30716017, 114.17227976 22.30716008, 114.17161521 22.3071025, 114.17161415 22.30710241, 114.17161318 22.3071024, 114.17161222 22.30710248, 114.17161126 22.30710263, 114.17161032 22.30710286, 114.17160941 22.30710317, 114.17160853 22.30710355, 114.17160769 22.307104, 114.17160689 22.30710451, 114.17160615 22.3071051, 114.17160546 22.30710573, 114.17160484 22.30710643, 114.17160429 22.30710717, 114.1716038 22.30710795, 114.1716034 22.30710877, 114.17160307 22.30710962, 114.17160282 22.30711049, 114.17160266 22.30711138, 114.17160258 22.30711229, 114.17159767 22.30716338, 114.17158997 22.30724361, 114.17158991 22.30724463, 114.1715899 22.30724553, 114.17158998 22.30724643, 114.17159015 22.30724732, 114.1715904 22.30724819, 114.17159073 22.30724904, 114.17159113 22.30724986, 114.17159162 22.30725064, 114.17159217 22.30725138, 114.1715928 22.30725207, 114.17159349 22.30725271, 114.17159423 22.30725329, 114.17159503 22.30725381, 114.17159587 22.30725425, 114.17159675 22.30725463, 114.17159766 22.30725494, 114.1715986 22.30725517, 114.17159956 22.30725532, 114.17160053 22.30725539, 114.1722648 22.30731195, 114.17226588 22.30731205, 114.17226685 22.30731205, 114.17226782 22.30731198, 114.17226878 22.30731182, 114.17226972 22.30731159, 114.17227063 22.30731129, 114.17227151 22.30731091, 114.17227235 22.30731046, 114.17227314 22.30730994, 114.17227389 22.30730936, 114.17227457 22.30730872, 114.17227519 22.30730803, 114.17227575 22.30730728, 114.17227623 22.3073065, 114.17227664 22.30730568, 114.17227697 22.30730483, 114.17227721 22.30730396, 114.17227737 22.30730307, 114.17227747 22.30730215)))"/>
  </r>
  <r>
    <m/>
    <x v="180"/>
    <s v="132 Wai Yip Street"/>
    <m/>
    <x v="4"/>
    <x v="3"/>
    <x v="3"/>
    <x v="1"/>
    <x v="19"/>
    <x v="4"/>
    <s v="2027"/>
    <x v="1"/>
    <x v="2"/>
    <n v="1"/>
    <n v="16"/>
    <n v="16"/>
    <m/>
    <x v="41"/>
    <x v="2"/>
    <m/>
    <m/>
    <n v="4596.3"/>
    <n v="49474.113570000001"/>
    <n v="3447.2250000000004"/>
    <n v="37105.585177500005"/>
    <m/>
    <m/>
    <m/>
    <n v="0"/>
    <n v="0"/>
    <n v="37105.585177500005"/>
    <n v="0"/>
    <s v="Commercial"/>
    <m/>
    <s v="Lands Department"/>
    <d v="2021-09-20T00:00:00"/>
    <d v="2021-09-20T00:00:00"/>
    <s v="Redevelopment"/>
    <x v="119"/>
    <x v="0"/>
    <s v="Uncertain"/>
    <x v="2"/>
    <m/>
    <x v="176"/>
    <m/>
    <n v="22.312617033809801"/>
    <n v="114.21845629039299"/>
    <s v="MultiPolygon (((114.21844689 22.31277896, 114.21855308 22.31268239, 114.21838814 22.31252642, 114.21836735 22.31254533, 114.21828209 22.31262284, 114.21844689 22.31277896)))"/>
  </r>
  <r>
    <m/>
    <x v="181"/>
    <s v="13 Hok Yuen Street"/>
    <m/>
    <x v="15"/>
    <x v="4"/>
    <x v="4"/>
    <x v="1"/>
    <x v="19"/>
    <x v="1"/>
    <s v="2027 Q2"/>
    <x v="0"/>
    <x v="2"/>
    <n v="2"/>
    <n v="38"/>
    <n v="62"/>
    <s v="11,000/5,200"/>
    <x v="166"/>
    <x v="1"/>
    <n v="47277.3"/>
    <n v="508888.12946999999"/>
    <n v="47007.3"/>
    <n v="505981.87647000002"/>
    <n v="35255.475000000006"/>
    <n v="379486.40735250001"/>
    <m/>
    <m/>
    <m/>
    <n v="379486.40735250001"/>
    <n v="0"/>
    <n v="0"/>
    <n v="0"/>
    <s v="Commercial"/>
    <m/>
    <s v="Town Planning Board"/>
    <d v="2019-03-08T00:00:00"/>
    <d v="2019-03-08T00:00:00"/>
    <s v="Redevelopment"/>
    <x v="103"/>
    <x v="0"/>
    <s v="For Lease"/>
    <x v="0"/>
    <s v="Aug 2025: only has superstructure, pushing to 2027_x000a_Jul 2023: still have no superstructure_x000a_Dec 2023: bare site_x000a_A/K9/274"/>
    <x v="177"/>
    <m/>
    <n v="22.310189999999999"/>
    <n v="114.18854"/>
    <s v="MultiPolygon (((114.18837529 22.31033689, 114.18837531 22.31033859, 114.1883764 22.31042327, 114.18837664 22.31044227, 114.18837731 22.31049441, 114.18837799 22.31054699, 114.18873768 22.31054234, 114.18873558 22.31042324, 114.18872727 22.30997003, 114.18872498 22.30984539, 114.18871528 22.30984546, 114.18869794 22.30984558, 114.18838471 22.30984787, 114.18835411 22.30984809, 114.18835535 22.30993126, 114.18835604 22.30997722, 114.18835664 22.31001793, 114.18835786 22.31009928, 114.18836011 22.31025053, 114.18837418 22.31025028, 114.18837529 22.31033689)))"/>
  </r>
  <r>
    <m/>
    <x v="182"/>
    <s v="West Kowloon Cultural District, OU(MU)2"/>
    <m/>
    <x v="1"/>
    <x v="1"/>
    <x v="1"/>
    <x v="1"/>
    <x v="19"/>
    <x v="0"/>
    <s v="2027 Q1"/>
    <x v="0"/>
    <x v="2"/>
    <n v="3"/>
    <n v="48"/>
    <n v="39"/>
    <n v="17231.899910256408"/>
    <x v="167"/>
    <x v="1"/>
    <n v="65000"/>
    <n v="699654.14999999991"/>
    <n v="62435"/>
    <n v="672044.09649999999"/>
    <n v="46826.25"/>
    <n v="504033.07237499999"/>
    <n v="187500"/>
    <m/>
    <m/>
    <n v="316533.07237499999"/>
    <n v="0"/>
    <n v="0"/>
    <n v="0.37199939900074697"/>
    <s v="Commercial"/>
    <m/>
    <m/>
    <d v="2021-06-01T00:00:00"/>
    <d v="2021-06-01T00:00:00"/>
    <s v="Site"/>
    <x v="1"/>
    <x v="1"/>
    <s v="For Lease"/>
    <x v="0"/>
    <s v="May 2024: Judy: According to SHK OP of Artist Square postponed to Jan 2027_x000a_2024: delay to end-2026, foundation problem_x000a_Aug 2022: tender cancelled, push to 2026_x000a_Jan 2022: WKCD Authority expects 2025_x000a_Aug 2021: Closed EOI"/>
    <x v="178"/>
    <s v="LAND095"/>
    <n v="22.301960000000001"/>
    <n v="114.16045"/>
    <s v="MULTIPOLYGON (((114.16050717011 22.3011525872772,114.16050716943 22.3011525960368,114.160499260688 22.3012576971427,114.160484749212 22.3014505327069,114.160476814473 22.3015560780211,114.160476622021 22.301558637368,114.160803494104 22.3015799303963,114.160818870092 22.3013755788719,114.160818870286 22.3013755758015,114.160854332625 22.3009042615074,114.160527465904 22.3008828545245,114.16050717011 22.3011525872772)),((114.159903824429 22.3024700120673,114.159944335782 22.3024544196975,114.159998315961 22.3024369239785,114.16005351866 22.3024216950517,114.160082498203 22.3024155401609,114.160109322642 22.3024098436173,114.160165727976 22.3024008188073,114.160254285482 22.302390108541,114.160401072585 22.3023720622444,114.160744623183 22.3023635625572,114.160744623197 22.3023635625568,114.160793520975 22.301724118874,114.160465784453 22.3017027755285,114.160465771448 22.3017027749853,114.160449513501 22.301918983213,114.159674681899 22.3018684671629,114.159654657581 22.3021344707928,114.159616095955 22.3026468817474,114.159646494255 22.3026237124175,114.159694421628 22.3025825108004,114.159716259159 22.3025684072881,114.159741124861 22.302552037408,114.159789652304 22.3025238218468,114.159840003957 22.3024978641152,114.159891558645 22.3024747330754,114.159900069081 22.3024714574766,114.159903824429 22.3024700120673)))"/>
  </r>
  <r>
    <m/>
    <x v="183"/>
    <s v="63 Wong Chuk Hang Road"/>
    <m/>
    <x v="9"/>
    <x v="7"/>
    <x v="6"/>
    <x v="0"/>
    <x v="19"/>
    <x v="3"/>
    <s v="2027 Q4"/>
    <x v="0"/>
    <x v="3"/>
    <m/>
    <m/>
    <m/>
    <n v="17600"/>
    <x v="168"/>
    <x v="1"/>
    <m/>
    <m/>
    <n v="25418.296342403777"/>
    <n v="273600"/>
    <n v="19063.722256802834"/>
    <n v="205200"/>
    <m/>
    <m/>
    <m/>
    <n v="205200"/>
    <n v="0"/>
    <n v="0"/>
    <n v="0"/>
    <s v="Commercial"/>
    <m/>
    <s v="Empire Group"/>
    <m/>
    <d v="2018-02-07T00:00:00"/>
    <s v="Redevelopment"/>
    <x v="85"/>
    <x v="0"/>
    <s v="For Lease"/>
    <x v="0"/>
    <s v="23 July 2024: Judy said Empire said they will not redevelop and keep as industrial_x000a_17 Nov 2021: Paid land premium"/>
    <x v="179"/>
    <m/>
    <n v="22.250070000000001"/>
    <n v="114.16878"/>
    <s v="MultiPolygon (((114.16867122 22.24985833, 114.16853823 22.25009661, 114.16848368 22.25019435, 114.16881952 22.2503571, 114.16883126 22.25036225, 114.16884378 22.25036523, 114.16900387 22.25001963, 114.16867122 22.24985833)))"/>
  </r>
  <r>
    <m/>
    <x v="184"/>
    <m/>
    <s v="TCTL 45"/>
    <x v="17"/>
    <x v="2"/>
    <x v="2"/>
    <x v="2"/>
    <x v="19"/>
    <x v="3"/>
    <s v="2027 Q4"/>
    <x v="0"/>
    <x v="2"/>
    <n v="1"/>
    <n v="29"/>
    <n v="22"/>
    <n v="16300"/>
    <x v="169"/>
    <x v="1"/>
    <n v="117183.43984667283"/>
    <n v="1261352"/>
    <n v="53507.693765555458"/>
    <n v="575952"/>
    <n v="40130.770324166595"/>
    <n v="431964"/>
    <m/>
    <m/>
    <m/>
    <n v="431964"/>
    <n v="0"/>
    <n v="0"/>
    <n v="0"/>
    <s v="Commercial"/>
    <m/>
    <s v="Judy Wai"/>
    <d v="2022-04-01T00:00:00"/>
    <d v="2022-09-01T00:00:00"/>
    <s v="Site"/>
    <x v="42"/>
    <x v="0"/>
    <s v="For Lease"/>
    <x v="0"/>
    <s v="Aug 2024: updated building info based on landlord slides from Judy_x000a_Will build an office, retail and data centre mix"/>
    <x v="180"/>
    <s v="LAND084"/>
    <n v="22.296994609029099"/>
    <n v="113.955869612988"/>
    <s v="MultiPolygon (((113.95628347553157766 22.29757413836986046, 113.95631185320743839 22.29753576992289865, 113.95632090736192765 22.29752343743782816, 113.95633011715338512 22.29751087036889601, 113.95634689329014577 22.29748790133315239, 113.95637032183880422 22.29745562178541718, 113.95638750689211349 22.29743179539661924, 113.9563991971099739 22.29741552012887595, 113.95641805531462865 22.2973891403581419, 113.95643745841589123 22.29736183117641701, 113.95645707571389948 22.29733407075464058, 113.95648837448801771 22.29728940290397432, 113.9565179134106927 22.29724686387218568, 113.95655534130980868 22.29719237003795484, 113.95656992172321509 22.29717096931642217, 113.95660115490034059 22.29712476615659611, 113.95662793368443033 22.29708479707009161, 113.95663240821555462 22.29707808439744454, 113.95664729102497859 22.29705567265493471, 113.95666165842372664 22.29703394653501292, 113.95666969336016905 22.29702173907442742, 113.95665722502765504 22.29701440739556162, 113.95665027341925679 22.29701030711490617, 113.95664210992804044 22.29700546468277622, 113.95662801296612088 22.29699704712329478, 113.95660817652350261 22.29698511791218252, 113.95658677938301651 22.29697210291191567, 113.95656808735243715 22.29696062677768253, 113.95655529000308093 22.29695270765731863, 113.95653836273841364 22.29694214600285918, 113.9565234424348148 22.29693276104551813, 113.95650110580137948 22.29691858884547884, 113.95648401406674566 22.29690771089204304, 113.95646827958296399 22.29689770171473739, 113.95643711114507823 22.29687788243625235, 113.95642544842515065 22.2968704705586056, 113.95641830345216761 22.29686591847690025, 113.95639527854035578 22.29685129379890185, 113.95637652899560521 22.29683938409712241, 113.95635741104349847 22.29682724812839467, 113.95632782281393247 22.29680846949151274, 113.9563114484616051 22.29679808014557096, 113.95629014918594635 22.29678457758847898, 113.95626055124172638 22.29676581698729265, 113.95624141388685757 22.29675369000911545, 113.95622688152707269 22.2967444771327763, 113.95620914990219319 22.29673324608831564, 113.95619706058457155 22.29672559881947791, 113.95616974088498807 22.29670830425179773, 113.95615167961996406 22.29669688311082965, 113.95613412248643215 22.29668577872345736, 113.95611545045045432 22.29667397746385049, 113.95607484895558059 22.29664832056732138, 113.95606320559748781 22.29664096287346098, 113.95604650159283722 22.29663041050210026, 113.95603911420661802 22.29662574970704014, 113.95603608945211249 22.29662384014109833, 113.95601743093817504 22.29661579560607265, 113.95595664531730051 22.29658958744047936, 113.9559185912928001 22.29657317224622659, 113.95589756654331381 22.29656410402170152, 113.95586785259321516 22.29655129433728433, 113.95583090411464866 22.29653536827872173, 113.95579997797551641 22.29652202412737694, 113.95579648678022977 22.29652052029734222, 113.95574463287597666 22.29649816221072101, 113.95571845864063221 22.29648687445743604, 113.95568113198388005 22.29647078529930582, 113.95565031253553911 22.29645749544836519, 113.95562710582970567 22.29644748503553942, 113.95556466878954893 22.29641011268694228, 113.95534941154224384 22.29672150015027299, 113.95507668287989134 22.29722426589272288, 113.95509113633791287 22.29722811460513654, 113.95510648204243864 22.29723231672761941, 113.95512330195622042 22.29723706269704309, 113.95514017985514954 22.29724196226360178, 113.95515064597714172 22.2972450740471686, 113.95517220842215522 22.29725166872645659, 113.95519364439911669 22.29725846190269678, 113.95539109324261062 22.29730556400093278, 113.95540148929568147 22.29731003928877087, 113.95541231195744558 22.29731475898345749, 113.95542799298027603 22.29732172488750663, 113.95544092940376402 22.29732758531605441, 113.95545665848183603 22.29733484929170828, 113.95547282368919184 22.2973424750835747, 113.95548660320191914 22.2973490952264406, 113.95549876313840798 22.29735504489693199, 113.9555080138978127 22.29735963601323334, 113.95551634339668112 22.29736381046632943, 113.95552483765706597 22.29736812060226825, 113.95554188414962482 22.29737690350210144, 113.95556040415920052 22.29738667274152064, 113.95557863292636114 22.29739651382628196, 113.95559675469205274 22.29740651731338374, 113.9556209067820447 22.29742021349165171, 113.95562947766053696 22.29742517392758927, 113.95564023962505473 22.29743147387405955, 113.95578959304506839 22.29755928836902612, 113.95595689661270455 22.29767685037214164, 113.95595863707764295 22.29767470346562064, 113.95595965802627347 22.29767344057553302, 113.95596103871881155 22.2976717447077597, 113.95596287641208733 22.29766948053611841, 113.95596415987608907 22.29766790193339077, 113.9559655989084348 22.29766613390042096, 113.9559664156814307 22.29766511455776268, 113.95596786443229576 22.29766333750743712, 113.95596904093494572 22.29766189421761169, 113.95596990631504752 22.29766082075768807, 113.95597091754488872 22.29765956688486028, 113.9559716467795738 22.29765867385100364, 113.9559722399114321 22.29765793415160147, 113.95597299831607074 22.29765700503515546, 113.9559736400408525 22.29765622024902783, 113.95597435955691878 22.29765533623249851, 113.95597487491167499 22.2976546867329084, 113.95597587638025061 22.29765346896903466, 113.95597640143940055 22.29765281948265709, 113.95597714042099824 22.29765189937034009, 113.95597759740743982 22.29765134009698713, 113.95597887113831348 22.2976497795420201, 113.9559794837073099 22.29764902180789221, 113.95597988236799836 22.29764852566915323, 113.95598088386491042 22.29764728984415001, 113.95598165200217977 22.29764634267978352, 113.95598226457111934 22.29764558494563786, 113.95598370360301033 22.29764381691250819, 113.9559842967205725 22.29764308624360325, 113.95598483149821334 22.29764242773982375, 113.95598596912618916 22.29764102051925789, 113.95598653305957271 22.29764033496346798, 113.9559868539431875 22.29763992902454817, 113.95598788459568595 22.29763866614747769, 113.95598883748533581 22.29763748443969007, 113.95598947920994704 22.29763669965349138, 113.95599044180394799 22.29763551795891274, 113.95599094742580348 22.29763488650716496, 113.95599127799958694 22.29763448961200112, 113.95599238647166374 22.2976331094434066, 113.95599288234650714 22.29763250507008721, 113.95599391301311698 22.29763123316241646, 113.95599439918356666 22.29763062877589874, 113.95599534231193672 22.29762948317707227, 113.95599583821513079 22.29762886074266959, 113.95599679109047031 22.2976276880653792, 113.95599721892098444 22.29762715584400112, 113.95599756894610266 22.29762673188357525, 113.95600649487651879 22.29761573576625011, 113.95603272817774609 22.29758340590182186, 113.95606332720625176 22.29754569072241566, 113.95609534579601529 22.2975062345679973, 113.95611442275976799 22.29748272685211674, 113.9561238348269967 22.29747113537160885, 113.95614834272355154 22.29748694510897522, 113.95619105703649154 22.29751451030930198, 113.95622193429210256 22.29753442857463597, 113.95628347553157766 22.29757413836986046)))"/>
  </r>
  <r>
    <m/>
    <x v="185"/>
    <s v="11-21 Nanking Street"/>
    <m/>
    <x v="21"/>
    <x v="4"/>
    <x v="4"/>
    <x v="1"/>
    <x v="19"/>
    <x v="4"/>
    <s v="2027"/>
    <x v="1"/>
    <x v="2"/>
    <n v="1"/>
    <n v="21"/>
    <n v="21"/>
    <m/>
    <x v="41"/>
    <x v="2"/>
    <n v="10072.299999999999"/>
    <n v="108417.33069299998"/>
    <n v="10072.299999999999"/>
    <n v="108417.33069299998"/>
    <n v="7554.2249999999985"/>
    <n v="81312.998019749983"/>
    <m/>
    <m/>
    <m/>
    <n v="0"/>
    <n v="81312.998019749983"/>
    <n v="0"/>
    <n v="0"/>
    <s v="Commercial"/>
    <s v="Plans Approved"/>
    <s v="BD Digest"/>
    <d v="2023-10-01T00:00:00"/>
    <d v="2023-10-01T00:00:00"/>
    <s v="Redevelopment"/>
    <x v="100"/>
    <x v="0"/>
    <s v="For Sale"/>
    <x v="0"/>
    <m/>
    <x v="181"/>
    <m/>
    <n v="22.3060217048256"/>
    <n v="114.17208235608"/>
    <s v="POLYGON((114.1719710826874 22.30611680391931,114.17198047041894 22.305936895258142,114.1720421612263 22.305939376758502,114.1723304986954 22.30595302500963,114.17232379317286 22.30613913739211,114.1719710826874 22.30611680391931))"/>
  </r>
  <r>
    <m/>
    <x v="186"/>
    <s v="20 Kai Cheung Road"/>
    <m/>
    <x v="3"/>
    <x v="3"/>
    <x v="3"/>
    <x v="1"/>
    <x v="19"/>
    <x v="4"/>
    <s v="2027"/>
    <x v="0"/>
    <x v="1"/>
    <n v="2"/>
    <s v="30/30"/>
    <s v="28/28"/>
    <m/>
    <x v="170"/>
    <x v="1"/>
    <n v="137260.79999999999"/>
    <n v="1477462.8977279998"/>
    <n v="127400"/>
    <n v="1371322.1339999998"/>
    <n v="95550"/>
    <n v="1028491.6004999999"/>
    <m/>
    <m/>
    <m/>
    <n v="1028491.6004999999"/>
    <n v="0"/>
    <n v="0"/>
    <n v="0"/>
    <s v="Commercial"/>
    <m/>
    <s v="Town Planning Board"/>
    <d v="2021-09-01T00:00:00"/>
    <d v="2021-09-01T00:00:00"/>
    <s v="Redevelopment"/>
    <x v="120"/>
    <x v="0"/>
    <s v="For Lease"/>
    <x v="0"/>
    <s v="A/K13/317; existing building will be demolished in 2023_x000a_Nov-2021: CITIC decided to do conversion instead of redevelopment; they will redevelop the Skyway House instead"/>
    <x v="182"/>
    <m/>
    <n v="22.320212977735199"/>
    <n v="114.210776859517"/>
    <s v="MultiPolygon (((114.2105005332493306 22.3210530407643013, 114.21083755298455742 22.3210784471164061, 114.21099515698716687 22.31955373190802661, 114.21065813946832179 22.3195224466373574, 114.2105005332493306 22.3210530407643013)))"/>
  </r>
  <r>
    <m/>
    <x v="187"/>
    <s v="283 King's Road"/>
    <m/>
    <x v="16"/>
    <x v="0"/>
    <x v="0"/>
    <x v="0"/>
    <x v="19"/>
    <x v="3"/>
    <s v="2027 Q4"/>
    <x v="0"/>
    <x v="2"/>
    <m/>
    <m/>
    <n v="16"/>
    <n v="8500"/>
    <x v="171"/>
    <x v="1"/>
    <m/>
    <m/>
    <n v="13006.438186902516"/>
    <n v="140000"/>
    <n v="9754.8286401768873"/>
    <n v="105000"/>
    <m/>
    <m/>
    <m/>
    <n v="0"/>
    <n v="0"/>
    <n v="105000"/>
    <n v="0"/>
    <s v="Commercial"/>
    <m/>
    <m/>
    <d v="2018-11-21T00:00:00"/>
    <d v="2018-11-21T00:00:00"/>
    <s v="Redevelopment"/>
    <x v="59"/>
    <x v="0"/>
    <s v="Uncertain"/>
    <x v="0"/>
    <s v="Aug 2025: Applied to Land Tribunal to delay to Nov 2027_x000a_Jul 2025: Judy: 140k office, 8500sf floorplate, OP Q4 2026, open for both sale/lease_x000a_Residential and retail project"/>
    <x v="183"/>
    <s v="LAND079"/>
    <n v="22.2904071262091"/>
    <n v="114.195456744601"/>
    <m/>
  </r>
  <r>
    <m/>
    <x v="188"/>
    <s v="2 Yuen Shun Circuit, Yuen Chau Kok"/>
    <m/>
    <x v="14"/>
    <x v="2"/>
    <x v="2"/>
    <x v="2"/>
    <x v="19"/>
    <x v="4"/>
    <s v="2027"/>
    <x v="0"/>
    <x v="3"/>
    <n v="1"/>
    <s v="23 + 2 basements"/>
    <n v="21"/>
    <n v="21413.908388095238"/>
    <x v="172"/>
    <x v="0"/>
    <n v="46692.5"/>
    <n v="502593.40074999997"/>
    <n v="41777.801368463101"/>
    <n v="449692.07614999998"/>
    <n v="31333.351026347325"/>
    <n v="337269.05711249996"/>
    <m/>
    <m/>
    <m/>
    <n v="337269.05711249996"/>
    <n v="0"/>
    <n v="0"/>
    <n v="0"/>
    <s v="Commercial"/>
    <m/>
    <s v="Town Planning Board"/>
    <d v="2020-10-01T00:00:00"/>
    <d v="2020-10-01T00:00:00"/>
    <s v="Redevelopment"/>
    <x v="119"/>
    <x v="0"/>
    <s v="For Lease"/>
    <x v="0"/>
    <m/>
    <x v="184"/>
    <m/>
    <n v="22.286449999999999"/>
    <n v="114.13876999999999"/>
    <s v="MultiPolygon (((114.13883769 22.28640886, 114.13871305 22.286415, 114.13871638 22.28646178, 114.13871682 22.2864681, 114.13884469 22.28650208, 114.13883769 22.28640886)))"/>
  </r>
  <r>
    <m/>
    <x v="189"/>
    <s v="10 Ice House Street"/>
    <m/>
    <x v="8"/>
    <x v="6"/>
    <x v="5"/>
    <x v="0"/>
    <x v="20"/>
    <x v="3"/>
    <s v="2028 Q4"/>
    <x v="1"/>
    <x v="2"/>
    <n v="1"/>
    <s v="30 + 1 basement"/>
    <n v="30"/>
    <n v="5266.666666666667"/>
    <x v="173"/>
    <x v="1"/>
    <n v="14678.694525218556"/>
    <n v="158000"/>
    <n v="14678.694525218556"/>
    <n v="158000"/>
    <n v="11009.020893913916"/>
    <n v="118500"/>
    <m/>
    <m/>
    <m/>
    <n v="118500"/>
    <n v="0"/>
    <n v="0"/>
    <n v="0"/>
    <s v="Commercial"/>
    <s v="Plans Approved"/>
    <s v="BD Monthly Digest"/>
    <d v="2023-12-01T00:00:00"/>
    <d v="2024-05-07T00:00:00"/>
    <s v="Redevelopment"/>
    <x v="121"/>
    <x v="0"/>
    <s v="For Lease"/>
    <x v="0"/>
    <m/>
    <x v="185"/>
    <m/>
    <m/>
    <m/>
    <m/>
  </r>
  <r>
    <m/>
    <x v="190"/>
    <s v="470-472 Hennessy Road"/>
    <m/>
    <x v="10"/>
    <x v="8"/>
    <x v="7"/>
    <x v="0"/>
    <x v="19"/>
    <x v="4"/>
    <s v="2027"/>
    <x v="1"/>
    <x v="2"/>
    <n v="1"/>
    <n v="25"/>
    <n v="25"/>
    <n v="2139.4327640000001"/>
    <x v="174"/>
    <x v="1"/>
    <n v="4969"/>
    <n v="53485.819100000001"/>
    <n v="4969"/>
    <n v="53485.819100000001"/>
    <n v="3726.75"/>
    <n v="40114.364325000002"/>
    <m/>
    <m/>
    <m/>
    <n v="0"/>
    <n v="0"/>
    <n v="0"/>
    <n v="1"/>
    <s v="Commercial"/>
    <s v="Work Received"/>
    <s v="BD Monthly Digest"/>
    <d v="2023-10-01T00:00:00"/>
    <d v="2024-01-01T00:00:00"/>
    <s v="Redevelopment"/>
    <x v="122"/>
    <x v="0"/>
    <s v="Self-use"/>
    <x v="0"/>
    <s v="11 Jan 2024: BOC self-use"/>
    <x v="181"/>
    <m/>
    <n v="22.2795942899584"/>
    <n v="114.182325729852"/>
    <m/>
  </r>
  <r>
    <m/>
    <x v="191"/>
    <s v="2 Yip Fat Street"/>
    <m/>
    <x v="9"/>
    <x v="7"/>
    <x v="6"/>
    <x v="0"/>
    <x v="20"/>
    <x v="4"/>
    <s v="2028"/>
    <x v="1"/>
    <x v="2"/>
    <m/>
    <m/>
    <m/>
    <n v="5915"/>
    <x v="175"/>
    <x v="1"/>
    <m/>
    <m/>
    <n v="12681.277232229955"/>
    <n v="136500"/>
    <n v="9510.9579241724659"/>
    <n v="102375"/>
    <m/>
    <m/>
    <m/>
    <n v="0"/>
    <n v="0"/>
    <n v="102375"/>
    <n v="0"/>
    <s v="Commercial"/>
    <m/>
    <s v="HKET"/>
    <m/>
    <d v="2018-02-07T00:00:00"/>
    <s v="Redevelopment"/>
    <x v="123"/>
    <x v="0"/>
    <s v="Uncertain"/>
    <x v="2"/>
    <m/>
    <x v="186"/>
    <m/>
    <n v="22.248398875650899"/>
    <n v="114.167548866435"/>
    <s v="MultiPolygon (((114.16769325 22.24825768, 114.1675181 22.24821891, 114.16746226 22.2482485, 114.16741394 22.24843548, 114.16747414 22.24856114, 114.16759999 22.24862187, 114.16761413 22.24856626, 114.1676207 22.24854032, 114.16767809 22.24831726, 114.16769325 22.24825768)))"/>
  </r>
  <r>
    <m/>
    <x v="192"/>
    <s v="875-877 Lai Chi Kok Road and adjoining Government land"/>
    <m/>
    <x v="7"/>
    <x v="4"/>
    <x v="4"/>
    <x v="1"/>
    <x v="20"/>
    <x v="4"/>
    <s v="2028"/>
    <x v="1"/>
    <x v="2"/>
    <n v="1"/>
    <n v="9"/>
    <n v="9"/>
    <n v="3846.3359999999998"/>
    <x v="176"/>
    <x v="1"/>
    <m/>
    <m/>
    <n v="3216"/>
    <n v="34617.023999999998"/>
    <n v="2412"/>
    <n v="25962.767999999996"/>
    <m/>
    <m/>
    <m/>
    <n v="0"/>
    <n v="0"/>
    <n v="25962.767999999996"/>
    <n v="0"/>
    <s v="Commercial"/>
    <m/>
    <s v="TPB S.16 Broad Development Parameters of the Applied Use/Development in respect of Application No . A/K20/127"/>
    <d v="2016-10-21T00:00:00"/>
    <d v="2016-10-21T00:00:00"/>
    <s v="Redevelopment"/>
    <x v="124"/>
    <x v="0"/>
    <s v="Uncertain"/>
    <x v="2"/>
    <m/>
    <x v="187"/>
    <m/>
    <n v="22.334572119673801"/>
    <n v="114.14652967462899"/>
    <s v="MultiPolygon (((114.14663392 22.33465157, 114.14665386 22.33437355, 114.14645837 22.33436209, 114.14643935 22.33464017, 114.14663392 22.33465157)))"/>
  </r>
  <r>
    <m/>
    <x v="193"/>
    <s v="59-63 Chai Wan Kok Street"/>
    <m/>
    <x v="2"/>
    <x v="2"/>
    <x v="2"/>
    <x v="2"/>
    <x v="20"/>
    <x v="4"/>
    <s v="2028"/>
    <x v="1"/>
    <x v="2"/>
    <n v="1"/>
    <s v="22+2 basement levels"/>
    <n v="20"/>
    <n v="4268.8820107499996"/>
    <x v="177"/>
    <x v="1"/>
    <n v="10575.8"/>
    <n v="113836.85361999999"/>
    <n v="10575.8"/>
    <n v="85377.640214999992"/>
    <n v="7931.8499999999995"/>
    <n v="64033.230161249994"/>
    <m/>
    <m/>
    <m/>
    <n v="0"/>
    <n v="0"/>
    <n v="64033.230161249994"/>
    <n v="0"/>
    <s v="Commercial"/>
    <s v="Plans Approved"/>
    <s v="BD Monthly Digest"/>
    <d v="2019-06-01T00:00:00"/>
    <d v="2019-07-01T00:00:00"/>
    <s v="Redevelopment"/>
    <x v="24"/>
    <x v="0"/>
    <s v="Uncertain"/>
    <x v="2"/>
    <m/>
    <x v="188"/>
    <m/>
    <n v="22.3732436817833"/>
    <n v="114.108266566065"/>
    <s v="MultiPolygon (((114.10847117 22.37333388, 114.10830162 22.37307021, 114.10808601 22.37318681, 114.10811444 22.37323248, 114.10824615 22.37344403, 114.10825201 22.37345327, 114.10847117 22.37333388)))"/>
  </r>
  <r>
    <m/>
    <x v="194"/>
    <s v="Junction of On Sum Street and On Ping Street, Shek Mun, Sha Tin, New Territories"/>
    <m/>
    <x v="14"/>
    <x v="2"/>
    <x v="2"/>
    <x v="2"/>
    <x v="20"/>
    <x v="4"/>
    <s v="2028"/>
    <x v="0"/>
    <x v="3"/>
    <m/>
    <m/>
    <m/>
    <m/>
    <x v="41"/>
    <x v="2"/>
    <m/>
    <m/>
    <n v="40000"/>
    <n v="430560"/>
    <n v="30000"/>
    <n v="322920"/>
    <m/>
    <m/>
    <m/>
    <n v="0"/>
    <n v="0"/>
    <n v="322920"/>
    <n v="0"/>
    <s v="Commercial"/>
    <m/>
    <m/>
    <d v="2024-03-01T00:00:00"/>
    <m/>
    <s v="Site"/>
    <x v="24"/>
    <x v="1"/>
    <s v="Uncertain"/>
    <x v="2"/>
    <m/>
    <x v="189"/>
    <m/>
    <n v="22.392264346091199"/>
    <n v="114.207694249526"/>
    <s v="POLYGON((114.20733600854872 22.39226390278202,114.20775979757309 22.391760469241873,114.20811116695404 22.39211014494829,114.20809239149094 22.39220438364073,114.20768469572067 22.392539178479055,114.20759618282318 22.392539178479055,114.20733600854872 22.39226390278202))"/>
  </r>
  <r>
    <m/>
    <x v="195"/>
    <s v="3 Sham Mong Road"/>
    <m/>
    <x v="20"/>
    <x v="4"/>
    <x v="4"/>
    <x v="1"/>
    <x v="20"/>
    <x v="3"/>
    <s v="2028 Q4"/>
    <x v="0"/>
    <x v="2"/>
    <n v="1"/>
    <s v="19 + 4 basement and 4 podium level"/>
    <n v="19"/>
    <n v="17042.590508999998"/>
    <x v="178"/>
    <x v="1"/>
    <n v="32040"/>
    <n v="344875.35599999997"/>
    <n v="30082.89"/>
    <n v="323809.21967099997"/>
    <n v="22562.1675"/>
    <n v="242856.91475324996"/>
    <m/>
    <m/>
    <m/>
    <n v="242856.91475324996"/>
    <n v="0"/>
    <n v="0"/>
    <n v="0"/>
    <s v="Commercial"/>
    <m/>
    <s v="Town Planning Board"/>
    <d v="2019-09-20T00:00:00"/>
    <d v="2019-10-02T00:00:00"/>
    <s v="Redevelopment"/>
    <x v="120"/>
    <x v="0"/>
    <s v="For Lease"/>
    <x v="0"/>
    <s v="Sep 2026: Judy - OP end-2028; now only foundation work_x000a_Jun 2025: Judy's email: Target OP: mid 2028_x000a_Feb 2025: MC said CITIC said 2029_x000a_A/K3/583_x000a_Nov-2021: Kicking tenants out and will redevelop in 2022_x000a_Oct-2022: Redevelopment starts in Apr 2023"/>
    <x v="190"/>
    <m/>
    <n v="22.319939999999999"/>
    <n v="114.16012000000001"/>
    <s v="MultiPolygon (((114.16028067 22.31957686, 114.15995319 22.31957672, 114.15995318 22.3197059, 114.15995311 22.32016245, 114.1599531 22.32024081, 114.16031033 22.32024094, 114.16031062 22.31963337, 114.16028061 22.31963336, 114.16028067 22.31957686)))"/>
  </r>
  <r>
    <m/>
    <x v="196"/>
    <s v="Sai Yee Street"/>
    <m/>
    <x v="20"/>
    <x v="4"/>
    <x v="4"/>
    <x v="1"/>
    <x v="21"/>
    <x v="3"/>
    <s v="2029 Q4"/>
    <x v="0"/>
    <x v="2"/>
    <n v="1"/>
    <n v="56"/>
    <n v="53"/>
    <n v="22139.793520754716"/>
    <x v="179"/>
    <x v="0"/>
    <n v="141600"/>
    <n v="1524168.24"/>
    <n v="109013.37401871069"/>
    <n v="1173409.0566"/>
    <n v="81760.030514033017"/>
    <n v="880056.79245000007"/>
    <m/>
    <m/>
    <m/>
    <n v="0"/>
    <n v="0"/>
    <n v="880056.79245000007"/>
    <n v="0"/>
    <s v="Commercial"/>
    <m/>
    <s v="Planning Department"/>
    <d v="2016-03-22T00:00:00"/>
    <d v="2016-03-07T00:00:00"/>
    <s v="Redevelopment &amp; Site"/>
    <x v="1"/>
    <x v="1"/>
    <s v="Uncertain"/>
    <x v="2"/>
    <s v="Feb 2025: named as Green Heart https://ps.hket.com/article/3746050/%E6%97%BA%E8%A7%92%E8%A6%8F%E5%8A%83%E2%94%82%E6%96%B0%E5%9C%B0%E6%B4%97%E8%A1%A3%E8%A1%97%E9%A0%85%E7%9B%AE%E3%80%8CGreen%20Heart%E3%80%8D%E7%8D%B2%E6%89%B9%E5%87%86%20%20%E6%A8%93%E9%AB%98320%E7%B1%B3%E5%B0%87%E6%88%90%E7%82%BA%E6%97%BA%E8%A7%92%E6%96%B0%E5%9C%B0%E6%A8%99_x000a_8 Mar 2024: Gist application_x000a_Mar 2016 (RN): The car park is up for tender for 1 year._x000a_PlanD Study: Expected to be available in 2021"/>
    <x v="191"/>
    <s v="LAND091"/>
    <n v="22.320830000000001"/>
    <n v="114.17178"/>
    <m/>
  </r>
  <r>
    <m/>
    <x v="197"/>
    <s v="Kiu Cheong Road"/>
    <s v="Lot 636 S.B ss.5 in D.D. 124"/>
    <x v="19"/>
    <x v="2"/>
    <x v="2"/>
    <x v="2"/>
    <x v="22"/>
    <x v="4"/>
    <s v="2030"/>
    <x v="0"/>
    <x v="2"/>
    <n v="1"/>
    <n v="28"/>
    <n v="18"/>
    <n v="19774.664000000001"/>
    <x v="180"/>
    <x v="1"/>
    <n v="79567.899999999994"/>
    <n v="856460.91880999994"/>
    <n v="33068"/>
    <n v="355943.95199999999"/>
    <n v="24801"/>
    <n v="266957.96399999998"/>
    <m/>
    <m/>
    <m/>
    <n v="266957.96399999998"/>
    <n v="0"/>
    <n v="0"/>
    <n v="0"/>
    <s v="Commercial"/>
    <s v="Plans Approved"/>
    <s v="TPB Broad Development Parameters of the Applied Use /Development in respect of Application No . A / Y L - P S / 5 2 0"/>
    <d v="2023-02-01T00:00:00"/>
    <d v="2023-05-01T00:00:00"/>
    <s v="Site"/>
    <x v="1"/>
    <x v="0"/>
    <s v="For Lease"/>
    <x v="0"/>
    <s v="News: Completion date delayed to 2030_x000a_Jan 2025: MC said SHK said end-2027_x000a_Jul 2024: revised to 2028 as SHK suggest 2028/29 in news https://www.hk01.com/%E8%B2%A1%E7%B6%93%E5%BF%AB%E8%A8%8A/964094/%E6%96%B0%E5%9C%B0%E7%9C%8B%E5%A5%BD%E5%A4%A9%E6%B0%B4%E5%9C%8D%E5%8D%80%E5%89%8D%E6%99%AF-%E6%93%AC%E5%BB%BA%E8%BF%91%E7%99%BE%E8%90%AC%E5%91%8E%E5%95%86%E6%A5%AD%E9%A0%85%E7%9B%AE-%E6%96%99%E6%88%90%E5%A4%A7%E7%81%A3%E5%8D%80%E4%B8%AD%E4%BB%8B%E6%A8%9E%E7%B4%90_x000a_Mar 2017: SHK applied change of land use to TPB, gist saved: I:\CBRE Research\Hong Kong\02. Databases\Office Database\Supply info\Sun Hung Kai Kiu Tau Wai_x000a_A/YL-PS/520_x000a_Paid land premium to commercial use"/>
    <x v="192"/>
    <s v="LAND119"/>
    <n v="22.445430000000002"/>
    <n v="114.00017"/>
    <s v="MULTIPOLYGON (((113.999922478639 22.4460249299361,114.000952876936 22.4458713609591,114.001388814677 22.4458267764174,114.001656321927 22.4458664071212,114.001938690691 22.4460199760981,114.002349859242 22.4461537297232,114.002389489946 22.4459852992324,114.001884198473 22.4455840383571,114.001388814677 22.4452025928337,114.000809215635 22.444860778014,114.00038318557 22.4446428091435,113.999729278958 22.4443257635136,113.999922478639 22.4460249299361)))"/>
  </r>
  <r>
    <m/>
    <x v="198"/>
    <s v="1067 King's Road"/>
    <m/>
    <x v="0"/>
    <x v="0"/>
    <x v="0"/>
    <x v="0"/>
    <x v="22"/>
    <x v="3"/>
    <s v="2030 Q4"/>
    <x v="0"/>
    <x v="2"/>
    <m/>
    <m/>
    <m/>
    <m/>
    <x v="41"/>
    <x v="2"/>
    <m/>
    <m/>
    <n v="72375.975473801562"/>
    <n v="779055"/>
    <n v="65138.37792642141"/>
    <n v="701149.5"/>
    <m/>
    <m/>
    <m/>
    <n v="701149.5"/>
    <n v="0"/>
    <n v="0"/>
    <n v="0"/>
    <s v="Commercial"/>
    <m/>
    <s v="HKET"/>
    <d v="2018-02-03T00:00:00"/>
    <d v="2018-02-06T00:00:00"/>
    <s v="Redevelopment"/>
    <x v="125"/>
    <x v="0"/>
    <s v="For Lease"/>
    <x v="0"/>
    <s v="May 2024: Ellen Li said they will merge the site with Cheung Wah Industrial Buildings, TBC_x000a_Feb 2018: Swire has acquired 87% of Zung Fu and 82% of Wah Ha, and has applied compulsory sale through Land Tribunal"/>
    <x v="193"/>
    <s v="LAND107"/>
    <n v="22.285209999999999"/>
    <n v="114.21469999999999"/>
    <m/>
  </r>
  <r>
    <m/>
    <x v="199"/>
    <s v="Man Yiu Street, New Central Harbourfront, Hong Kong"/>
    <s v="IL 9088"/>
    <x v="8"/>
    <x v="6"/>
    <x v="5"/>
    <x v="0"/>
    <x v="23"/>
    <x v="3"/>
    <s v="2032 Q4"/>
    <x v="0"/>
    <x v="2"/>
    <n v="1"/>
    <n v="6"/>
    <n v="6"/>
    <n v="55000"/>
    <x v="181"/>
    <x v="0"/>
    <n v="91974.098607382082"/>
    <n v="990000"/>
    <n v="30658.032869127361"/>
    <n v="330000"/>
    <n v="27592.229582214626"/>
    <n v="297000"/>
    <m/>
    <m/>
    <m/>
    <n v="297000"/>
    <n v="0"/>
    <n v="0"/>
    <n v="0"/>
    <s v="Commercial"/>
    <m/>
    <s v="Central Reclamation website of Planning Department"/>
    <m/>
    <d v="2016-03-02T00:00:00"/>
    <s v="Redevelopment &amp; Site"/>
    <x v="57"/>
    <x v="1"/>
    <s v="For Lease"/>
    <x v="0"/>
    <s v="Nov 2025: Renamed to Central Yards, according to Henderson Land (https://www.hld.com/en/our-news/press-releases/henderson-land-reinvents-central-with-its-global-harbourfront-icon-central-yardsset-to-become-hong-kongs-most-sustainable-district-for-commerce-culture-and-lifestyle-launching-2027)_x000a_Nov 2022: TPB plan submitted_x000a_Aug 2021: As Site 3A delayed, Site 3B will be available after the relocation of GPO to 3A_x000a_Aug 2011 (Cynthia): No official programme indicated / announced.  Outisde GPO, in front of ferry pier._x000a_No official programme yet/ http://www.pland.gov.hk/p_study/prog_s/UDS/eng_v1/images_eng/OI07_eng.jpg_x000a_Site 3 Total Area:157,400 sm (including 103,400/ 104,200 sm for retail; 44,800/44,000 sm for office; 3,800 sm for 150 public car parking spaces; 5,400 sm for mini-bus, taxi and coach facilities)_x000a_https://www.hld.com/en/press/pressdetail.shtml?region=hk&amp;id=426"/>
    <x v="194"/>
    <s v="LAND108"/>
    <n v="22.2834"/>
    <n v="114.15993"/>
    <s v="MULTIPOLYGON (((114.159717423569 22.2844528649711,114.159125479951 22.2836116819351,114.160036761573 22.283113203099,114.159849832009 22.282482315822,114.160535240409 22.2822564425994,114.16101035305 22.2837830340351,114.159717423569 22.2844528649711)))"/>
  </r>
  <r>
    <m/>
    <x v="200"/>
    <s v="852-858 King's Road"/>
    <m/>
    <x v="0"/>
    <x v="0"/>
    <x v="0"/>
    <x v="0"/>
    <x v="24"/>
    <x v="4"/>
    <s v="2022-2026"/>
    <x v="0"/>
    <x v="1"/>
    <n v="1"/>
    <m/>
    <m/>
    <m/>
    <x v="41"/>
    <x v="2"/>
    <m/>
    <m/>
    <n v="23010.033444816054"/>
    <n v="247680"/>
    <n v="17257.525083612039"/>
    <n v="185760"/>
    <m/>
    <m/>
    <m/>
    <n v="185760"/>
    <n v="0"/>
    <n v="0"/>
    <n v="0"/>
    <s v="Commercial"/>
    <m/>
    <m/>
    <m/>
    <d v="2016-03-07T00:00:00"/>
    <s v="Redevelopment"/>
    <x v="57"/>
    <x v="0"/>
    <s v="For Lease"/>
    <x v="0"/>
    <s v="Jul 2016: A C/R plan has been approved by BD in May 2016 Monthly Digest_x000a__x000a_Dec 2014: Henderson planning to combine the site with the other next to it_x000a_http://www.hket.com/eti/article/774547f1-4626-4cd6-a4ca-78beef0ed70b-563472?section=008_x000a__x000a_Aug 2014 (Jerry): Last phase of compulsory sales has already completed, sold by HK$850mil. According to LL interview, Mansion Building has not completed purchase yet"/>
    <x v="195"/>
    <s v="LAND033"/>
    <m/>
    <m/>
    <m/>
  </r>
  <r>
    <m/>
    <x v="201"/>
    <s v="Action Area 1"/>
    <m/>
    <x v="3"/>
    <x v="3"/>
    <x v="3"/>
    <x v="1"/>
    <x v="24"/>
    <x v="4"/>
    <s v="2022-2026"/>
    <x v="0"/>
    <x v="1"/>
    <n v="5"/>
    <m/>
    <m/>
    <m/>
    <x v="41"/>
    <x v="2"/>
    <m/>
    <m/>
    <n v="287596.79999999999"/>
    <n v="3095691.9551999997"/>
    <n v="215697.59999999998"/>
    <n v="2321768.9663999998"/>
    <m/>
    <m/>
    <m/>
    <n v="0"/>
    <n v="0"/>
    <n v="2321768.9663999998"/>
    <n v="0"/>
    <s v="Commercial"/>
    <m/>
    <m/>
    <m/>
    <d v="2016-03-04T00:00:00"/>
    <s v="Redevelopment &amp; Site"/>
    <x v="24"/>
    <x v="1"/>
    <s v="Uncertain"/>
    <x v="2"/>
    <s v="May 2016: (Ming Pao) Car testing centre will relocate to Tsing Yi. The new centre in Tsing Yi will begin construction in 2016 Q3 and in operation by 2019 Q4. The centre in Action Area 1 will be demolition by 2021 Q3._x000a_May 2016: (Kwun Tong District Council Meeting) The plan is saved:_x000a_I:\CBRE Research\Hong Kong\01. Powerpoint Presentation\Standard Slides Library\Office\Long-term Commercial Land Supply Master\Kowloon Bay Action Area.pdf_x000a_Jan 2016 (Policy Address): The commercial floor area that can be provided by the two action areas in Kwun Tong and Kowloon Bay will increase from 500 000 or so square metres to about 560 000 square metres. Assume half in Action Area 1 half in Action Area 2"/>
    <x v="196"/>
    <s v="LAND009"/>
    <m/>
    <m/>
    <m/>
  </r>
  <r>
    <m/>
    <x v="202"/>
    <s v="Junction of Wang Chin Street, Wang Kee Street &amp; Lam Lee Street"/>
    <m/>
    <x v="3"/>
    <x v="3"/>
    <x v="3"/>
    <x v="1"/>
    <x v="24"/>
    <x v="4"/>
    <s v="2022-2026"/>
    <x v="0"/>
    <x v="1"/>
    <n v="1"/>
    <n v="35"/>
    <n v="35"/>
    <n v="25508.83474285714"/>
    <x v="182"/>
    <x v="0"/>
    <m/>
    <m/>
    <n v="82944"/>
    <n v="892809.2159999999"/>
    <n v="62208"/>
    <n v="669606.91199999989"/>
    <m/>
    <m/>
    <m/>
    <n v="0"/>
    <n v="0"/>
    <n v="669606.91199999989"/>
    <n v="0"/>
    <s v="Commercial"/>
    <m/>
    <m/>
    <m/>
    <d v="2016-03-04T00:00:00"/>
    <s v="Site"/>
    <x v="24"/>
    <x v="1"/>
    <s v="Uncertain"/>
    <x v="2"/>
    <s v="14Oct2011: One of nine sites announced in CBD2-Kowloon East by Ms Carrie Lam. 18Oct2011: (HKET) - estimated price: 497 million ($4,004 psf)"/>
    <x v="197"/>
    <s v="LAND042"/>
    <m/>
    <m/>
    <m/>
  </r>
  <r>
    <m/>
    <x v="203"/>
    <s v="11 Middle Road"/>
    <m/>
    <x v="6"/>
    <x v="5"/>
    <x v="1"/>
    <x v="1"/>
    <x v="24"/>
    <x v="4"/>
    <s v="2022-2026"/>
    <x v="0"/>
    <x v="1"/>
    <n v="1"/>
    <m/>
    <m/>
    <m/>
    <x v="41"/>
    <x v="2"/>
    <m/>
    <m/>
    <n v="32256"/>
    <n v="347203.58399999997"/>
    <n v="24192"/>
    <n v="260402.68799999997"/>
    <m/>
    <m/>
    <m/>
    <n v="0"/>
    <n v="0"/>
    <n v="260402.68799999997"/>
    <n v="0"/>
    <s v="Commercial"/>
    <m/>
    <m/>
    <m/>
    <d v="2016-03-07T00:00:00"/>
    <s v="Redevelopment"/>
    <x v="125"/>
    <x v="0"/>
    <s v="Uncertain"/>
    <x v="2"/>
    <m/>
    <x v="198"/>
    <m/>
    <m/>
    <m/>
    <m/>
  </r>
  <r>
    <m/>
    <x v="204"/>
    <s v="Central Harbour Reclamation Site 5"/>
    <m/>
    <x v="22"/>
    <x v="9"/>
    <x v="8"/>
    <x v="0"/>
    <x v="25"/>
    <x v="4"/>
    <s v="2023-2027"/>
    <x v="0"/>
    <x v="1"/>
    <n v="1"/>
    <n v="30"/>
    <n v="30"/>
    <n v="8970"/>
    <x v="183"/>
    <x v="1"/>
    <m/>
    <m/>
    <n v="25000"/>
    <n v="269100"/>
    <n v="18750"/>
    <n v="201825"/>
    <m/>
    <m/>
    <m/>
    <n v="201825"/>
    <n v="0"/>
    <n v="0"/>
    <n v="0"/>
    <s v="Commercial"/>
    <m/>
    <s v="Central Reclamation website of Planning Department/ HKEJ &amp; HK Commercial Daily (4Nov09)"/>
    <d v="2009-11-10T00:00:00"/>
    <d v="2016-03-02T00:00:00"/>
    <s v="Site"/>
    <x v="24"/>
    <x v="1"/>
    <s v="For Lease"/>
    <x v="0"/>
    <s v="Potential only, No plans submitted.  Tamar zone, close to water._x000a_Site 5 is grouped to 'Admiralty' as it is in front of Citic Tower, Admiralty. See page 83 of final report. Site 1 Total Area: 34,200 sm (including 24,900 sm for hotel or office; 9,300 sm for retail) / The Bldg Limit has been lowered from 73mPD to 24mPD in the Policy Address 2009, may only for retail &amp; recreation use and have no office_x000a_Apr-2018: The Judiciary has recently accepted in principle for using Site 5 and the site south of Site 5 at the new Central Harbourfront for the development of the JCHC; and a portion of the Caroline Hill Road (CHR) site for the development of the DCC. Costing over $20 billion, these projects will fully address the long-term accommodation needs of courts."/>
    <x v="199"/>
    <m/>
    <m/>
    <m/>
    <m/>
  </r>
  <r>
    <m/>
    <x v="205"/>
    <s v="25-29 Kok Cheung Street"/>
    <m/>
    <x v="20"/>
    <x v="4"/>
    <x v="4"/>
    <x v="1"/>
    <x v="25"/>
    <x v="4"/>
    <s v="2023-2027"/>
    <x v="0"/>
    <x v="1"/>
    <n v="1"/>
    <n v="14"/>
    <n v="13"/>
    <n v="14164.655142857142"/>
    <x v="184"/>
    <x v="1"/>
    <m/>
    <m/>
    <n v="18423"/>
    <n v="198305.17199999999"/>
    <n v="13817.25"/>
    <n v="148728.87899999999"/>
    <m/>
    <m/>
    <m/>
    <n v="148728.87899999999"/>
    <n v="0"/>
    <n v="0"/>
    <n v="0"/>
    <s v="Commercial"/>
    <m/>
    <s v="TPB"/>
    <d v="2017-11-01T00:00:00"/>
    <d v="2018-03-20T00:00:00"/>
    <s v="Redevelopment"/>
    <x v="57"/>
    <x v="0"/>
    <s v="For Lease"/>
    <x v="0"/>
    <s v="Dec 2015 (TPB): 547th MPC MEETING ON 04.12.2015_x000a_After deliberation, the Committee decided to approve the application, on the terms of the application as submitted to the Town Planning Board (TPB). The permission should be valid until 4.12.2019, and after the said date, the permission should cease to have effect unless before the said date, the development permitted was commenced or the permission was renewed. The permission was subject to the following conditions :_x000a_(a) the provision of car parking and loading/unloading facilities to the satisfaction of the Commissioner for Transport or of the TPB;_x000a_(b) the submission of a sewerage impact assessment to the satisfaction of the Director of Environmental Protection or of the TPB; _x000a_(c) the implementation of the local sewerage upgrading/sewerage connection works identified in the sewerage impact assessment in planning condition (b) above to the satisfaction of the Director of Drainage Services or of the TPB; and_x000a_(d) the provision of fire service installations and water supplies for fire fighting to the satisfaction of the Director of Fire Services or of the TPB._x000a_Nov 2017 (TPB): 592nd MPC 592nd MPC MEETING ON 10.11.2017_x000a_Approved for residential cum retail development (A/K3/577)"/>
    <x v="200"/>
    <m/>
    <m/>
    <m/>
    <m/>
  </r>
  <r>
    <m/>
    <x v="206"/>
    <s v="9-13 Luk Hop Street"/>
    <m/>
    <x v="5"/>
    <x v="4"/>
    <x v="4"/>
    <x v="1"/>
    <x v="25"/>
    <x v="4"/>
    <s v="2023-2027"/>
    <x v="0"/>
    <x v="1"/>
    <n v="1"/>
    <m/>
    <m/>
    <n v="5786.9794111499996"/>
    <x v="185"/>
    <x v="1"/>
    <m/>
    <m/>
    <n v="8064.4274999999998"/>
    <n v="86804.691167249999"/>
    <n v="5645.0992499999993"/>
    <n v="60763.848326999992"/>
    <m/>
    <m/>
    <m/>
    <n v="0"/>
    <n v="0"/>
    <n v="60763.848326999992"/>
    <n v="0"/>
    <s v="Commercial"/>
    <s v="Plans Approved"/>
    <s v="BD Monthly Digest"/>
    <d v="2018-03-01T00:00:00"/>
    <d v="2018-03-20T00:00:00"/>
    <s v="Redevelopment"/>
    <x v="59"/>
    <x v="0"/>
    <s v="Uncertain"/>
    <x v="2"/>
    <s v="Jul 2017: New World has acquired most of the units in 9 Luk Hop Street and 50% of 11-13 Luk Hop Street_x000a_Mar 2018: New World revitalise the building to office/retail use instead of redevelopment"/>
    <x v="201"/>
    <m/>
    <m/>
    <m/>
    <m/>
  </r>
  <r>
    <m/>
    <x v="207"/>
    <s v="212-214 Des Voeux Road Central"/>
    <m/>
    <x v="12"/>
    <x v="9"/>
    <x v="8"/>
    <x v="0"/>
    <x v="26"/>
    <x v="4"/>
    <s v="2024-2028"/>
    <x v="0"/>
    <x v="1"/>
    <m/>
    <m/>
    <m/>
    <n v="7800"/>
    <x v="41"/>
    <x v="2"/>
    <m/>
    <m/>
    <n v="16722.563383160381"/>
    <n v="180000"/>
    <n v="12541.922537370287"/>
    <n v="135000"/>
    <m/>
    <m/>
    <m/>
    <n v="0"/>
    <n v="0"/>
    <n v="135000"/>
    <n v="0"/>
    <s v="Commercial"/>
    <m/>
    <s v="HKEJ"/>
    <m/>
    <d v="2018-06-20T00:00:00"/>
    <s v="Redevelopment"/>
    <x v="114"/>
    <x v="0"/>
    <s v="Uncertain"/>
    <x v="2"/>
    <s v="展商積極併購市區舊樓作發展，土地註冊處資料顯示，上環德輔道中212至214號德輔商業中心一籃子物業，包括地下A舖及樓上10層商業樓面，上月中以3.5億元易手，新買家為軒明發展有限公司，其公司董事為大鴻輝興業主席梁紹鴻等人。_x000a__x000a_據了解，梁紹鴻2016年已以1.2億元購入德輔商業中心半數業權，現購入商廈的餘下半數業權，意味以4.7億元完成收購該廈全部業權。_x000a__x000a_事實上，梁同時購入該商廈周邊舊樓，合併後地盤面積1.2萬方呎，以最高可發展地積比率15倍計，預計可發展樓面面積約18萬方呎，據悉梁暫時會作收租之用，並擬先發展上環干諾道西一帶的收購物業，涉地盤面積約2.8萬方呎，可建樓面面積逾40萬方呎，將建甲廈，投資額逾100億元。"/>
    <x v="202"/>
    <m/>
    <m/>
    <m/>
    <m/>
  </r>
  <r>
    <m/>
    <x v="208"/>
    <s v="61 Des Voeux Road Central"/>
    <m/>
    <x v="8"/>
    <x v="6"/>
    <x v="5"/>
    <x v="0"/>
    <x v="27"/>
    <x v="4"/>
    <s v="2025-2029"/>
    <x v="0"/>
    <x v="1"/>
    <n v="1"/>
    <s v="25+1 basement"/>
    <n v="25"/>
    <n v="6560.6401055999995"/>
    <x v="186"/>
    <x v="1"/>
    <n v="15237.6"/>
    <n v="164016.00263999999"/>
    <n v="15237.6"/>
    <n v="164016.00263999999"/>
    <n v="123012.00198"/>
    <n v="123012.00198"/>
    <m/>
    <m/>
    <m/>
    <n v="123012.00198"/>
    <n v="0"/>
    <n v="0"/>
    <n v="0"/>
    <s v="Commercial"/>
    <s v="Plans Approved"/>
    <s v="BD Monthly Digest"/>
    <d v="2019-04-01T00:00:00"/>
    <d v="2019-06-24T00:00:00"/>
    <s v="Redevelopment"/>
    <x v="126"/>
    <x v="0"/>
    <s v="For Lease"/>
    <x v="0"/>
    <s v="May 2018: Jess Chou: Chinachem and Citic will form JV to redevelop the building in 19/20_x000a_Oct 2020: ChinaChem go for renovation rather than redevelopment"/>
    <x v="203"/>
    <s v="LAND080"/>
    <m/>
    <m/>
    <m/>
  </r>
  <r>
    <m/>
    <x v="209"/>
    <s v="Kai Tak Area 2A Site 10"/>
    <m/>
    <x v="18"/>
    <x v="3"/>
    <x v="3"/>
    <x v="1"/>
    <x v="28"/>
    <x v="4"/>
    <s v="2026-2030"/>
    <x v="0"/>
    <x v="1"/>
    <n v="1"/>
    <n v="22"/>
    <n v="18"/>
    <n v="21886.799999999999"/>
    <x v="187"/>
    <x v="0"/>
    <m/>
    <m/>
    <n v="36600"/>
    <n v="393962.39999999997"/>
    <n v="27450"/>
    <n v="295471.8"/>
    <m/>
    <m/>
    <m/>
    <n v="0"/>
    <n v="0"/>
    <n v="295471.8"/>
    <n v="0"/>
    <s v="Commercial"/>
    <m/>
    <m/>
    <m/>
    <d v="2016-03-04T00:00:00"/>
    <s v="Site"/>
    <x v="24"/>
    <x v="1"/>
    <s v="Uncertain"/>
    <x v="2"/>
    <s v="Jerry Ng (Oct 27 2016): was Site 6 (3,975sm*4.5=17,888sm), now split into Site10 and Green Area_x000a__x000a_Roy Ng: Approved Kai Tak OZP No. S/K22/4: The “C(3)” zones are located at the northern side of Kai Tak City Centre extending along PERE to Sung Wong Toi Park. This zone is intended to form a belt of high quality office development. These developments will be serviced by the proposed SCL and are expected to meet Hong Kong’s long-term demand in office space. Developments within this zone are subject to a max plot ratio of 4.5, a max site coverage (excluding basement(s)) of 65% and a max building height of 60mPD/70mPD._x000a_May 2021 (Peter): Potential to rezone to residential use"/>
    <x v="204"/>
    <s v="LAND046"/>
    <m/>
    <m/>
    <m/>
  </r>
  <r>
    <m/>
    <x v="210"/>
    <s v="Kai Tak Area 2A Site 4"/>
    <m/>
    <x v="18"/>
    <x v="3"/>
    <x v="3"/>
    <x v="1"/>
    <x v="28"/>
    <x v="4"/>
    <s v="2026-2030"/>
    <x v="0"/>
    <x v="1"/>
    <n v="1"/>
    <n v="22"/>
    <n v="18"/>
    <n v="23501.399999999998"/>
    <x v="188"/>
    <x v="0"/>
    <m/>
    <m/>
    <n v="39300"/>
    <n v="423025.19999999995"/>
    <n v="29475"/>
    <n v="317268.89999999997"/>
    <m/>
    <m/>
    <m/>
    <n v="0"/>
    <n v="0"/>
    <n v="317268.89999999997"/>
    <n v="0"/>
    <s v="Commercial"/>
    <m/>
    <m/>
    <m/>
    <d v="2016-03-04T00:00:00"/>
    <s v="Site"/>
    <x v="24"/>
    <x v="1"/>
    <s v="Uncertain"/>
    <x v="2"/>
    <s v="Approved Kai Tak OZP No. S/K22/4: The “C(3)” zones are located at the northern side of Kai Tak City Centre extending along PERE to Sung Wong Toi Park. This zone is intended to form a belt of high quality office development. These developments will be serviced by the proposed SCL and are expected to meet Hong Kong’s long-term demand in office space. Developments within this zone are subject to a max plot ratio of 4.5, a max site coverage (excluding basement(s)) of 65% and a max building height of 60mPD/70mPD._x000a_May 2021 (Peter): Potential to rezone to residential use"/>
    <x v="205"/>
    <s v="LAND049"/>
    <m/>
    <m/>
    <m/>
  </r>
  <r>
    <m/>
    <x v="211"/>
    <s v="Kai Tak Area 2A Site 5B"/>
    <m/>
    <x v="18"/>
    <x v="3"/>
    <x v="3"/>
    <x v="1"/>
    <x v="28"/>
    <x v="4"/>
    <s v="2026-2030"/>
    <x v="0"/>
    <x v="1"/>
    <n v="1"/>
    <n v="22"/>
    <n v="18"/>
    <n v="12105.912"/>
    <x v="189"/>
    <x v="1"/>
    <m/>
    <m/>
    <n v="20244"/>
    <n v="217906.416"/>
    <n v="15183"/>
    <n v="163429.81200000001"/>
    <m/>
    <m/>
    <m/>
    <n v="0"/>
    <n v="0"/>
    <n v="163429.81200000001"/>
    <n v="0"/>
    <s v="Commercial"/>
    <m/>
    <m/>
    <m/>
    <d v="2016-03-04T00:00:00"/>
    <s v="Site"/>
    <x v="24"/>
    <x v="1"/>
    <s v="Uncertain"/>
    <x v="2"/>
    <s v="Jerry Ng (Oct 27 2016): was Site 5 (7,113sm*4.5=32,009sm), but split into 5A (GIC) and 5B (Commercial)_x000a__x000a_Roy Ng: Approved Kai Tak OZP No. S/K22/4: The “C(3)” zones are located at the northern side of Kai Tak City Centre extending along PERE to Sung Wong Toi Park. This zone is intended to form a belt of high quality office development. These developments will be serviced by the proposed SCL and are expected to meet Hong Kong’s long-term demand in office space. Developments within this zone are subject to a max plot ratio of 4.5, a max site coverage (excluding basement(s)) of 65% and a max building height of 60mPD/70mPD._x000a_May 2021 (Peter): Potential to rezone to residential use"/>
    <x v="206"/>
    <s v="LAND050"/>
    <m/>
    <m/>
    <m/>
  </r>
  <r>
    <m/>
    <x v="212"/>
    <s v="1 Kai Hing Road"/>
    <s v="NKIL 5805"/>
    <x v="4"/>
    <x v="3"/>
    <x v="3"/>
    <x v="1"/>
    <x v="28"/>
    <x v="4"/>
    <s v="2026-2030"/>
    <x v="0"/>
    <x v="1"/>
    <n v="1"/>
    <s v="22+3 basement"/>
    <n v="22"/>
    <n v="23802.629171125001"/>
    <x v="190"/>
    <x v="0"/>
    <n v="52031.5"/>
    <n v="560061.86285000003"/>
    <n v="44226.775000000001"/>
    <n v="476052.5834225"/>
    <n v="33170.081250000003"/>
    <n v="357039.43756687501"/>
    <m/>
    <m/>
    <m/>
    <n v="0"/>
    <n v="0"/>
    <n v="357039.43756687501"/>
    <n v="0"/>
    <s v="Commercial"/>
    <s v="Plans Approved"/>
    <s v="BD Monthly Digest"/>
    <d v="2020-12-01T00:00:00"/>
    <d v="2021-02-01T00:00:00"/>
    <s v="Redevelopment"/>
    <x v="11"/>
    <x v="0"/>
    <s v="Uncertain"/>
    <x v="2"/>
    <m/>
    <x v="207"/>
    <m/>
    <n v="22.315539999999999"/>
    <n v="114.21285"/>
    <s v="MultiPolygon (((114.21337276 22.31559853, 114.21285085 22.3150936, 114.2126238 22.31487387, 114.21213425 22.31531439, 114.21285109 22.31600447, 114.21307772 22.31622376, 114.21356772 22.31578507, 114.21337276 22.31559853)))"/>
  </r>
  <r>
    <m/>
    <x v="213"/>
    <s v="3 Kai Hing Road"/>
    <s v="NKIL 5806"/>
    <x v="4"/>
    <x v="3"/>
    <x v="3"/>
    <x v="1"/>
    <x v="28"/>
    <x v="4"/>
    <s v="2026-2030"/>
    <x v="0"/>
    <x v="1"/>
    <n v="1"/>
    <s v="22+3 basement"/>
    <n v="22"/>
    <n v="25263.500297175"/>
    <x v="191"/>
    <x v="0"/>
    <n v="55224.9"/>
    <n v="594435.30111"/>
    <n v="46941.165000000001"/>
    <n v="505270.00594349997"/>
    <n v="35205.873749999999"/>
    <n v="378952.50445762498"/>
    <m/>
    <m/>
    <m/>
    <n v="0"/>
    <n v="0"/>
    <n v="378952.50445762498"/>
    <n v="0"/>
    <s v="Commercial"/>
    <s v="Plans Approved"/>
    <s v="BD Monthly Digest"/>
    <d v="2020-09-01T00:00:00"/>
    <d v="2020-11-01T00:00:00"/>
    <s v="Redevelopment"/>
    <x v="11"/>
    <x v="0"/>
    <s v="Uncertain"/>
    <x v="2"/>
    <m/>
    <x v="208"/>
    <m/>
    <m/>
    <m/>
    <m/>
  </r>
  <r>
    <m/>
    <x v="214"/>
    <s v="5 Kai Hing Road"/>
    <s v="NKIL 5982"/>
    <x v="4"/>
    <x v="3"/>
    <x v="3"/>
    <x v="1"/>
    <x v="28"/>
    <x v="4"/>
    <s v="2026-2030"/>
    <x v="0"/>
    <x v="1"/>
    <n v="1"/>
    <s v="22+4 basement"/>
    <n v="22"/>
    <n v="17885.995893499996"/>
    <x v="192"/>
    <x v="1"/>
    <n v="39098"/>
    <n v="420846.96220000001"/>
    <n v="33233.299999999996"/>
    <n v="357719.91786999995"/>
    <n v="24924.974999999999"/>
    <n v="268289.93840249995"/>
    <m/>
    <m/>
    <m/>
    <n v="0"/>
    <n v="0"/>
    <n v="268289.93840249995"/>
    <n v="0"/>
    <s v="Commercial"/>
    <s v="Plans Approved"/>
    <s v="BD Monthly Digest"/>
    <d v="2020-08-01T00:00:00"/>
    <d v="2020-10-01T00:00:00"/>
    <s v="Redevelopment"/>
    <x v="11"/>
    <x v="0"/>
    <s v="Uncertain"/>
    <x v="2"/>
    <m/>
    <x v="209"/>
    <s v="LAND117"/>
    <m/>
    <m/>
    <m/>
  </r>
  <r>
    <m/>
    <x v="215"/>
    <s v="Site of Red Cross Headquarter &amp; Harcourt Road Pumping Station"/>
    <m/>
    <x v="22"/>
    <x v="9"/>
    <x v="8"/>
    <x v="0"/>
    <x v="29"/>
    <x v="4"/>
    <s v="2027+"/>
    <x v="0"/>
    <x v="1"/>
    <n v="1"/>
    <n v="30"/>
    <n v="30"/>
    <n v="7534.8"/>
    <x v="193"/>
    <x v="1"/>
    <m/>
    <m/>
    <n v="21000"/>
    <n v="226044"/>
    <n v="15750"/>
    <n v="169533"/>
    <m/>
    <m/>
    <m/>
    <n v="169533"/>
    <n v="0"/>
    <n v="0"/>
    <n v="0"/>
    <s v="Commercial"/>
    <m/>
    <s v="Central Reclamation website of Planning Department/ HKEJ &amp; HK Commercial Daily (4Nov09)"/>
    <d v="2009-11-10T00:00:00"/>
    <d v="2016-03-02T00:00:00"/>
    <s v="Site"/>
    <x v="24"/>
    <x v="1"/>
    <s v="For Lease"/>
    <x v="0"/>
    <s v="Potential only, No plans submitted. Red cross - Tamar zone._x000a_Apr-2018: The Judiciary has recently accepted in principle for using Site 5 and the site south of Site 5 at the new Central Harbourfront for the development of the JCHC; and a portion of the Caroline Hill Road (CHR) site for the development of the DCC. Costing over $20 billion, these projects will fully address the long-term accommodation needs of courts."/>
    <x v="210"/>
    <s v="LAND078"/>
    <m/>
    <m/>
    <m/>
  </r>
  <r>
    <m/>
    <x v="216"/>
    <s v="Kai Tak Area 2A Site 3"/>
    <m/>
    <x v="18"/>
    <x v="3"/>
    <x v="3"/>
    <x v="1"/>
    <x v="29"/>
    <x v="4"/>
    <s v="2027+"/>
    <x v="0"/>
    <x v="1"/>
    <n v="1"/>
    <n v="25"/>
    <n v="20"/>
    <n v="15417.492479999999"/>
    <x v="194"/>
    <x v="1"/>
    <m/>
    <m/>
    <n v="35808"/>
    <n v="385437.31199999998"/>
    <n v="26856"/>
    <n v="289077.984"/>
    <m/>
    <m/>
    <m/>
    <n v="0"/>
    <n v="0"/>
    <n v="289077.984"/>
    <n v="0"/>
    <s v="Commercial"/>
    <m/>
    <m/>
    <m/>
    <d v="2016-03-04T00:00:00"/>
    <s v="Site"/>
    <x v="24"/>
    <x v="1"/>
    <s v="Uncertain"/>
    <x v="2"/>
    <s v="Approved Kai Tak OZP No. S/K22/4: The “C(3)” zones are located at the northern side of Kai Tak City Centre extending along PERE to Sung Wong Toi Park. This zone is intended to form a belt of high quality office development. These developments will be serviced by the proposed SCL and are expected to meet Hong Kong’s long-term demand in office space. Developments within this zone are subject to a max plot ratio of 4.5, a max site coverage (excluding basement(s)) of 65% and a max building height of 60mPD/70mPD."/>
    <x v="211"/>
    <s v="LAND048"/>
    <m/>
    <m/>
    <m/>
  </r>
  <r>
    <m/>
    <x v="217"/>
    <s v="Wang Hoi Road"/>
    <m/>
    <x v="3"/>
    <x v="3"/>
    <x v="3"/>
    <x v="1"/>
    <x v="29"/>
    <x v="4"/>
    <s v="2027+"/>
    <x v="0"/>
    <x v="1"/>
    <n v="1"/>
    <n v="30"/>
    <n v="30"/>
    <n v="19504.186799999999"/>
    <x v="195"/>
    <x v="1"/>
    <m/>
    <m/>
    <n v="54360"/>
    <n v="585125.60399999993"/>
    <n v="40770"/>
    <n v="438844.20299999998"/>
    <m/>
    <m/>
    <m/>
    <n v="0"/>
    <n v="0"/>
    <n v="438844.20299999998"/>
    <n v="0"/>
    <s v="Commercial"/>
    <m/>
    <m/>
    <m/>
    <d v="2016-03-04T00:00:00"/>
    <s v="Redevelopment &amp; Site"/>
    <x v="24"/>
    <x v="1"/>
    <s v="Uncertain"/>
    <x v="2"/>
    <s v="14Oct2011: One of nine sites announced in CBD2-Kowloon East by Ms Carrie Lam. 18Oct2011: (HKET) - estimated price: 2.341 billion ($4,001 psf)_x000a_16Oct2019: Taken out; change to residential use"/>
    <x v="212"/>
    <s v="LAND105"/>
    <n v="22.320226706113299"/>
    <n v="114.211370766055"/>
    <s v="MultiPolygon (((114.21117448556270801 22.32074717911462969, 114.2115051876285321 22.32078042440053878, 114.21162917106455836 22.31961042970395326, 114.21129636637658678 22.31958110460190881, 114.21117448556270801 22.32074717911462969)))"/>
  </r>
  <r>
    <m/>
    <x v="218"/>
    <s v="Wang Hoi Road"/>
    <m/>
    <x v="3"/>
    <x v="3"/>
    <x v="3"/>
    <x v="1"/>
    <x v="29"/>
    <x v="4"/>
    <s v="2027+"/>
    <x v="0"/>
    <x v="1"/>
    <n v="2"/>
    <n v="30"/>
    <n v="30"/>
    <n v="18770.088820000001"/>
    <x v="196"/>
    <x v="1"/>
    <m/>
    <m/>
    <n v="104628"/>
    <n v="1126205.3292"/>
    <n v="78471"/>
    <n v="844653.99690000003"/>
    <m/>
    <m/>
    <m/>
    <n v="0"/>
    <n v="0"/>
    <n v="844653.99690000003"/>
    <n v="0"/>
    <s v="Commercial"/>
    <m/>
    <m/>
    <m/>
    <d v="2016-03-04T00:00:00"/>
    <s v="Redevelopment &amp; Site"/>
    <x v="24"/>
    <x v="1"/>
    <s v="Uncertain"/>
    <x v="2"/>
    <s v="14Oct2011: One of nine sites announced in CBD2-Kowloon East by Ms Carrie Lam. 18Oct2011: (HKET) - estimated price: 4.505 billion ($4,000 psf)_x000a_16Oct2019: Taken out; change to residential use"/>
    <x v="213"/>
    <s v="LAND106"/>
    <m/>
    <m/>
    <m/>
  </r>
  <r>
    <m/>
    <x v="219"/>
    <s v="Area bounded by Kwun Tong Road, Hong Ning Road, Mut Wah Street and Hip Wo Street"/>
    <m/>
    <x v="4"/>
    <x v="3"/>
    <x v="3"/>
    <x v="1"/>
    <x v="30"/>
    <x v="3"/>
    <s v="2033 Q4"/>
    <x v="0"/>
    <x v="2"/>
    <n v="1"/>
    <n v="60"/>
    <n v="32"/>
    <n v="24218.774999999998"/>
    <x v="197"/>
    <x v="0"/>
    <m/>
    <m/>
    <n v="65860"/>
    <n v="708910.45400000003"/>
    <n v="49395"/>
    <n v="531682.84050000005"/>
    <m/>
    <m/>
    <m/>
    <n v="0"/>
    <n v="0"/>
    <n v="531682.84050000005"/>
    <n v="0"/>
    <s v="Commercial"/>
    <s v="Plans Approved"/>
    <s v="BD Monthly Digest"/>
    <d v="2021-08-01T00:00:00"/>
    <d v="2021-11-01T00:00:00"/>
    <s v="Redevelopment"/>
    <x v="24"/>
    <x v="1"/>
    <s v="Uncertain"/>
    <x v="2"/>
    <s v="Jun 2023: A/K14/819_x000a_Mar 2017: 觀塘市中心重建項目 分拆發展_x000a_第4區建地標酒店商廈 最快今年度招標_x000a_由於觀塘裕民坊收購進度未如理想，市建局決定將觀塘市中心重建第4及5區分拆發展，當中第4區將興建地標式酒店及商廈，總樓面料120萬平方呎，有望最快今年度招標。_x000a__x000a_第1至3區 住宅部分批出_x000a__x000a_觀塘市中心重建屬於市建局最大型的重建計劃之一，近50萬平方呎的重建範圍，分為5區發展，當中第1至3區的住宅部分已經批出，而涉及裕民坊及前政府大樓的第4及5區，屬於商業發展方面。_x000a__x000a_根據原有方案，第4及5區合整合單一發展，地盤範圍約20萬平方呎，總樓面達218.5萬平方呎，包括興建一個12至18層高、總樓面逾百萬平方呎的大型商場外，還會興建1幢53層高的綜合式商廈，提供辦公室及酒店樓面，合共105.3萬平方呎，計劃最快2024年落成。_x000a__x000a_裕民坊第5區 作純商場發展_x000a__x000a_不過，根據市建局資料顯示，截至今年1月底，當局就裕民坊所收購的466份業權之中，仍然有7份業權不接受收購，需要繼續與小業主進行磋商。據悉，當局為加快項目發展進度，確保能夠如期落成，將會分拆第4及5區發展。_x000a__x000a_根據資料顯示，第4區將會維持興建1幢地標式商廈，最高10餘層將作酒店樓面，而中間逾30層的樓面則會作辦公室用途，基座則會由6至7層的小型商場組成，同時將會申請放寬項目建築高度25米至最高280米高。粗略估計，整個第4區項目商業樓面合共約120萬平方呎，市場相信可以較快推出招標。_x000a__x000a_現為裕民坊的第5區，會作純商場發展，但由於部分商業樓面劃作第4區使用，相信整個商場的規模將較原方案的104萬平方呎有所減少，但仍然是區內最大型的零售商場之一。_x000a__x000a_高力國際估價及諮詢副常務董事張翹楚稱，認同分拆發展的方案，因能夠較快釋放出土地，而分拆後兩區的發展規模亦較適中，招標時可以吸引更多發展商競投，對提升項目地價有利。以目前商業地價上升的趨勢，相信若第4區項目推出招標，估值將達逾百億元，每呎樓面地價可達1萬元。_x000a__x000a_至於早在2014年由信置（00083）、華置（00127）合作投得的觀塘市中心第2及3區項目，將會興建4幢39至43層高住宅大廈，住宅樓面約149.6萬平方呎，將會提供約2,000伙，將分兩期預售樓花，最快今年第四季開售，約85%屬2房、3房戶，並提供小量1房戶，實用面積由約300平方呎起。_x000a__x000a_Dec 2015: Plan saved in: I:\CBRE Research\Hong Kong\02. Databases\Office Database\Town Planning Board\s16_A_K14_727_0_gist_Kwun Tong Town Centre Redevelopment (Yue Man Square Redevelopment).pdf_x000a_Sep 2011: Mostly retail and residential, the commercial part most likely to be used by the government._x000a_Max commercial space is 111,780 sm (including office/retail/hotel) Total GFA : 401,250 square metres_x000a_URA website (16Aug2011): Residential flats : 1,980/ Commercial space : 111,780 square metres/ Other uses : 97,860 square metres/ G/IC GFA : 31,000 square metres/ Open space : 13,400 square metres"/>
    <x v="214"/>
    <s v="LAND068"/>
    <n v="22.313330000000001"/>
    <n v="114.22493"/>
    <m/>
  </r>
  <r>
    <m/>
    <x v="220"/>
    <s v="J/O Leighton Rd and Haven St"/>
    <m/>
    <x v="10"/>
    <x v="8"/>
    <x v="7"/>
    <x v="0"/>
    <x v="31"/>
    <x v="4"/>
    <s v="2029-2033"/>
    <x v="0"/>
    <x v="3"/>
    <n v="2"/>
    <m/>
    <m/>
    <m/>
    <x v="41"/>
    <x v="2"/>
    <m/>
    <m/>
    <n v="62640"/>
    <n v="674250.696"/>
    <n v="505688.022"/>
    <n v="505688.022"/>
    <m/>
    <m/>
    <m/>
    <n v="0"/>
    <n v="0"/>
    <n v="505688.022"/>
    <n v="0"/>
    <s v="Commercial"/>
    <m/>
    <s v="Sing Tao"/>
    <m/>
    <d v="2018-06-12T00:00:00"/>
    <s v="Redevelopment"/>
    <x v="24"/>
    <x v="0"/>
    <s v="Uncertain"/>
    <x v="2"/>
    <s v="Jun-18: (Peter) Winfull Group is helping a developer to assembly of titles"/>
    <x v="215"/>
    <s v="LAND071"/>
    <m/>
    <m/>
    <m/>
  </r>
  <r>
    <m/>
    <x v="221"/>
    <s v="734 King's Road"/>
    <m/>
    <x v="16"/>
    <x v="0"/>
    <x v="0"/>
    <x v="0"/>
    <x v="31"/>
    <x v="4"/>
    <s v="2029-2033"/>
    <x v="0"/>
    <x v="3"/>
    <n v="1"/>
    <s v="25+4 basement"/>
    <n v="25"/>
    <n v="11999.9401648"/>
    <x v="198"/>
    <x v="1"/>
    <n v="27870.799999999999"/>
    <n v="299998.50412"/>
    <n v="27870.799999999999"/>
    <n v="299998.50412"/>
    <n v="20903.099999999999"/>
    <n v="224998.87809000001"/>
    <m/>
    <m/>
    <m/>
    <n v="224998.87809000001"/>
    <n v="0"/>
    <n v="0"/>
    <n v="0"/>
    <s v="Commercial"/>
    <s v="Plans Approved"/>
    <s v="BD Monthly Digest"/>
    <d v="2023-01-01T00:00:00"/>
    <d v="2023-04-19T00:00:00"/>
    <s v="Redevelopment"/>
    <x v="101"/>
    <x v="0"/>
    <s v="For Lease"/>
    <x v="0"/>
    <m/>
    <x v="216"/>
    <m/>
    <n v="22.291962309650899"/>
    <n v="114.208222409125"/>
    <m/>
  </r>
  <r>
    <m/>
    <x v="222"/>
    <s v="93 Queensway"/>
    <m/>
    <x v="22"/>
    <x v="9"/>
    <x v="8"/>
    <x v="0"/>
    <x v="31"/>
    <x v="4"/>
    <s v="2029-2033"/>
    <x v="0"/>
    <x v="2"/>
    <n v="1"/>
    <n v="48"/>
    <n v="37"/>
    <n v="23303.843499999999"/>
    <x v="199"/>
    <x v="0"/>
    <n v="95700"/>
    <n v="1030105.23"/>
    <n v="80105"/>
    <n v="862242.2095"/>
    <n v="60078.75"/>
    <n v="646681.65712500003"/>
    <m/>
    <m/>
    <m/>
    <n v="646681.65712500003"/>
    <n v="0"/>
    <n v="0"/>
    <n v="0"/>
    <s v="Commercial"/>
    <m/>
    <s v="Town Planning Board"/>
    <d v="2015-10-30T00:00:00"/>
    <d v="2016-03-02T00:00:00"/>
    <s v="Redevelopment"/>
    <x v="24"/>
    <x v="1"/>
    <s v="For Lease"/>
    <x v="0"/>
    <s v="Feb 2016 (Budget Speech): &quot;we shall also redevelop the Queensway Plaza site, which is capable of providing 93 000 square metres of floor area.&quot;_x000a_Oct 2015: Study completed, revised and approved._x000a_Dec 2014 (HKET): The study and consultation is complete. It will be redeveloped into a 50-storey Office + Hotel tower. Estimated land price of $20Bn/$20,000 psf. The earliest date the site will be available will be in 2019, when the Lane Crawford lease expires._x000a_Mar 2013: Planning Department have opened tender for study and consultancy on the redevelopment of Queensway Plaza. They are looking into the redevelopment after 2019, when the lease of Lane Crawford expires. It will be redeveloped into a Grade A office building with retail portion."/>
    <x v="217"/>
    <s v="LAND075"/>
    <n v="22.279"/>
    <n v="114.16464000000001"/>
    <m/>
  </r>
  <r>
    <m/>
    <x v="223"/>
    <s v="Inland Lots 8590 RP (Part) and 8723 RP (Part) and Adjoining Government Land, Hoi Yu Street, and a strip of Government Land connecting to Hoi Tai Street, Quarry Bay, Hong Kong"/>
    <m/>
    <x v="0"/>
    <x v="0"/>
    <x v="0"/>
    <x v="0"/>
    <x v="31"/>
    <x v="4"/>
    <s v="2029-2033"/>
    <x v="1"/>
    <x v="3"/>
    <n v="1"/>
    <n v="8"/>
    <n v="6"/>
    <n v="1345"/>
    <x v="200"/>
    <x v="1"/>
    <n v="37155"/>
    <n v="399932.70449999999"/>
    <n v="8070"/>
    <n v="86864.672999999995"/>
    <n v="6052.5"/>
    <n v="65148.50475"/>
    <m/>
    <m/>
    <m/>
    <n v="0"/>
    <n v="0"/>
    <n v="65148.50475"/>
    <n v="0"/>
    <s v="Commercial"/>
    <m/>
    <s v="Town Planning Board"/>
    <d v="2019-01-07T00:00:00"/>
    <d v="2019-01-17T00:00:00"/>
    <s v="Site"/>
    <x v="127"/>
    <x v="0"/>
    <s v="Uncertain"/>
    <x v="0"/>
    <s v="Oct 2025: 2024年6月地皮10億登記易手，該地皮目前已由具備營運日本環球影城等世界級文娛景點經驗的國際投資公司MBK Partners 持有 (https://www.hk01.com/article/60286816?utm_source=01articlecopy&amp;utm_medium=referral)_x000a_Aug 2023: 財團後來因陷入財困，地盤遭人接管須招標出售 https://www.leasinghub.com/zh/resources/market-news/article?id=467_x000a_Jan 19 (Jerry): Gist open for comments until 8 Feb 2019"/>
    <x v="218"/>
    <s v="LAND040"/>
    <m/>
    <m/>
    <m/>
  </r>
  <r>
    <m/>
    <x v="224"/>
    <s v="72-76 Queen's Road East"/>
    <m/>
    <x v="11"/>
    <x v="8"/>
    <x v="7"/>
    <x v="0"/>
    <x v="31"/>
    <x v="4"/>
    <s v="2029-2033"/>
    <x v="1"/>
    <x v="3"/>
    <n v="1"/>
    <s v="26+4 podium"/>
    <n v="21"/>
    <m/>
    <x v="41"/>
    <x v="2"/>
    <n v="2944.26"/>
    <n v="31691.720214000001"/>
    <n v="2378.0561538461543"/>
    <n v="25597.158634384621"/>
    <n v="1783.5421153846157"/>
    <n v="19197.868975788464"/>
    <m/>
    <m/>
    <m/>
    <n v="0"/>
    <n v="0"/>
    <n v="19197.868975788464"/>
    <n v="0"/>
    <s v="Commercial"/>
    <m/>
    <s v="BD Digest"/>
    <m/>
    <d v="2022-07-27T00:00:00"/>
    <s v="Redevelopment"/>
    <x v="24"/>
    <x v="0"/>
    <s v="Uncertain"/>
    <x v="2"/>
    <m/>
    <x v="219"/>
    <m/>
    <n v="22.339189999999999"/>
    <n v="114.15603"/>
    <s v="MultiPolygon (((114.1561088 22.33916965, 114.15608533 22.33914352, 114.15602482 22.33907615, 114.15591966 22.33915789, 114.15605156 22.33930669, 114.15615775 22.33922414, 114.1561088 22.33916965)))"/>
  </r>
  <r>
    <m/>
    <x v="225"/>
    <s v="9-39 Hoi Wan Street and 33-41 Tong Chong Street"/>
    <m/>
    <x v="0"/>
    <x v="0"/>
    <x v="0"/>
    <x v="0"/>
    <x v="31"/>
    <x v="4"/>
    <s v="2029-2033"/>
    <x v="0"/>
    <x v="2"/>
    <n v="1"/>
    <m/>
    <m/>
    <n v="13039"/>
    <x v="201"/>
    <x v="1"/>
    <n v="27954.551788849767"/>
    <n v="300900"/>
    <n v="27954.551788849767"/>
    <n v="300900"/>
    <n v="20965.913841637324"/>
    <n v="225675"/>
    <m/>
    <m/>
    <m/>
    <n v="225675"/>
    <n v="0"/>
    <n v="0"/>
    <n v="0"/>
    <s v="Commercial"/>
    <m/>
    <s v="HKEt"/>
    <m/>
    <d v="2022-08-11T00:00:00"/>
    <s v="Redevelopment"/>
    <x v="0"/>
    <x v="0"/>
    <s v="For Lease"/>
    <x v="0"/>
    <m/>
    <x v="180"/>
    <m/>
    <n v="22.287590000000002"/>
    <n v="114.21183000000001"/>
    <s v="MultiPolygon (((114.21164548 22.28751701, 114.2116497 22.28767285, 114.21164976 22.2876748, 114.21180933 22.28767245, 114.21203324 22.2876698, 114.21202847 22.28750862, 114.21180457 22.28751127, 114.21164784 22.28751457, 114.21164542 22.28751462, 114.21164548 22.28751701)))"/>
  </r>
  <r>
    <m/>
    <x v="226"/>
    <s v="J/O Cheong Hang Road and Winslow Street"/>
    <m/>
    <x v="15"/>
    <x v="4"/>
    <x v="4"/>
    <x v="1"/>
    <x v="31"/>
    <x v="4"/>
    <s v="2029-2033"/>
    <x v="0"/>
    <x v="3"/>
    <n v="1"/>
    <m/>
    <m/>
    <m/>
    <x v="41"/>
    <x v="2"/>
    <n v="15464.441327028311"/>
    <n v="166457.70000000004"/>
    <n v="15464.441327028311"/>
    <n v="166457.70000000004"/>
    <n v="11598.330995271233"/>
    <n v="124843.27500000002"/>
    <m/>
    <m/>
    <m/>
    <n v="0"/>
    <n v="0"/>
    <n v="124843.27500000002"/>
    <n v="0"/>
    <s v="Commercial"/>
    <m/>
    <s v="HKET"/>
    <d v="2019-03-20T00:00:00"/>
    <d v="2019-03-20T00:00:00"/>
    <s v="Redevelopment"/>
    <x v="128"/>
    <x v="0"/>
    <s v="Uncertain"/>
    <x v="2"/>
    <m/>
    <x v="220"/>
    <s v="LAND024"/>
    <m/>
    <m/>
    <m/>
  </r>
  <r>
    <m/>
    <x v="227"/>
    <s v="J/O Cheong Hang Road and Winslow Street"/>
    <m/>
    <x v="15"/>
    <x v="4"/>
    <x v="4"/>
    <x v="1"/>
    <x v="31"/>
    <x v="4"/>
    <s v="2029-2033"/>
    <x v="0"/>
    <x v="3"/>
    <n v="1"/>
    <m/>
    <m/>
    <m/>
    <x v="41"/>
    <x v="2"/>
    <n v="57000"/>
    <n v="613542.29999999993"/>
    <n v="57000"/>
    <n v="613542.29999999993"/>
    <n v="42750"/>
    <n v="460156.72499999998"/>
    <m/>
    <m/>
    <m/>
    <n v="0"/>
    <n v="0"/>
    <n v="460156.72499999998"/>
    <n v="0"/>
    <s v="Commercial"/>
    <m/>
    <s v="HKET"/>
    <d v="2019-03-20T00:00:00"/>
    <d v="2019-03-20T00:00:00"/>
    <s v="Redevelopment"/>
    <x v="128"/>
    <x v="0"/>
    <s v="Uncertain"/>
    <x v="2"/>
    <m/>
    <x v="221"/>
    <s v="LAND025"/>
    <m/>
    <m/>
    <m/>
  </r>
  <r>
    <m/>
    <x v="228"/>
    <s v="8 Hung Luen Road"/>
    <m/>
    <x v="15"/>
    <x v="4"/>
    <x v="4"/>
    <x v="1"/>
    <x v="31"/>
    <x v="4"/>
    <s v="2029-2033"/>
    <x v="0"/>
    <x v="3"/>
    <n v="2"/>
    <s v="13 + 2 basement"/>
    <n v="26"/>
    <n v="44480.988757692307"/>
    <x v="202"/>
    <x v="0"/>
    <n v="107443"/>
    <n v="1156505.7076999999"/>
    <n v="107443"/>
    <n v="1156505.7076999999"/>
    <n v="80582.25"/>
    <n v="867379.28077499988"/>
    <m/>
    <m/>
    <m/>
    <n v="867379.28077499988"/>
    <n v="0"/>
    <n v="0"/>
    <n v="0"/>
    <s v="Commercial"/>
    <s v="Plans Approved"/>
    <s v="BD Digest"/>
    <d v="2019-05-01T00:00:00"/>
    <d v="2019-07-01T00:00:00"/>
    <s v="Redevelopment"/>
    <x v="129"/>
    <x v="0"/>
    <s v="For Lease"/>
    <x v="0"/>
    <s v="Mar 2018: CK Asset admitted they have submitted building plan for Harbourview Horizon Suites and Harbourfront Horizon Suites; but no solid plan for redevelopment yet"/>
    <x v="222"/>
    <s v="LAND037"/>
    <m/>
    <m/>
    <m/>
  </r>
  <r>
    <m/>
    <x v="229"/>
    <s v="12 Hung Lok Road"/>
    <m/>
    <x v="15"/>
    <x v="4"/>
    <x v="4"/>
    <x v="1"/>
    <x v="31"/>
    <x v="4"/>
    <s v="2029-2033"/>
    <x v="0"/>
    <x v="3"/>
    <n v="2"/>
    <s v="29+4 basement"/>
    <n v="28"/>
    <n v="19090.417965517237"/>
    <x v="203"/>
    <x v="1"/>
    <m/>
    <m/>
    <n v="102865.5"/>
    <n v="1107244.2419999999"/>
    <n v="77149.125"/>
    <n v="830433.18149999995"/>
    <m/>
    <m/>
    <m/>
    <n v="830433.18149999995"/>
    <n v="0"/>
    <n v="0"/>
    <n v="0"/>
    <s v="Commercial"/>
    <s v="Plans Approved"/>
    <s v="BD Monthly Digest"/>
    <d v="2018-01-01T00:00:00"/>
    <d v="2018-03-23T00:00:00"/>
    <s v="Redevelopment"/>
    <x v="129"/>
    <x v="0"/>
    <s v="For Lease"/>
    <x v="0"/>
    <s v="Mar 2018: CK Asset admitted they have submitted building plan for Harbourview Horizon Suites and Harbourfront Horizon Suites; but no solid plan for redevelopment yet"/>
    <x v="223"/>
    <s v="LAND036"/>
    <m/>
    <m/>
    <m/>
  </r>
  <r>
    <m/>
    <x v="230"/>
    <s v="59-61 Wong Chuk Hang Road"/>
    <m/>
    <x v="9"/>
    <x v="7"/>
    <x v="6"/>
    <x v="0"/>
    <x v="31"/>
    <x v="4"/>
    <s v="2029-2033"/>
    <x v="0"/>
    <x v="2"/>
    <m/>
    <m/>
    <m/>
    <n v="10985"/>
    <x v="204"/>
    <x v="1"/>
    <m/>
    <m/>
    <n v="18840.75474502736"/>
    <n v="202800"/>
    <n v="14130.566058770521"/>
    <n v="152100"/>
    <m/>
    <m/>
    <m/>
    <n v="0"/>
    <n v="152100"/>
    <n v="0"/>
    <n v="0"/>
    <s v="Commercial"/>
    <m/>
    <s v="News"/>
    <m/>
    <m/>
    <s v="Redevelopment"/>
    <x v="102"/>
    <x v="0"/>
    <s v="For Sale"/>
    <x v="2"/>
    <m/>
    <x v="224"/>
    <m/>
    <n v="22.249919999999999"/>
    <n v="114.16843"/>
    <s v="MultiPolygon (((114.16816229 22.25003867, 114.168162 22.25003919, 114.16824242 22.25007802, 114.16829034 22.25010114, 114.16835378 22.25013194, 114.16848368 22.25019435, 114.16853823 22.25009661, 114.16867122 22.24985833, 114.16834886 22.24970308, 114.16834495 22.24971012, 114.16834453 22.24971087, 114.16833571 22.24972673, 114.16833437 22.24972913, 114.16832769 22.24974117, 114.1682264 22.24992335, 114.16821638 22.24994137, 114.16820304 22.24996541, 114.16816229 22.25003867)))"/>
  </r>
  <r>
    <m/>
    <x v="231"/>
    <s v="Kai Tak Area 1D Site 2"/>
    <m/>
    <x v="18"/>
    <x v="3"/>
    <x v="3"/>
    <x v="1"/>
    <x v="31"/>
    <x v="4"/>
    <s v="2029-2033"/>
    <x v="0"/>
    <x v="2"/>
    <n v="1"/>
    <n v="30"/>
    <n v="25"/>
    <n v="30452.647679999998"/>
    <x v="205"/>
    <x v="0"/>
    <m/>
    <m/>
    <n v="70728"/>
    <n v="761316.19199999992"/>
    <n v="53046"/>
    <n v="570987.14399999997"/>
    <m/>
    <m/>
    <m/>
    <n v="0"/>
    <n v="0"/>
    <n v="570987.14399999997"/>
    <n v="0"/>
    <s v="Commercial"/>
    <m/>
    <s v="TPB General Paper Oct Review Study of Kai Tak Development"/>
    <d v="2016-10-27T00:00:00"/>
    <d v="2016-10-27T00:00:00"/>
    <s v="Site"/>
    <x v="24"/>
    <x v="1"/>
    <s v="Uncertain"/>
    <x v="2"/>
    <m/>
    <x v="225"/>
    <s v="LAND043"/>
    <n v="22.33334"/>
    <n v="114.19915"/>
    <m/>
  </r>
  <r>
    <m/>
    <x v="232"/>
    <s v="Kai Tak City Centre (Runway) Site 4C4"/>
    <s v="NKIL 6546"/>
    <x v="18"/>
    <x v="3"/>
    <x v="3"/>
    <x v="1"/>
    <x v="31"/>
    <x v="4"/>
    <s v="2029-2033"/>
    <x v="0"/>
    <x v="2"/>
    <n v="1"/>
    <n v="27"/>
    <n v="13"/>
    <n v="22712.131080000003"/>
    <x v="206"/>
    <x v="0"/>
    <n v="80190"/>
    <n v="863157.14099999995"/>
    <n v="27430.110000000004"/>
    <n v="295257.70404000004"/>
    <n v="20572.582500000004"/>
    <n v="221443.27803000004"/>
    <m/>
    <m/>
    <m/>
    <n v="221443.27803000004"/>
    <n v="0"/>
    <n v="0"/>
    <n v="0"/>
    <s v="Commercial"/>
    <m/>
    <s v="Land sale programme 2017-18"/>
    <d v="2017-02-23T00:00:00"/>
    <d v="2017-02-23T00:00:00"/>
    <s v="Site"/>
    <x v="24"/>
    <x v="1"/>
    <s v="For Lease"/>
    <x v="0"/>
    <s v="Was intended to be hotel (zone: Commercial (4)), but now being rezoned into C(7), although planning intention indicated the site is &quot;intended&quot; for hotel and commercial, this means the whole site could be in office use._x000a_May 2021 (Peter): Potential to rezone to residential use"/>
    <x v="226"/>
    <s v="LAND054"/>
    <m/>
    <m/>
    <m/>
  </r>
  <r>
    <m/>
    <x v="233"/>
    <s v="13 Sheung Yuet Road"/>
    <m/>
    <x v="3"/>
    <x v="3"/>
    <x v="3"/>
    <x v="1"/>
    <x v="31"/>
    <x v="4"/>
    <s v="2029-2033"/>
    <x v="0"/>
    <x v="3"/>
    <n v="1"/>
    <s v="31 + 3 basement"/>
    <n v="27"/>
    <n v="9736.3063466666663"/>
    <x v="207"/>
    <x v="1"/>
    <n v="24422.400000000001"/>
    <n v="262880.27136000001"/>
    <n v="24422.400000000001"/>
    <n v="262880.27136000001"/>
    <n v="18316.800000000003"/>
    <n v="197160.20352000001"/>
    <m/>
    <m/>
    <m/>
    <n v="197160.20352000001"/>
    <n v="0"/>
    <n v="0"/>
    <n v="0"/>
    <s v="Commercial"/>
    <s v="Plans Approved"/>
    <s v="Town Planning Board"/>
    <d v="2022-10-01T00:00:00"/>
    <d v="2022-12-01T00:00:00"/>
    <s v="Redevelopment"/>
    <x v="130"/>
    <x v="0"/>
    <s v="For Lease"/>
    <x v="0"/>
    <s v="Aug 2021: still no work done, expecting a delay to 2026_x000a_Aug 2020: Wing Tai said recently applied for redevelopment, not sure if going for office or industrial, no certain year, boss assumes 2025_x000a_Jan 2020: Applying for revitalisation 2.0 for 20% plot ratio relaxation for office development_x000a_Jun 2023: Not to proceed to office redevelopment"/>
    <x v="227"/>
    <m/>
    <n v="22.322019999999998"/>
    <n v="114.20929"/>
    <s v="MultiPolygon (((114.20949733 22.32221371, 114.20950675 22.32211623, 114.20952227 22.321959, 114.20952623 22.32192493, 114.2094969 22.32187687, 114.20948094 22.32185163, 114.20917147 22.32181685, 114.20911451 22.32185046, 114.20910705 22.32192122, 114.20909051 22.32208395, 114.20908175 22.3221777, 114.20911668 22.32218072, 114.20941947 22.32220702, 114.20946227 22.3222107, 114.20949733 22.32221371)))"/>
  </r>
  <r>
    <m/>
    <x v="234"/>
    <s v="Kai Tak City Centre (Runway) Site 4C5"/>
    <s v="NKIL 6547"/>
    <x v="18"/>
    <x v="3"/>
    <x v="3"/>
    <x v="1"/>
    <x v="31"/>
    <x v="4"/>
    <s v="2029-2033"/>
    <x v="0"/>
    <x v="2"/>
    <n v="1"/>
    <n v="27"/>
    <n v="13"/>
    <n v="16107.050880000003"/>
    <x v="208"/>
    <x v="1"/>
    <n v="56880"/>
    <n v="612250.63199999998"/>
    <n v="19452.960000000003"/>
    <n v="209391.66144000003"/>
    <n v="14589.720000000001"/>
    <n v="157043.74608000001"/>
    <m/>
    <m/>
    <m/>
    <n v="157043.74608000001"/>
    <n v="0"/>
    <n v="0"/>
    <n v="0"/>
    <s v="Commercial"/>
    <m/>
    <s v="Land sale programme 2017-18"/>
    <d v="2017-02-23T00:00:00"/>
    <d v="2017-02-23T00:00:00"/>
    <s v="Site"/>
    <x v="24"/>
    <x v="1"/>
    <s v="For Lease"/>
    <x v="0"/>
    <s v="Was intended to be hotel (zone: Commercial (4)), but now being rezoned into C(5), although planning intention indicated the site is &quot;intended&quot; for hotel and commercial, this means the whole site could be in office use._x000a_May 2021 (Peter): Potential to rezone to residential use"/>
    <x v="228"/>
    <s v="LAND055"/>
    <m/>
    <m/>
    <m/>
  </r>
  <r>
    <m/>
    <x v="235"/>
    <s v="1 Trademart Drive"/>
    <s v="NKIL 6032"/>
    <x v="3"/>
    <x v="3"/>
    <x v="3"/>
    <x v="1"/>
    <x v="31"/>
    <x v="4"/>
    <s v="2029-2033"/>
    <x v="0"/>
    <x v="2"/>
    <n v="3"/>
    <s v="Residential 36-39; Office 29; Retail mixed use: 6"/>
    <n v="29"/>
    <n v="10000"/>
    <x v="209"/>
    <x v="1"/>
    <n v="136888.02385752377"/>
    <n v="1473449"/>
    <n v="27130.036510930055"/>
    <n v="292025"/>
    <n v="20347.527383197543"/>
    <n v="219018.75"/>
    <m/>
    <m/>
    <m/>
    <n v="0"/>
    <n v="0"/>
    <n v="219018.75"/>
    <n v="0"/>
    <s v="Commercial"/>
    <m/>
    <s v="TPB"/>
    <m/>
    <d v="2022-06-24T00:00:00"/>
    <s v="Site"/>
    <x v="6"/>
    <x v="1"/>
    <s v="Uncertain"/>
    <x v="2"/>
    <s v="Jun 2023: revised GFA according to BD; May 2024: submit a new plan to TPB"/>
    <x v="229"/>
    <m/>
    <n v="22.324355499900001"/>
    <n v="114.203983108"/>
    <s v="MultiPolygon (((114.20393236 22.3248691, 114.20405019 22.3248056, 114.20407602 22.32461442, 114.20407969 22.32458754, 114.20410024 22.32443667, 114.20411884 22.32430184, 114.20418293 22.32383148, 114.2041866 22.3238046, 114.20420716 22.32365374, 114.20425601 22.32329523, 114.20427935 22.32312398, 114.20429995 22.32296847, 114.20410233 22.32295098, 114.20388811 22.32293187, 114.20369495 22.32291447, 114.20353332 22.32305338, 114.20339178 22.32318237, 114.20337605 22.32319636, 114.20321767 22.32333873, 114.20318302 22.32336771, 114.20314886 22.32339724, 114.2031152 22.32342723, 114.20308222 22.32345786, 114.2030497 22.32348892, 114.20301778 22.32352054, 114.2029865 22.32355269, 114.20295576 22.32358529, 114.20294109 22.32360147, 114.20292714 22.32361809, 114.20291395 22.32363525, 114.2029014 22.32365294, 114.20288969 22.32367101, 114.2028787 22.32368953, 114.20286862 22.32370849, 114.20285929 22.32372772, 114.20285088 22.32374732, 114.2028433 22.32376728, 114.20283652 22.32378743, 114.20283148 22.32380674, 114.20282727 22.32382634, 114.2028242 22.32384604, 114.20282197 22.3238659, 114.2028208 22.32388576, 114.2028205 22.32390573, 114.2028213 22.32392559, 114.20282293 22.32394546, 114.20282578 22.32396631, 114.20282954 22.32398709, 114.20283413 22.32400767, 114.20283956 22.32402809, 114.20284597 22.32404831, 114.20285314 22.32406827, 114.20286122 22.32408795, 114.20287006 22.32410728, 114.20287977 22.32412633, 114.20289023 22.32414494, 114.20290654 22.32417157, 114.20292376 22.32419767, 114.20294189 22.32422331, 114.20296081 22.32424841, 114.20298065 22.32427289, 114.2030045 22.32430124, 114.203029 22.32432914, 114.20305422 22.32435649, 114.20308004 22.32438332, 114.20310655 22.32440959, 114.20313363 22.32443532, 114.20316139 22.32446042, 114.20318975 22.32448498, 114.20321868 22.32450891, 114.20324072 22.32452605, 114.2032643 22.32454503, 114.20327848 22.32453554, 114.20329225 22.32455079, 114.20330673 22.32456552, 114.20332187 22.32457959, 114.2033376 22.32459313, 114.20335391 22.32460606, 114.20337078 22.32461833, 114.20338827 22.32462997, 114.20339206 22.32463229, 114.20340613 22.3246409, 114.20342459 22.32465111, 114.2034434 22.32466058, 114.20346168 22.32466825, 114.20348018 22.3246753, 114.20349903 22.3246817, 114.20351814 22.32468731, 114.20353747 22.32469226, 114.20355696 22.32469642, 114.20357668 22.32469992, 114.20359647 22.32470264, 114.20361649 22.32470472, 114.20363647 22.32470596, 114.20365646 22.32470651, 114.20364854 22.3247672, 114.2037714 22.32481648, 114.20393236 22.3248691)))"/>
  </r>
  <r>
    <m/>
    <x v="236"/>
    <s v="Junction of Sheung Cheung Road, Cheung Yip Street &amp; Wang Chiu Road"/>
    <m/>
    <x v="3"/>
    <x v="3"/>
    <x v="3"/>
    <x v="1"/>
    <x v="31"/>
    <x v="4"/>
    <s v="2029-2033"/>
    <x v="0"/>
    <x v="2"/>
    <n v="1"/>
    <n v="37.5"/>
    <n v="37.5"/>
    <n v="41468.283546666666"/>
    <x v="210"/>
    <x v="0"/>
    <m/>
    <m/>
    <n v="144470"/>
    <n v="1555060.6329999999"/>
    <n v="108352.5"/>
    <n v="1166295.4747500001"/>
    <m/>
    <m/>
    <m/>
    <n v="0"/>
    <n v="0"/>
    <n v="1166295.4747500001"/>
    <n v="0"/>
    <s v="Commercial"/>
    <m/>
    <m/>
    <m/>
    <d v="2016-03-04T00:00:00"/>
    <s v="Redevelopment &amp; Site"/>
    <x v="24"/>
    <x v="1"/>
    <s v="Uncertain"/>
    <x v="2"/>
    <s v="Oct 2021: https://www.ekeo.gov.hk/filemanager/content/public/tc/KTDC_27_2021.pdf_x000a_May 2016: (Ming Pao) Car testing centre will relocate to Tsing Yi. The new centre in Tsing Yi will begin construction in 2016 Q3 and in operation by 2019 Q4. The centre in Action Area 1 will be demolition by 2021 Q3._x000a_May 2016: (Kwun Tong District Council Meeting) The plan is saved:_x000a_I:\CBRE Research\Hong Kong\01. Powerpoint Presentation\Standard Slides Library\Office\Long-term Commercial Land Supply Master\Kowloon Bay Action Area.pdf_x000a_Jan 2016 (Policy Address): The commercial floor area that can be provided by the two action areas in Kwun Tong and Kowloon Bay will increase from 500 000 or so square metres to about 560 000 square metres. Assume half in Action Area 1 half in Action Area 2"/>
    <x v="230"/>
    <s v="LAND011"/>
    <n v="22.318650000000002"/>
    <n v="114.21047"/>
    <s v="MULTIPOLYGON (((114.209786085701 22.3181050545206,114.209770368358 22.3181049195462,114.209754643196 22.3181049672607,114.209738913613 22.3181051979345,114.209723183587 22.3181056115667,114.209707456515 22.3181062083373,114.209691736281 22.3181069882454,114.209676026571 22.3181079510194,114.209660331074 22.3181090965682,114.209644653382 22.3181104246202,114.209628997182 22.3181119347232,114.209613366162 22.3181136264248,114.209597764011 22.3181154991826,114.209582194318 22.3181175523635,114.209566660579 22.3181197853348,114.209551166579 22.3181221972831,114.209546570927 22.3181337924106,114.209542117866 22.3181454417831,114.209537808561 22.318157143233,114.209533644078 22.3181688943219,114.209529625291 22.3181806927015,114.209525753267 22.3181925361141,114.209522028684 22.3182044222116,114.209518452513 22.3182163485555,114.209517820097 22.3182185145809,114.209517383591 22.3182200449032,114.209515025336 22.3182283126172,114.209511747831 22.3182403121389,114.209508620775 22.3182523446821,114.209505644651 22.3182644077183,114.209502819946 22.318276498809,114.209500147046 22.3182886154256,114.20949762634 22.3183007552202,114.209495258214 22.318312915664,114.209472460576 22.3184608760731,114.209453621856 22.3186494339811,114.209463400133 22.3187214637364,114.209440589363 22.3190610678807,114.209436956665 22.3191151502192,114.209774026094 22.3191387132532,114.210116408082 22.3191626470078,114.21055069701 22.3191930042806,114.210673955962 22.3192016199753,114.210695853906 22.3192034366933,114.211241680702 22.3192487203733,114.211302258496 22.3187736807496,114.211367849589 22.3182593245918,114.210634969362 22.3181750663657,114.210284309637 22.3181406619056,114.210201756465 22.318133735834,114.209951230505 22.3181127169258,114.209932575115 22.3181114313469,114.209913910626 22.3181102507033,114.209895238106 22.3181091749043,114.209876558623 22.3181082041305,114.209859574897 22.3181074172332,114.209857873244 22.3181073383815,114.209839182843 22.3181065777475,114.209820488488 22.3181059222283,114.209801791342 22.3181053718236,114.209786085701 22.3181050545206)))"/>
  </r>
  <r>
    <m/>
    <x v="237"/>
    <s v="Junction of Kai Fuk Road &amp; Wai Yip Street"/>
    <m/>
    <x v="3"/>
    <x v="3"/>
    <x v="3"/>
    <x v="1"/>
    <x v="31"/>
    <x v="4"/>
    <s v="2029-2033"/>
    <x v="0"/>
    <x v="2"/>
    <n v="1"/>
    <n v="33.75"/>
    <n v="33.75"/>
    <n v="41623.602637037038"/>
    <x v="211"/>
    <x v="0"/>
    <m/>
    <m/>
    <n v="130510"/>
    <n v="1404796.5889999999"/>
    <n v="97882.5"/>
    <n v="1053597.44175"/>
    <m/>
    <m/>
    <m/>
    <n v="0"/>
    <n v="0"/>
    <n v="1053597.44175"/>
    <n v="0"/>
    <s v="Commercial"/>
    <m/>
    <m/>
    <m/>
    <d v="2016-03-04T00:00:00"/>
    <s v="Redevelopment &amp; Site"/>
    <x v="24"/>
    <x v="1"/>
    <s v="Uncertain"/>
    <x v="2"/>
    <s v="Oct 2021: https://www.ekeo.gov.hk/filemanager/content/public/tc/KTDC_27_2021.pdf_x000a_May 2016: (Ming Pao) Car testing centre will relocate to Tsing Yi. The new centre in Tsing Yi will begin construction in 2016 Q3 and in operation by 2019 Q4. The centre in Action Area 1 will be demolition by 2021 Q3._x000a_May 2016: (Kwun Tong District Council Meeting) The plan is saved:_x000a_I:\CBRE Research\Hong Kong\01. Powerpoint Presentation\Standard Slides Library\Office\Long-term Commercial Land Supply Master\Kowloon Bay Action Area.pdf_x000a_Jan 2016 (Policy Address): The commercial floor area that can be provided by the two action areas in Kwun Tong and Kowloon Bay will increase from 500 000 or so square metres to about 560 000 square metres. Assume half in Action Area 1 half in Action Area 2"/>
    <x v="231"/>
    <s v="LAND012"/>
    <n v="22.317589999999999"/>
    <n v="114.21158"/>
    <s v="MultiPolygon (((114.21245589034055001 22.31790378061861446, 114.21246791000928056 22.31789852090679815, 114.21247987393074652 22.31789312457345531, 114.21249177938747721 22.31788759234161645, 114.21250362385609378 22.31788192493432632, 114.21251540452210804 22.3178761232552425, 114.21252711886219799 22.3178701882080297, 114.21253876435308428 22.31786412078658799, 114.21255033827733882 22.31785792207521268, 114.21256183811168228 22.31785159315816358, 114.21257326142996646 22.3178451351196685, 114.21258460561189452 22.31783854931488165, 114.21259586823128984 22.31783183691833017, 114.21260704686197585 22.31782499919488671, 114.21261813907787541 22.31781803768026151, 114.2126291425498863 22.31781095363930234, 114.2126400548519598 22.31780374869805783, 114.21265087384911396 22.31779642430190336, 114.21266159711531429 22.31778898198660599, 114.21267222251570672 22.31778142355878458, 114.21268274791538033 22.31777375055409962, 114.21269317117949527 22.31776596477919483, 114.21270349017318324 22.31775806786005845, 114.21271370285872138 22.31775006187418597, 114.21272380729537588 22.31774194844753367, 114.21273380163950151 22.31773372947698419, 114.21274368385341802 22.31772540713032882, 114.21275345219049768 22.31771698312378405, 114.21276310480719474 22.31770845962510919, 114.21277264005405527 22.31769983862145068, 114.21278205628156854 22.31769112228053942, 114.21279135184032327 22.31768231258947921, 114.21325169158782842 22.31726547667366489, 114.21318359965873412 22.31720112141566759, 114.21292285497807484 22.31695468476075561, 114.21292137914396392 22.31695328995246186, 114.2128800665747832 22.31691385882656675, 114.21286870574169825 22.31692215676709168, 114.21257231225840201 22.31713864294827943, 114.21255941178715432 22.31714553803232093, 114.21254640626200683 22.31715229262239575, 114.2125332982059831 22.31715890473120467, 114.21252009043327291 22.31716537237136677, 114.21250678556401681 22.31717169364582887, 114.21249338650952154 22.31717786665753778, 114.21247989608401952 22.31718388969002831, 114.21246631729596288 22.31718976102681751, 114.21245265286252391 22.31719547895143307, 114.21243890608334937 22.31720104192796228, 114.21242507977278535 22.31720644842055989, 114.21241117713341851 22.31721169707392249, 114.21239720136784968 22.31721678635209827, 114.21238315548455944 22.31722171499014351, 114.21236904278333668 22.31722648190365987, 114.21235486646675383 22.31723108573728354, 114.2123406298346282 22.31723552549699718, 114.21232633618669183 22.31723980018862719, 114.21231198882276203 22.31724390890840581, 114.21229759113967361 22.31724785075249429, 114.21228314643728652 22.31725162490743841, 114.21226865811247819 22.31725523074031514, 114.21225412956221135 22.31725866761824051, 114.21223956418339185 22.31726193499863697, 114.21222496547009939 22.31726503242917303, 114.21221033672225076 22.31726795954790887, 114.21219568153095736 22.31727071599282297, 114.21218100319620703 22.31727330158260258, 114.21216630511506196 22.31727571613588168, 114.2121515908786904 22.31727795965185024, 114.21213686388421138 22.31728003212978706, 114.21212212743166958 22.31728193365925605, 114.21210797651514213 22.31728377238768246, 114.21209379799671524 22.31728546383184408, 114.21207959469101922 22.31728700753962258, 114.21206536902442963 22.31728840314924867, 114.21205112381156255 22.31728965011825494, 114.21203686177001657 22.31729074817514658, 114.21202258552035858 22.31729169704842519, 114.2120082978772615 22.31729249655685265, 114.21199400136424629 22.31729314651929386, 114.21197969879598588 22.31729364675451066, 114.21196539298721007 22.317293997261892, 114.21195108655858519 22.31729419804085524, 114.21193678213070655 22.31729424918115967, 114.21192248261537827 22.31729415077247225, 114.21190819053624921 22.31729390299486582, 114.21189390870807756 22.31729350602833861, 114.21173187714875041 22.31728475033153458, 114.2117203772882732 22.31737411578843577, 114.21171885332020679 22.31738677746295352, 114.2114759007958753 22.31736629181188292, 114.21148732665821512 22.31727102660937234, 114.21143663994354256 22.31727335676252721, 114.21138595967032359 22.31727583852217123, 114.2113352867119147 22.31727847197841541, 114.21128462174756635 22.31728125695053677, 114.21123396565064922 22.317284193528657, 114.2111833191974597 22.3172872817125878, 114.21113268306720556 22.31729052132164171, 114.21108205823027504 22.31729391235558069, 114.2110314453659754 22.31729745490457972, 114.21098084515345761 22.31730114869759163, 114.21093025856316672 22.3173049938247452, 114.21087968627433895 22.31730899010529257, 114.21082912916027396 22.31731313753905965, 114.21077858790026482 22.3173174361259079, 114.21072806327052263 22.31732188559477947, 114.21067755614447492 22.31732648603583158, 114.21066223944987428 22.31732797214635156, 114.2106469337550152 22.31732959298964403, 114.21063164109801846 22.31733134856524359, 114.21061636341998735 22.31733323860185791, 114.21060110295316292 22.31733526300870807, 114.21058586163862003 22.31733742151448752, 114.21057064151453631 22.3173397140284635, 114.21055544461891884 22.31734214009868111, 114.21054027298997369 22.31734469945382671, 114.21052512876282492 22.31734739182253335, 114.21051001378141621 22.31735021675290298, 114.21049493018092846 22.31735317388326223, 114.21047987980529115 22.31735626267139239, 114.21046486488670268 22.3173594826653563, 114.21044988717201818 22.31736283332290682, 114.21043494869931578 22.31736631410183946, 114.21041869112697498 22.31736947321191877, 114.21040248204188572 22.31737286620272798, 114.21038632726727258 22.31737649217007302, 114.21037023262631749 22.31738035002904041, 114.21035420374795422 22.31738443824332307, 114.21033824655233957 22.31738875545712375, 114.21032236647427283 22.31739330004381117, 114.21030656914257406 22.31739807001553189, 114.21029432046510976 22.31750018844237715, 114.21026416771982781 22.31775157347813021, 114.21025325496141534 22.31784255400836869, 114.20997229397227102 22.31781986252391192, 114.20994183381280607 22.31781792310501089, 114.20991134287274349 22.31781633669263343, 114.20988082833423505 22.31781510364652732, 114.20985029718545434 22.31781422450707808, 114.20981975670559905 22.31781369954372352, 114.20978921397971817 22.31781352875503188, 114.20975867599580056 22.31781371204927211, 114.20972815003291601 22.31781424924434987, 114.20971496824195413 22.31783134827990978, 114.20970205640995232 22.3178486273297203, 114.20968941870916069 22.31786608097463187, 114.20967705911770906 22.31788370352462181, 114.20964562694896927 22.31792969313757879, 114.20962450215751005 22.31796553487660972, 114.20960726267483665 22.31799705848051829, 114.2095895742012317 22.31803195401676732, 114.20955771355151853 22.31810291374513255, 114.20955116657873418 22.31812219728306346, 114.20956666057942641 22.31811978533484719, 114.20958219431835801 22.31811755236351047, 114.20959776401053887 22.31811549918255722, 114.20961336616203141 22.31811362642483942, 114.20962899718189476 22.31811193472319133, 114.20964465338202842 22.31811042462023309, 114.20966033107438875 22.31810909656820385, 114.20967602657093209 22.31810795101937828, 114.20969173628057547 22.31810698824536487, 114.20970745651518996 22.31810620833727299, 114.20972318358664666 22.31810561156672179, 114.20973891361266794 22.31810519793451064, 114.20975464319622006 22.31810496726072657, 114.20977036835793683 22.31810491954616182, 114.2097860857007845 22.31810505452060411, 114.20980179134238597 22.31810537182361642, 114.20982048848759405 22.31810592222829825, 114.20983918284296976 22.31810657774750339, 114.20985787324383409 22.31810733838149829, 114.20985957489700979 22.31810741723320746, 114.20987655862259658 22.3181082041304748, 114.20989523810573019 22.31810917490432544, 114.20991391062565867 22.31811025070325272, 114.2099325751146921 22.31811143134689601, 114.20995123050529685 22.31811271692575005, 114.21020175646511063 22.31813373583398175, 114.21028430963660583 22.3181406619056304, 114.21063496936184833 22.31817506636573967, 114.21136784958869725 22.31825932459183193, 114.21140434690714471 22.31796288166811948, 114.21164628358525306 22.31798969059365945, 114.21160838834876472 22.31828849455794739, 114.21208752263247277 22.31836488997351609, 114.21209646885283462 22.31835872744676053, 114.2121596480829453 22.31828916881381275, 114.21235036420493714 22.31806564647899194, 114.21239908195582302 22.31800122670736286, 114.21243857501850982 22.31791961333918195, 114.21244381764203979 22.31790890289553175, 114.21245589034055001 22.31790378061861446)))"/>
  </r>
  <r>
    <m/>
    <x v="238"/>
    <s v="7 Kai Hing Road"/>
    <m/>
    <x v="4"/>
    <x v="3"/>
    <x v="3"/>
    <x v="1"/>
    <x v="31"/>
    <x v="4"/>
    <s v="2029-2033"/>
    <x v="0"/>
    <x v="2"/>
    <n v="1"/>
    <s v="21 + 5 basement levels"/>
    <n v="17"/>
    <n v="25000"/>
    <x v="212"/>
    <x v="0"/>
    <n v="48940.2"/>
    <n v="526787.41877999995"/>
    <n v="39483.830210239787"/>
    <n v="425000"/>
    <n v="29612.87265767984"/>
    <n v="318750"/>
    <m/>
    <m/>
    <m/>
    <n v="318750"/>
    <n v="0"/>
    <n v="0"/>
    <n v="0"/>
    <s v="Commercial"/>
    <m/>
    <s v="Town Planning Board"/>
    <d v="2019-01-02T00:00:00"/>
    <d v="2019-01-02T00:00:00"/>
    <s v="Redevelopment"/>
    <x v="9"/>
    <x v="0"/>
    <s v="For Lease"/>
    <x v="0"/>
    <s v="Jan 2020: Applying for revitalisation 2.0 for 20% plot ratio relaxation for office development"/>
    <x v="232"/>
    <s v="LAND065"/>
    <n v="22.314540000000001"/>
    <n v="114.21184"/>
    <s v="MULTIPOLYGON (((114.211791169994 22.3149821358764,114.212355174044 22.3144768145308,114.21199697882 22.314130713618,114.211432722457 22.3146357719057,114.211791169994 22.3149821358764)))"/>
  </r>
  <r>
    <m/>
    <x v="239"/>
    <s v="77 Hoi Yuen Road"/>
    <m/>
    <x v="4"/>
    <x v="3"/>
    <x v="3"/>
    <x v="1"/>
    <x v="31"/>
    <x v="4"/>
    <s v="2029-2033"/>
    <x v="0"/>
    <x v="3"/>
    <n v="1"/>
    <n v="15"/>
    <n v="15"/>
    <m/>
    <x v="41"/>
    <x v="2"/>
    <n v="66889.728000000003"/>
    <n v="719995.01211647992"/>
    <n v="26012.388817491035"/>
    <n v="195996.50848153594"/>
    <n v="19509.291613118276"/>
    <n v="146997.38136115196"/>
    <m/>
    <m/>
    <m/>
    <n v="0"/>
    <n v="0"/>
    <n v="146997.38136115196"/>
    <n v="0"/>
    <s v="Commercial"/>
    <m/>
    <s v="HKET"/>
    <d v="2018-04-24T00:00:00"/>
    <d v="2018-04-24T00:00:00"/>
    <s v="Redevelopment"/>
    <x v="131"/>
    <x v="0"/>
    <s v="Uncertain"/>
    <x v="2"/>
    <s v="Apr 2018: Biel Crystal unified the ownership of factory building phase 2 in Oct 2017. Phase 1 is under complusory sale. Height restriction to be 55m and estimated GFA will be 216,000 for such building height. The maximum GFA will be 480,000 sq. ft, if the owner pays land premium_x000a_Aug 2020: Applied Revitalisation 2.0"/>
    <x v="233"/>
    <m/>
    <n v="22.311492154371095"/>
    <n v="114.22542042145599"/>
    <s v="MultiPolygon (((114.22570623 22.3114017, 114.22572248 22.31138354, 114.22568017 22.31135087, 114.22549528 22.31120806, 114.22512027 22.31163036, 114.22522684 22.31171323, 114.22530119 22.31177103, 114.22534506 22.31180514, 114.22537562 22.31177101, 114.22540441 22.31173882, 114.22543013 22.31171006, 114.22570623 22.3114017)))"/>
  </r>
  <r>
    <m/>
    <x v="240"/>
    <s v="73-35 Hoi Yuen Road"/>
    <m/>
    <x v="4"/>
    <x v="3"/>
    <x v="3"/>
    <x v="1"/>
    <x v="31"/>
    <x v="4"/>
    <s v="2029-2033"/>
    <x v="0"/>
    <x v="3"/>
    <n v="1"/>
    <s v="26 + 4 basement"/>
    <n v="15"/>
    <m/>
    <x v="41"/>
    <x v="2"/>
    <n v="66889.728000000003"/>
    <n v="719995.01211647992"/>
    <n v="22296.5"/>
    <n v="167998.26352049998"/>
    <n v="16722.375"/>
    <n v="125998.69764037499"/>
    <m/>
    <m/>
    <m/>
    <n v="0"/>
    <n v="0"/>
    <n v="125998.69764037499"/>
    <n v="0"/>
    <s v="Commercial"/>
    <m/>
    <s v="HKET"/>
    <d v="2018-04-24T00:00:00"/>
    <d v="2018-04-24T00:00:00"/>
    <s v="Redevelopment"/>
    <x v="131"/>
    <x v="0"/>
    <s v="Uncertain"/>
    <x v="2"/>
    <s v="Apr 2018: Biel Crystal unified the ownership of factory building phase 2 in Oct 2017. Phase 1 is under complusory sale. Height restriction to be 55m and estimated GFA will be 216,000 for such building height. The maximum GFA will be 480,000 sq. ft, if the owner pays land premium_x000a_Aug 2020: Applied Revitalisation 2.0"/>
    <x v="234"/>
    <m/>
    <n v="22.311325900364402"/>
    <n v="114.225232666824"/>
    <m/>
  </r>
  <r>
    <m/>
    <x v="241"/>
    <s v="3-5 San Ma Tau St, Ma Tau Kok"/>
    <m/>
    <x v="5"/>
    <x v="4"/>
    <x v="4"/>
    <x v="1"/>
    <x v="31"/>
    <x v="4"/>
    <s v="2029-2033"/>
    <x v="0"/>
    <x v="3"/>
    <n v="1"/>
    <s v="23+2 basement"/>
    <n v="20"/>
    <n v="9945.0847450499987"/>
    <x v="213"/>
    <x v="1"/>
    <n v="24457.08"/>
    <n v="263253.56341200002"/>
    <n v="18478.59"/>
    <n v="198901.69490099998"/>
    <n v="13858.942500000001"/>
    <n v="149176.27117574998"/>
    <m/>
    <m/>
    <m/>
    <n v="0"/>
    <n v="0"/>
    <n v="149176.27117574998"/>
    <n v="0"/>
    <s v="Commercial"/>
    <m/>
    <s v="Town Planning Board"/>
    <d v="2021-08-01T00:00:00"/>
    <d v="2022-09-01T00:00:00"/>
    <s v="Redevelopment &amp; Site"/>
    <x v="132"/>
    <x v="0"/>
    <s v="Uncertain"/>
    <x v="2"/>
    <s v="Nov 2017: gist saved in I:\CBRE Research\Hong Kong\02. Databases\Office Database\Supply info\Lucky House redevelopment_x000a_Feb 2019: Approved by TPB"/>
    <x v="235"/>
    <s v="LAND120"/>
    <n v="22.28688"/>
    <n v="114.13751999999999"/>
    <s v="MultiPolygon (((114.13753667 22.28700035, 114.13755618 22.28693714, 114.13753509 22.28693022, 114.13754105 22.28691126, 114.13756209 22.28691801, 114.13756819 22.28689824, 114.13754777 22.28689115, 114.1375579 22.28685778, 114.1375785 22.28686485, 114.13760179 22.28678942, 114.13753087 22.28676815, 114.13750729 22.28684288, 114.1375166 22.28684714, 114.13749405 22.28691844, 114.13747102 22.28691258, 114.13745189 22.2869751, 114.13753667 22.28700035)))"/>
  </r>
  <r>
    <m/>
    <x v="242"/>
    <s v="58 Castle Peak Road"/>
    <m/>
    <x v="23"/>
    <x v="4"/>
    <x v="4"/>
    <x v="1"/>
    <x v="31"/>
    <x v="4"/>
    <s v="2029-2033"/>
    <x v="1"/>
    <x v="3"/>
    <n v="1"/>
    <s v="23+3 basement"/>
    <n v="10"/>
    <n v="5012.7482299999992"/>
    <x v="214"/>
    <x v="1"/>
    <m/>
    <m/>
    <n v="4657"/>
    <n v="50127.482299999996"/>
    <n v="3492.75"/>
    <n v="37595.611724999995"/>
    <m/>
    <m/>
    <m/>
    <n v="37595.611724999995"/>
    <n v="0"/>
    <n v="0"/>
    <n v="0"/>
    <s v="Commercial"/>
    <m/>
    <s v="Town Planning Board"/>
    <d v="2017-07-25T00:00:00"/>
    <d v="2017-07-25T00:00:00"/>
    <s v="Redevelopment"/>
    <x v="133"/>
    <x v="0"/>
    <s v="For Lease"/>
    <x v="0"/>
    <s v="Jul 2017: Section 16 Application to TPB. Pending to approval"/>
    <x v="236"/>
    <s v="LAND006"/>
    <m/>
    <m/>
    <m/>
  </r>
  <r>
    <m/>
    <x v="243"/>
    <s v="Kwun Tong Action Area"/>
    <m/>
    <x v="4"/>
    <x v="3"/>
    <x v="3"/>
    <x v="1"/>
    <x v="31"/>
    <x v="4"/>
    <s v="2029-2033"/>
    <x v="0"/>
    <x v="2"/>
    <s v="2 or 3"/>
    <m/>
    <s v="30 or 25"/>
    <m/>
    <x v="41"/>
    <x v="2"/>
    <n v="86650"/>
    <n v="932691.93499999994"/>
    <n v="65300"/>
    <n v="702889.2"/>
    <n v="48975"/>
    <n v="527166.89999999991"/>
    <m/>
    <m/>
    <m/>
    <n v="0"/>
    <n v="0"/>
    <n v="527166.89999999991"/>
    <n v="0"/>
    <s v="Commercial"/>
    <m/>
    <s v="Kwun Tong District Council"/>
    <d v="2021-03-01T00:00:00"/>
    <d v="2021-03-01T00:00:00"/>
    <s v="Redevelopment &amp; Site"/>
    <x v="24"/>
    <x v="1"/>
    <s v="Uncertain"/>
    <x v="2"/>
    <s v="Jul 2017: http://www.districtcouncils.gov.hk/kt/doc/2016_2019/tc/working_groups_doc/KTDRTF/12346/KTDRTF_10_2017.pdf_x000a_Mar 2021: Rezoned to Commercial (2)"/>
    <x v="237"/>
    <s v="LAND008"/>
    <n v="22.307780000000001"/>
    <n v="114.22198"/>
    <m/>
  </r>
  <r>
    <m/>
    <x v="244"/>
    <s v="West Kowloon Cultural District, OU(MU)ALL"/>
    <m/>
    <x v="6"/>
    <x v="5"/>
    <x v="1"/>
    <x v="1"/>
    <x v="31"/>
    <x v="4"/>
    <s v="2029-2033"/>
    <x v="0"/>
    <x v="4"/>
    <m/>
    <m/>
    <m/>
    <m/>
    <x v="41"/>
    <x v="2"/>
    <m/>
    <m/>
    <n v="129561.24999999999"/>
    <n v="1394597.2949999997"/>
    <n v="97170.937499999985"/>
    <n v="1045947.9712499997"/>
    <m/>
    <m/>
    <m/>
    <n v="0"/>
    <n v="0"/>
    <n v="1045947.9712499997"/>
    <n v="0"/>
    <s v="Commercial"/>
    <m/>
    <m/>
    <m/>
    <d v="2016-03-04T00:00:00"/>
    <s v="Site"/>
    <x v="24"/>
    <x v="1"/>
    <s v="Uncertain"/>
    <x v="2"/>
    <s v="Nov 2014: Jerry - Section 16 already approved by Town Planning Board http://www.hket.com/eti/article/cde3098f-acfc-4b7b-81ce-a7c2068b131e-703392?keyword=%25E8%25A5%25BF%25E4%25B9%259D%2B%25E5%2595%2586%25E6%25A5%25AD&amp;source=search_x000a_Sep 2014: Jerry - http://www.info.gov.hk/tpb/tc/plan_application/Attachment/20141003/s16fi_A_K20_121_11_gist.pdf (latest plan submitted)_x000a_Jul 2014: Jerry - 酒店／辦公室／住宅用途的最大總樓面面積由 318 800平方米 增至 366 620平方米 (+47 820平方米)（+15%）but http://the-sun.on.cc/cnt/news/20140821/00407_069.html 放寬樓面及高度限制 西九再申延期審議_x000a_Feb 2014: Jerry - http://www.legco.gov.hk/yr13-14/chinese/panels/wkcd/papers/wkcd0124cb2-716-1-c.pdf (西 九 用 地 的 整 體 發 展 密 度 限 制 訂 為 最 大 整 體 總 樓 面 面 積 740 350 平方米，相等於 1.81 倍的地積比率（土地面積為 40.91 公頃）。不同用途的總樓面面積管制只適用於酒店／辦公室／住宅用途，即酒店／辦公室／住宅的整體總樓面面積不得超過 318 800 平方米，而住宅的整體總樓面面積不得超過 148 070 平方米（即整幅用地的合計最大總樓面面積的 20%）。_x000a_Sep 2011: Sam (OS) - low-rise, mixed retail, no concreate plan. The site will be close to Fire Station on Canton Road. JD will touch base with CBRE Consulting for more details._x000a_no offical figure for office use as it is still at the conceptal designing stage; GFA from Home Affairs Bureau's estimation of 15% of total GFA"/>
    <x v="238"/>
    <s v="LAND093"/>
    <n v="22.300319999999999"/>
    <n v="114.155607"/>
    <s v="MULTIPOLYGON (((114.156445707443 22.3014538774425,114.157127732066 22.3024724598218,114.15736277945 22.3028234915793,114.156445707443 22.3014538774425)),((114.156400780996 22.3011425865259,114.156400783907 22.3011425896869,114.156415714184 22.3011587983579,114.156400780996 22.3011425865259)),((114.15934883702 22.3026320519982,114.159369971999 22.3026489234585,114.159395765378 22.3026651000594,114.159439707089 22.3026786506941,114.159478418984 22.3026835404002,114.159497964451 22.302683750103,114.159517519624 22.3026839599852,114.159542412928 22.3026802329965,114.159563745021 22.3026727940432,114.159616095955 22.3026468817474,114.159654657581 22.3021344707928,114.159674681899 22.3018684671629,114.160449513501 22.301918983213,114.160465771448 22.3017027749853,114.160465784453 22.3017027755285,114.160793520975 22.301724118874,114.160744623197 22.3023635625568,114.160832937031 22.30236137703,114.16119686405 22.3023851178621,114.161449797215 22.3024111050477,114.161709726803 22.3024395351311,114.161740185492 22.3020346550793,114.161758816488 22.3017869907886,114.163079537673 22.3018730027704,114.163030432576 22.3025497947388,114.163146685789 22.3025562977002,114.163195712103 22.3018805681272,114.164146141974 22.3019424597574,114.164121258163 22.3022731769355,114.164097841694 22.3025814532287,114.164239881056 22.3025834959294,114.164556149378 22.3026019698849,114.164556149864 22.3026019609446,114.164579214664 22.3023029589989,114.164631156448 22.3016119945422,114.165790973615 22.3016875283723,114.165717149616 22.3026691961627,114.165794650361 22.3026735869331,114.165868426788 22.3016925724349,114.166633574375 22.3017423993351,114.16656134834 22.3027170237276,114.166629183818 22.3027212883787,114.166700825319 22.3027257921891,114.167016686587 22.3027456699176,114.167357421305 22.3027668850158,114.167547646818 22.3027787308083,114.167787508052 22.3027936672599,114.167836167831 22.3027966952197,114.167837662661 22.3027921980574,114.167838895466 22.3027876376663,114.167839856538 22.3027830230764,114.167840545878 22.3027783633184,114.167846527846 22.3027189602786,114.167850549445 22.3026594126398,114.167852581561 22.302599783615,114.167852643602 22.3025401183582,114.167850725862 22.3024804891139,114.16784682834 22.3024209410351,114.16784096074 22.3023615283058,114.167833123063 22.3023022689871,114.167825595994 22.3022422601439,114.167819961376 22.3021820617621,114.167816228905 22.3021217460874,114.167814388874 22.3020613492417,114.167814470389 22.3020009254106,114.167816444331 22.3019405378066,114.167820320398 22.3018802225526,114.16782610829 22.3018200428635,114.167826341318 22.3018182728761,114.167827643257 22.3017948204441,114.167833371042 22.3017638909092,114.167865310377 22.3015960587157,114.1678772458 22.3014657927653,114.1678876127 22.3013526963616,114.1678772458 22.3014657924943,114.167490611059 22.3014406161968,114.167485236492 22.3015120011769,114.167482574558 22.3015473567811,114.167474671602 22.3016523232169,114.166789490783 22.3016077084196,114.166789491463 22.301607699389,114.166822295143 22.301166059223,114.166995522806 22.3011858468601,114.167138375444 22.3011958884678,114.167897494204 22.3012448960232,114.167909021687 22.3011190821354,114.167884672486 22.3011160030712,114.167020447302 22.3010067170969,114.166699127412 22.300970014997,114.165416760912 22.3008235526318,114.165059593108 22.3007827538905,114.16411824868 22.3006752275896,114.163975310022 22.3006588980076,114.163973380542 22.3006397710121,114.16396654972 22.3006259355684,114.163949703439 22.3006147182082,114.163818701373 22.3006008999462,114.16347049199 22.3005602880671,114.163214650903 22.3005289305673,114.163067501104 22.3005082290142,114.162908230148 22.3004883119517,114.162474756673 22.3004428411573,114.162078558825 22.3003996121903,114.161657906728 22.3003449833345,114.161589431265 22.3003398204362,114.161567721591 22.3003432229376,114.161555133309 22.3003556298186,114.161547619888 22.3003742050868,114.161142388032 22.3003261235421,114.16049658157 22.3002495163256,114.160294407523 22.3002255285959,114.160224962068 22.3002172946136,114.160219228225 22.3002152425418,114.159727533451 22.3000392675781,114.15903023901 22.299788385297,114.159037102243 22.2997720225738,114.15904253879 22.2997565085718,114.15905030634 22.299725994972,114.159043282088 22.2997111027166,114.159028901175 22.2997007159313,114.159002128284 22.2996840063526,114.158894426341 22.2996097537899,114.158793324016 22.2995325488775,114.158626519653 22.2993964388652,114.158520463571 22.2992809885648,114.158340112807 22.2990664638816,114.158227968004 22.2989113141005,114.158153824477 22.2987708885228,114.158074068088 22.2986588635509,114.158061997282 22.2986466166385,114.15805060542 22.2986371783258,114.158024114561 22.2986183644826,114.158011334609 22.2986115177932,114.15799179064 22.2986043723074,114.157970674358 22.2985985721985,114.15748191571 22.2985960583317,114.156999086098 22.2985967405557,114.156700282814 22.2986022034107,114.155730430769 22.2986063155635,114.155483605178 22.2986098774679,114.155466069116 22.2986097035784,114.155448533032 22.2986096741769,114.155430996927 22.2986097802328,114.155413460802 22.298610021746,114.155395934359 22.2986104077484,114.155378398192 22.2986109201764,114.155360881412 22.2986115770948,114.155343354979 22.2986118998773,114.155326002928 22.2986141732943,114.155309067879 22.2986183612555,114.155292792451 22.2986244096096,114.155277720033 22.2986327518985,114.155262705826 22.2986411844999,114.155247759533 22.2986497164457,114.155230464513 22.2986597381294,114.155051562485 22.2987780333597,114.154887491056 22.2988813034508,114.154754528448 22.299008445529,114.154517290755 22.2992531698768,114.154296678463 22.2995443135451,114.154302936588 22.3000369164351,114.154303616432 22.3003968678188,114.154303374856 22.3011167341937,114.154312919333 22.3013292981117,114.154313476745 22.3013633797259,114.15431340335 22.3013974612524,114.15431267974 22.3014315336579,114.154311325323 22.3014655969452,114.154309330398 22.3014996330515,114.154301240117 22.3017201143596,114.154301632362 22.3017553428372,114.154302405266 22.3017770254473,114.154303585772 22.3017986900528,114.154305173882 22.301820327623,114.154307169597 22.3018419381578,114.154309563211 22.3018635216559,114.15431237414 22.3018850510282,114.154315573267 22.3019065353011,114.154319189709 22.3019279654482,114.154323194352 22.3019493324347,114.154327606606 22.3019706362633,114.154332416771 22.3019918588713,114.154337624844 22.3020130092894,114.154343230829 22.3020340604257,114.154349234727 22.3020550213108,114.154355617128 22.3020758829112,114.154367315098 22.3021133073917,114.154374793962 22.3021353070004,114.154382690156 22.3021571712071,114.154390993972 22.3021789090412,114.154399695709 22.3022005114706,114.154408805074 22.3022219604354,114.154418322066 22.3022432649662,114.154428227278 22.3022644069989,114.154438540119 22.3022853865361,114.154449231477 22.3023062035739,114.154460320764 22.3023268310229,114.154471788569 22.302347277911,114.154483644599 22.3023675442394,114.154495879152 22.3023876029149,114.154506308062 22.3024111471576,114.15450903419 22.3024169361554,114.154513225288 22.3024255790283,114.154517018661 22.3024331472035,114.154524566703 22.3024475610992,114.154530087137 22.3024576129299,114.154535782272 22.3024675744784,114.154541166991 22.3024766780758,114.154548890024 22.3024892045963,114.154555361527 22.3024992836485,114.154562279408 22.3025096427108,114.154568440542 22.3025185658016,114.15457693037 22.3025303970687,114.154583848427 22.3025396634259,114.154591775625 22.3025499323192,114.154598732593 22.3025586297525,114.15467179645 22.3026430759743,114.154804019761 22.3027970297972,114.154810443248 22.3028040745467,114.154816420262 22.3028114533681,114.154821931396 22.3028191391668,114.154826947541 22.3028271138777,114.1548314687 22.3028353413786,114.154835465763 22.3028437945736,114.15483892903 22.3028524554002,114.1548418488 22.3028612877347,114.154844215372 22.302870264484,114.154846019048 22.3028793495243,114.154847250127 22.3028885157625,114.154847918317 22.3028977361081,114.154848004215 22.302906974436,114.154847527234 22.302916203657,114.15484646797 22.3029253966767,114.154847989594 22.3029383919338,114.154849161979 22.302950538266,114.154850382138 22.302967470829,114.154851281129 22.3029902190627,114.154851405737 22.3030001527529,114.154851394539 22.3030096981084,114.154851277103 22.303015947276,114.154851140388 22.3030213656247,114.154850721386 22.3030321932719,114.154850166658 22.3030421178393,114.154849485789 22.3030518978999,114.154848484481 22.3030628248048,114.154847327918 22.3030736071989,114.154846035559 22.3030839290133,114.154844685026 22.3030938986259,114.15484330563 22.3031022607857,114.154841858281 22.3031107403342,114.154839206788 22.3031239698213,114.154836992274 22.3031355287045,114.154835331209 22.3031453447545,114.154833932241 22.3031547364012,114.154832649657 22.3031645976555,114.154831930514 22.3031708828639,114.154831133468 22.3031788567862,114.154830258321 22.3031897837079,114.154829625812 22.3032006022951,114.154829235993 22.3032109784153,114.154829049799 22.3032224833896,114.154829077745 22.3032299426787,114.154829251018 22.3032389733141,114.15482957957 22.3032479949398,114.154830111854 22.3032574681238,114.154830751018 22.3032661285672,114.154831516379 22.303274572293,114.154832175323 22.3032808667187,114.154833619521 22.3032925254343,114.154835190027 22.3033032630446,114.154836217763 22.3033095123673,114.154869356082 22.3033956779224,114.154896879068 22.3033956958235,114.154956884225 22.3033957348993,114.157197629955 22.3033971413118,114.158057472754 22.3045464244708,114.158217044829 22.3044436016385,114.157299051457 22.3032165954991,114.157156331948 22.3032165060109,114.156573242888 22.3024245759821,114.15613019198 22.3018174912789,114.155999388776 22.3016382620126,114.155978490799 22.3015976035056,114.155960145334 22.3015558977728,114.15594439118 22.3015132802793,114.155931296246 22.3014698864938,114.155920899327 22.3014258699424,114.155913229514 22.3013813660885,114.155908325601 22.3013365284579,114.155906187564 22.3012915015408,114.155906825081 22.3012464388588,114.155910247834 22.3012014849031,114.15591060425 22.3011984774836,114.155912181501 22.3011851668327,114.155916436388 22.3011567841608,114.155925371309 22.3011124901495,114.155937023461 22.3010687383242,114.155951353997 22.3010256912304,114.155968314373 22.3009834752898,114.155987856043 22.3009422349852,114.156009901347 22.3009021057648,114.156034392035 22.3008632230794,114.156061231041 22.3008257043135,114.156090340706 22.3007896939459,114.156121633673 22.3007552822704,114.156154983761 22.3007226047288,114.156190303612 22.3006917696762,114.156227467054 22.3006628583708,114.156266347908 22.3006359881934,114.156306820004 22.3006112313717,114.156348757169 22.3005886872254,114.156392004121 22.3005684099175,114.156436444393 22.3005504807079,114.156481913001 22.3005349447279,114.156528264368 22.3005218742035,114.156575343216 22.3005112962064,114.156622994269 22.300503246839,114.156671071955 22.3004977531747,114.156719401588 22.3004948422832,114.156767827898 22.3004945141451,114.156816205315 22.3004967777731,114.15686435916 22.3005016150844,114.156912134163 22.3005090170295,114.156959375056 22.3005189564979,114.157005926572 22.3005313973487,114.157051623737 22.3005463124705,114.157096340401 22.3005636386343,114.157139911595 22.3005833306679,114.15718219176 22.3006053072789,114.15722304504 22.3006295142684,114.157262345291 22.3006558522853,114.157299956656 22.3006842490695,114.158305233 22.3015077241854,114.158398293464 22.3015680592841,114.158455266303 22.3016049949963,114.158736623747 22.3017873989404,114.158754620196 22.3015950829048,114.159138403782 22.3016174456608,114.159123387862 22.301809957952,114.158736957282 22.3017876151706,114.159006846822 22.3019625844762,114.1591789431 22.3021034718269,114.159179370054 22.3021039143734,114.159179845527 22.3021044020782,114.159181029357 22.3021056123091,114.159183620197 22.3021082766219,114.159193886481 22.3021191596271,114.15919887406 22.302124533384,114.159204240047 22.3021305393248,114.159210110584 22.3021373309836,114.159213662009 22.3021415035125,114.159223423526 22.3021533707979,114.159235212932 22.3021685254457,114.159238608994 22.3021733933145,114.159240782485 22.3021764278361,114.159245798998 22.3021832735846,114.15925252319 22.3021930183449,114.15925451229 22.3021960528464,114.159256743973 22.3021993853844,114.159259363755 22.302203449444,114.15926784406 22.3022168337308,114.159276382412 22.3022316809828,114.159281864377 22.3022415791278,114.159284610194 22.3022466817211,114.159288316466 22.3022543310512,114.159291537592 22.3022612307878,114.159295243847 22.3022690246075,114.159298949971 22.3022778750088,114.159302171005 22.3022855242861,114.159310174732 22.3023073431117,114.159316645036 22.3023297216693,114.159321281796 22.302346799059,114.15932672266 22.3023750835259,114.159329418147 22.3023947073386,114.159331657068 22.3024178801329,114.159331965804 22.3024324736367,114.159332167544 22.3024490177413,114.159331602568 22.3024658597734,114.15933022216 22.3024845439625,114.159327463236 22.3025067047888,114.159325093347 22.3025220926974,114.159322539501 22.3025339947695,114.159336067361 22.302617032713,114.15934883702 22.3026320519982),(114.156386215823 22.2996891926551,114.15689594975 22.299516272502,114.156919930509 22.2995553362535,114.157213714401 22.2999013391772,114.157183720528 22.2999794571592,114.157111753576 22.3000352495798,114.156512078666 22.3001411977831,114.156386203644 22.2997728943812,114.156368220391 22.2997282511932,114.156386215823 22.2996891926551),(114.159723237445 22.3003117616013,114.159642138187 22.3014975273528,114.158496785191 22.3014304406135,114.158589891994 22.3002084060339,114.159723237445 22.3003117616013),(114.159774156454 22.3007414357947,114.159885118598 22.300537773236,114.160157963695 22.3005461716716,114.160226926447 22.3005322284559,114.160415818257 22.3005461979607,114.160331760774 22.3014390077415,114.159894008598 22.3014082720127,114.159735117621 22.3012408519251,114.15975314656 22.3009199972492,114.159774156454 22.3007414357947),(114.161573047934 22.3016288530856,114.161033352569 22.3015897406424,114.161114429217 22.300501626209,114.161654117111 22.300571429016,114.161573047934 22.3016288530856),(114.160484749212 22.3014505327069,114.160499260688 22.3012576971427,114.16050716943 22.3011525960368,114.16050717011 22.3011525872772,114.160527465904 22.3008828545245,114.160854332625 22.3009042615074,114.160818870286 22.3013755758015,114.160818870092 22.3013755788719,114.160803494104 22.3015799303963,114.160476622021 22.301558637368,114.160476814473 22.3015560780211,114.160484749212 22.3014505327069),(114.162132762934 22.301200108868,114.162096976114 22.3016378662314,114.162187809502 22.3006356493719,114.16287314868 22.3007161210914,114.162873319485 22.3007138666253,114.163145163198 22.3007519086682,114.16316075836 22.3007535719771,114.163120226411 22.301312166254,114.162833940874 22.3012935160658,114.162802355698 22.3017126657305,114.162094970684 22.3016623973715,114.162094836794 22.3016640351675,114.161769661858 22.3016428603999,114.161804562264 22.3011789435584,114.161819089434 22.3011798786685,114.162132762934 22.301200108868),(114.155846170184 22.3020550922134,114.154772765869 22.3020437896123,114.154742895625 22.3013239508696,114.155810301961 22.3013073523181,114.155846170184 22.3020550922134),(114.159483208829 22.3016425934033,114.159444171816 22.3021168988967,114.159183317782 22.3021029204515,114.159216359357 22.3016258243129,114.159483208829 22.3016425934033),(114.156580607295 22.3031405175566,114.15653563546 22.3031154014297,114.156511653797 22.3030791276945,114.15649366887 22.3030428547073,114.156478681101 22.3030149522634,114.156472690038 22.3029758907212,114.155399276931 22.3029757524862,114.15540536428 22.3023814712418,114.15559725897 22.302378706411,114.155594278334 22.30226152364,114.156250915975 22.3022616082541,114.15679351423 22.3029787207152,114.156784514769 22.3030094102248,114.156769516588 22.3030540492744,114.156739526182 22.3031014765231,114.156712537316 22.3031265836868,114.156679553313 22.3031405298757,114.156634577449 22.30314331434,114.156580607295 22.3031405175566),(114.165840566182 22.3010539419431,114.165803756263 22.301543519033,114.164332235979 22.3014476868624,114.164374423624 22.3008868618551,114.165840566182 22.3010539419431),(114.163920814442 22.3008394706839,114.163845770705 22.301768553722,114.163324063633 22.3017350304511,114.163372127575 22.3007892050728,114.163920814442 22.3008394706839),(114.166679242048 22.3011493630448,114.166646228154 22.3015957701176,114.165884656122 22.3015427094486,114.165917675457 22.3010572417279,114.166679242048 22.3011493630448),(114.166775141427 22.3018050324339,114.16684710446 22.3017631860224,114.167350822846 22.3017911168012,114.167701626471 22.3018162474286,114.16785149585 22.3025584109163,114.167788521842 22.3026923301417,114.167644595341 22.3027760237579,114.166712110072 22.3027257472693,114.166775141427 22.3018050324339)),((114.159944335782 22.3024544196975,114.159903824429 22.3024700120673,114.159900069081 22.3024714574766,114.159891558645 22.3024747330754,114.159944335782 22.3024544196975)),((114.160109322642 22.3024098436173,114.160082498203 22.3024155401609,114.16005351866 22.3024216950517,114.160109322642 22.3024098436173)),((114.16656134834 22.3027170237276,114.166526522656 22.3027150507692,114.166513833566 22.3027143319389,114.16656134834 22.3027170237276)))"/>
  </r>
  <r>
    <m/>
    <x v="245"/>
    <s v="West Kowloon Cultural District, OU(MU)3"/>
    <m/>
    <x v="6"/>
    <x v="5"/>
    <x v="1"/>
    <x v="1"/>
    <x v="31"/>
    <x v="4"/>
    <s v="2029-2033"/>
    <x v="3"/>
    <x v="2"/>
    <m/>
    <m/>
    <m/>
    <m/>
    <x v="41"/>
    <x v="2"/>
    <m/>
    <m/>
    <n v="24525.083612040136"/>
    <n v="263988"/>
    <n v="18393.812709030102"/>
    <n v="197991"/>
    <m/>
    <m/>
    <m/>
    <n v="0"/>
    <n v="0"/>
    <n v="197991"/>
    <n v="0"/>
    <s v="Commercial"/>
    <m/>
    <m/>
    <m/>
    <d v="2016-03-04T00:00:00"/>
    <s v="Site"/>
    <x v="24"/>
    <x v="1"/>
    <s v="Uncertain"/>
    <x v="2"/>
    <m/>
    <x v="239"/>
    <s v="LAND098"/>
    <n v="22.302095999999999"/>
    <n v="114.16244500000001"/>
    <s v="MULTIPOLYGON (((114.163079537673 22.3018730027704,114.161758816488 22.3017869907886,114.161740185492 22.3020346550793,114.161709726803 22.3024395351311,114.161940485342 22.3024647745989,114.162884269333 22.3025416186728,114.163030432576 22.3025497947388,114.163079537673 22.3018730027704)),((114.162094836794 22.3016640351675,114.162094970684 22.3016623973715,114.16209475419 22.301662381987,114.162096976114 22.3016378662314,114.162132762934 22.301200108868,114.161819089434 22.3011798786685,114.161804562264 22.3011789435584,114.161769661858 22.3016428603999,114.162094836794 22.3016640351675)))"/>
  </r>
  <r>
    <m/>
    <x v="246"/>
    <s v="West Kowloon Cultural District, OU(MU)4"/>
    <m/>
    <x v="6"/>
    <x v="5"/>
    <x v="1"/>
    <x v="1"/>
    <x v="31"/>
    <x v="4"/>
    <s v="2029-2033"/>
    <x v="3"/>
    <x v="2"/>
    <m/>
    <m/>
    <m/>
    <m/>
    <x v="41"/>
    <x v="2"/>
    <m/>
    <m/>
    <n v="40835.284280936459"/>
    <n v="439551"/>
    <n v="30626.463210702343"/>
    <n v="329663.25"/>
    <m/>
    <m/>
    <m/>
    <n v="0"/>
    <n v="0"/>
    <n v="329663.25"/>
    <n v="0"/>
    <s v="Commercial"/>
    <m/>
    <m/>
    <m/>
    <d v="2016-03-04T00:00:00"/>
    <s v="Site"/>
    <x v="24"/>
    <x v="1"/>
    <s v="Uncertain"/>
    <x v="2"/>
    <m/>
    <x v="240"/>
    <s v="LAND099"/>
    <n v="22.302251999999999"/>
    <n v="114.163676"/>
    <s v="MULTIPOLYGON (((114.164146141974 22.3019424597574,114.163195712103 22.3018805681272,114.163146685789 22.3025562977002,114.163410771494 22.3025713286352,114.164097841694 22.3025814532287,114.164121258163 22.3022731769355,114.164146141974 22.3019424597574)),((114.164374423624 22.3008868618551,114.164332235979 22.3014476868624,114.165803756263 22.301543519033,114.165840566182 22.3010539419431,114.164374423624 22.3008868618551)))"/>
  </r>
  <r>
    <m/>
    <x v="247"/>
    <s v="West Kowloon Cultural District, OU(MU)5"/>
    <m/>
    <x v="6"/>
    <x v="5"/>
    <x v="1"/>
    <x v="1"/>
    <x v="31"/>
    <x v="4"/>
    <s v="2029-2033"/>
    <x v="3"/>
    <x v="2"/>
    <m/>
    <m/>
    <m/>
    <m/>
    <x v="41"/>
    <x v="2"/>
    <m/>
    <m/>
    <n v="10010.033444816054"/>
    <n v="107748"/>
    <n v="7507.5250836120404"/>
    <n v="80811"/>
    <m/>
    <m/>
    <m/>
    <n v="0"/>
    <n v="0"/>
    <n v="80811"/>
    <n v="0"/>
    <s v="Commercial"/>
    <m/>
    <m/>
    <m/>
    <d v="2016-03-04T00:00:00"/>
    <s v="Site"/>
    <x v="24"/>
    <x v="1"/>
    <s v="Uncertain"/>
    <x v="2"/>
    <m/>
    <x v="241"/>
    <s v="LAND100"/>
    <n v="22.302131299999999"/>
    <n v="114.16621000000001"/>
    <s v="MULTIPOLYGON (((114.165868426788 22.3016925724349,114.165794650361 22.3026735869331,114.166513833566 22.3027143319389,114.166526522656 22.3027150507692,114.16656134834 22.3027170237276,114.166633574375 22.3017423993351,114.165868426788 22.3016925724349)))"/>
  </r>
  <r>
    <m/>
    <x v="248"/>
    <s v="West Kowloon Cultural District, OU(MU)6"/>
    <m/>
    <x v="6"/>
    <x v="5"/>
    <x v="1"/>
    <x v="1"/>
    <x v="31"/>
    <x v="4"/>
    <s v="2029-2033"/>
    <x v="3"/>
    <x v="2"/>
    <m/>
    <m/>
    <m/>
    <m/>
    <x v="41"/>
    <x v="2"/>
    <m/>
    <m/>
    <n v="11100.334448160536"/>
    <n v="119484"/>
    <n v="8325.2508361204018"/>
    <n v="89613"/>
    <m/>
    <m/>
    <m/>
    <n v="0"/>
    <n v="0"/>
    <n v="89613"/>
    <n v="0"/>
    <s v="Commercial"/>
    <m/>
    <m/>
    <m/>
    <d v="2016-03-04T00:00:00"/>
    <s v="Site"/>
    <x v="24"/>
    <x v="1"/>
    <s v="Uncertain"/>
    <x v="2"/>
    <m/>
    <x v="242"/>
    <s v="LAND101"/>
    <n v="22.301349999999999"/>
    <n v="114.16736"/>
    <s v="MULTIPOLYGON (((114.167485236492 22.3015120011769,114.167490611059 22.3014406161968,114.1678772458 22.3014657924943,114.1678876127 22.3013526963616,114.167897494204 22.3012448960232,114.167138375444 22.3011958884678,114.166995522806 22.3011858468601,114.166822295143 22.301166059223,114.166789491463 22.301607699389,114.166789490783 22.3016077084196,114.167474671602 22.3016523232169,114.167482574558 22.3015473567811,114.167485236492 22.3015120011769)))"/>
  </r>
  <r>
    <m/>
    <x v="249"/>
    <s v="West Kowloon Cultural District, OU(MU)7"/>
    <m/>
    <x v="6"/>
    <x v="5"/>
    <x v="1"/>
    <x v="1"/>
    <x v="31"/>
    <x v="4"/>
    <s v="2029-2033"/>
    <x v="3"/>
    <x v="2"/>
    <m/>
    <m/>
    <m/>
    <m/>
    <x v="41"/>
    <x v="2"/>
    <m/>
    <m/>
    <n v="4087.7926421404686"/>
    <n v="44001"/>
    <n v="3065.8444816053516"/>
    <n v="33000.75"/>
    <m/>
    <m/>
    <m/>
    <n v="0"/>
    <n v="0"/>
    <n v="33000.75"/>
    <n v="0"/>
    <s v="Commercial"/>
    <m/>
    <m/>
    <m/>
    <d v="2016-03-04T00:00:00"/>
    <s v="Site"/>
    <x v="24"/>
    <x v="1"/>
    <s v="Uncertain"/>
    <x v="2"/>
    <m/>
    <x v="243"/>
    <s v="LAND102"/>
    <n v="22.301023399999998"/>
    <n v="114.1629887"/>
    <s v="MULTIPOLYGON (((114.162873319485 22.3007138666253,114.16287314868 22.3007161210914,114.162877412954 22.3007166217974,114.162833940874 22.3012935160658,114.163120226411 22.301312166254,114.16316075836 22.3007535719771,114.163145163198 22.3007519086682,114.162873319485 22.3007138666253)))"/>
  </r>
  <r>
    <m/>
    <x v="250"/>
    <s v="West Kowloon Cultural District, OU(MU)1"/>
    <m/>
    <x v="6"/>
    <x v="5"/>
    <x v="1"/>
    <x v="1"/>
    <x v="31"/>
    <x v="4"/>
    <s v="2029-2033"/>
    <x v="0"/>
    <x v="2"/>
    <m/>
    <m/>
    <m/>
    <m/>
    <x v="41"/>
    <x v="2"/>
    <n v="135005.99225187898"/>
    <n v="1453191.0000000002"/>
    <n v="60066"/>
    <n v="646544.41739999992"/>
    <n v="45049.5"/>
    <n v="484908.31304999994"/>
    <m/>
    <m/>
    <m/>
    <n v="484908.31304999994"/>
    <n v="0"/>
    <n v="0"/>
    <n v="0"/>
    <s v="Commercial"/>
    <m/>
    <m/>
    <m/>
    <d v="2016-03-04T00:00:00"/>
    <s v="Site"/>
    <x v="24"/>
    <x v="1"/>
    <s v="For Lease"/>
    <x v="0"/>
    <m/>
    <x v="244"/>
    <s v="LAND094"/>
    <n v="22.300819000000001"/>
    <n v="114.156355"/>
    <s v="MULTIPOLYGON (((114.158161763642 22.3038042105922,114.158164063911 22.3038026304999,114.15816618952 22.3038008426834,114.158168121054 22.3037988742323,114.158169829399 22.3037967341739,114.158171304846 22.3037944495989,114.158172527981 22.3037920475969,114.158173498803 22.3037895371986,114.158174188193 22.303786954523,114.158174615558 22.3037843266643,114.15817475178 22.3037816626496,114.158174616265 22.3037789986036,114.158174199304 22.3037763706478,114.158173500895 22.3037737878126,114.158172540444 22.3037712771922,114.158171308244 22.3037688658773,114.158169833404 22.303766580963,114.158106802132 22.3036789496785,114.158018795237 22.3035565972885,114.158013157668 22.3035494127832,114.158006918335 22.3035426932844,114.158000096644 22.3035364704014,114.157992750819 22.3035307802633,114.157984929377 22.3035256770594,114.157976690543 22.3035211878883,114.15796808284 22.3035173398472,114.157959154786 22.3035141600337,114.157949993722 22.3035116755497,114.157940628761 22.3035098954292,114.157931147245 22.3035088377434,114.157921597698 22.3035085024982,114.157912057758 22.303508898733,114.157902585653 22.3035100264547,114.157893239615 22.3035118676089,114.157884087579 22.3035144131729,114.157874838474 22.3035171032148,114.157865424456 22.3035192784921,114.157855903754 22.3035209299809,114.157846286074 22.3035220667129,114.157836610236 22.3035226706314,114.157826915059 22.3035227507717,114.157817239364 22.3035222981075,114.15780760256 22.3035213126412,114.157798043467 22.3035198034081,114.157788591197 22.303517779442,114.157779294275 22.3035152407487,114.15777017211 22.3035121963612,114.157761253813 22.3035086643441,114.1577525685 22.3035046447009,114.157744164692 22.3035001645291,114.157736052092 22.30349522383,114.157728259813 22.3034898496988,114.157720826671 22.3034840602014,114.157713772073 22.303477882432,114.157707115427 22.3034713163928,114.157700885843 22.3034644072405,114.157695102729 22.3034571640079,114.157689785489 22.30344962282,114.157684963237 22.3034418017413,114.157680635967 22.3034337278637,114.157676823086 22.303425437312,114.157667325088 22.3034029680285,114.157636531811 22.3033300873512,114.157611083969 22.3032716111268,114.157584364746 22.3032136224003,114.157556393548 22.3031561572957,114.157527160671 22.3030992248419,114.157496704929 22.3030428611654,114.157465026322 22.3029870843265,114.157432134552 22.3029319123871,114.157398049028 22.3028773724406,114.15736277945 22.3028234915793,114.157127732066 22.3024724598218,114.156445707443 22.3014538774425,114.156430920966 22.3014295742022,114.156418386145 22.3014042056313,114.156408190296 22.301377943323,114.156400401325 22.3013509769292,114.156395067725 22.3013234960991,114.156392247696 22.3012956995139,114.156391941207 22.3012677768166,114.156394157931 22.3012399357126,114.156398888137 22.3012123568127,114.156406083269 22.3011852478149,114.156415714184 22.3011587983579,114.156400783907 22.3011425896869,114.156400780996 22.3011425865259,114.156412934799 22.3011184311626,114.156427009996 22.3010951881319,114.156442928929 22.3010730019136,114.156460594531 22.3010519989233,114.156479909739 22.3010322875159,114.156500758081 22.301013985074,114.156523042493 22.3009971999523,114.156546607687 22.300982022437,114.156571346899 22.3009685428204,114.156597095142 22.3009568242956,114.156623726241 22.300946948122,114.156638251899 22.3009627264136,114.156666862404 22.3009552977758,114.156696025753 22.3009500997632,114.156725567256 22.3009471865377,114.156755254001 22.3009465671009,114.156784901599 22.3009482414299,114.156814286844 22.3009522185278,114.156843225354 22.3009584441883,114.15687150363 22.3009669003242,114.156898917888 22.3009775056353,114.156925303155 22.3009902059181,114.156950455649 22.3010048927807,114.1573219673 22.3012402395578,114.15748179969 22.3013414918797,114.157893487301 22.3016022903951,114.158127458517 22.3017505099036,114.158253260342 22.3018302014592,114.158293376318 22.3018565573775,114.158294307893 22.3018571715656,114.158334345997 22.3018854238936,114.158373326135 22.3019149223159,114.158411199785 22.3019456487666,114.158447937841 22.3019775490594,114.158531010603 22.3020522145302,114.158533155124 22.3020540028335,114.158535474359 22.3020555834523,114.158537958602 22.302056947355,114.158540569038 22.3020580764759,114.15854328626 22.3020589527517,114.158546090856 22.3020595852107,114.15854894401 22.3020599557873,114.158551816609 22.3020600554477,114.158554698947 22.3020598932213,114.1585575425 22.3020594691028,114.158560318153 22.3020587830887,114.158563016201 22.3020578442087,114.158565607528 22.3020566614901,114.158568053313 22.3020552529897,114.158570334147 22.3020536187054,114.15857244032 22.3020517857279,114.158612118375 22.302013554571,114.158612604544 22.3020131133899,114.158614641905 22.3020113152622,114.158616951832 22.3020098254703,114.158619465518 22.3020086608034,114.158622134435 22.3020078393171,114.158624900352 22.3020073880968,114.158627705039 22.3020073161665,114.158630490268 22.3020076144892,114.158633207515 22.30200829209,114.158635788849 22.3020093218694,114.158638176044 22.3020106947903,114.158640339991 22.3020123656963,114.159025206613 22.30235827184,114.159027370558 22.302360033047,114.159029699511 22.3023615865679,114.159032193474 22.3023629143416,114.159034813629 22.3023640073332,114.159037530863 22.3023648565088,114.159040335471 22.3023654618674,114.159043178933 22.3023657963118,114.159046051542 22.3023658688716,114.159048914479 22.3023656795425,114.159051738629 22.3023652373519,114.15905451429 22.3023645242376,114.159057192933 22.3023635672861,114.159059755149 22.3023623755258,114.159062181527 22.3023609489547,114.159064452656 22.3023593056318,114.159066529714 22.3023574636142,114.159068402995 22.3023554319313,114.159070053086 22.3023532467036,114.159071460574 22.3023509259901,114.159072625458 22.3023484788215,114.159073518619 22.302345941317,114.159074140056 22.3023433315379,114.159074344006 22.3023421485499,114.159074586831 22.3023405230661,114.159074751992 22.3023391052779,114.159074907466 22.3023375429989,114.159075014424 22.3023359175003,114.159075092317 22.3023339036821,114.159075102199 22.3023324949075,114.159075073288 22.3023308874552,114.159075005549 22.3023293522436,114.15907485053 22.3023273113081,114.159074685753 22.3023256948103,114.159074443359 22.3023239067225,114.159074181525 22.302322362459,114.159073856276 22.3023203898666,114.159117290404 22.3024746503968,114.159279919874 22.3025807326168,114.159315825032 22.3026017778243,114.159336067361 22.302617032713,114.159322539501 22.3025339947695,114.159325093347 22.3025220926974,114.159327463236 22.3025067047888,114.15933022216 22.3024845439625,114.159331602568 22.3024658597734,114.159332167544 22.3024490177413,114.159331965804 22.3024324736367,114.159331657068 22.3024178801329,114.159329418147 22.3023947073386,114.15932672266 22.3023750835259,114.159321281796 22.302346799059,114.159316645036 22.3023297216693,114.159310174732 22.3023073431117,114.159302171005 22.3022855242861,114.159298949971 22.3022778750088,114.159295243847 22.3022690246075,114.159291537592 22.3022612307878,114.159288316466 22.3022543310512,114.159284610194 22.3022466817211,114.159281864377 22.3022415791278,114.159276382412 22.3022316809828,114.15926784406 22.3022168337308,114.159259363755 22.302203449444,114.159256743973 22.3021993853844,114.15925451229 22.3021960528464,114.15925252319 22.3021930183449,114.159245798998 22.3021832735846,114.159240782485 22.3021764278361,114.159238608994 22.3021733933145,114.159235212932 22.3021685254457,114.159223423526 22.3021533707979,114.159213662009 22.3021415035125,114.159210110584 22.3021373309836,114.159204240047 22.3021305393248,114.15919887406 22.302124533384,114.159193886481 22.3021191596271,114.159183620197 22.3021082766219,114.159181029357 22.3021056123091,114.159179845527 22.3021044020782,114.159179370054 22.3021039143734,114.1591789431 22.3021034718269,114.159006846822 22.3019625844762,114.158736957282 22.3017876151706,114.158736605417 22.3017875948263,114.158736623747 22.3017873989404,114.158455266303 22.3016049949963,114.158398293464 22.3015680592841,114.158305233 22.3015077241854,114.157299956656 22.3006842490695,114.157262345291 22.3006558522853,114.15722304504 22.3006295142684,114.15718219176 22.3006053072789,114.157139911595 22.3005833306679,114.157096340401 22.3005636386343,114.157051623737 22.3005463124705,114.157005926572 22.3005313973487,114.156959375056 22.3005189564979,114.156912134163 22.3005090170295,114.15686435916 22.3005016150844,114.156816205315 22.3004967777731,114.156767827898 22.3004945141451,114.156719401588 22.3004948422832,114.156671071955 22.3004977531747,114.156622994269 22.300503246839,114.156575343216 22.3005112962064,114.156528264368 22.3005218742035,114.156481913001 22.3005349447279,114.156436444393 22.3005504807079,114.156392004121 22.3005684099175,114.156348757169 22.3005886872254,114.156306820004 22.3006112313717,114.156266347908 22.3006359881934,114.156227467054 22.3006628583708,114.156190303612 22.3006917696762,114.156154983761 22.3007226047288,114.156121633673 22.3007552822704,114.156090340706 22.3007896939459,114.156061231041 22.3008257043135,114.156034392035 22.3008632230794,114.156009901347 22.3009021057648,114.155987856043 22.3009422349852,114.155968314373 22.3009834752898,114.155951353997 22.3010256912304,114.155937023461 22.3010687383242,114.155925371309 22.3011124901495,114.155916436388 22.3011567841608,114.155912181501 22.3011851668327,114.15591060425 22.3011984774836,114.155910247834 22.3012014849031,114.155906825081 22.3012464388588,114.155906187564 22.3012915015408,114.155908325601 22.3013365284579,114.155913229514 22.3013813660885,114.155920899327 22.3014258699424,114.155931296246 22.3014698864938,114.15594439118 22.3015132802793,114.155960145334 22.3015558977728,114.155978490799 22.3015976035056,114.155999388776 22.3016382620126,114.15613019198 22.3018174912789,114.156573242888 22.3024245759821,114.157156331948 22.3032165060109,114.157299051457 22.3032165954991,114.158217044829 22.3044436016385,114.15821704484 22.304443601631,114.158352498875 22.3043563188332,114.158437424168 22.3043015758901,114.158317347295 22.3041378824105,114.158105130933 22.3038392699297,114.158161763642 22.3038042105922)))"/>
  </r>
  <r>
    <m/>
    <x v="251"/>
    <s v="20 Tonnochy Road"/>
    <m/>
    <x v="11"/>
    <x v="8"/>
    <x v="7"/>
    <x v="0"/>
    <x v="32"/>
    <x v="4"/>
    <s v="2030+"/>
    <x v="0"/>
    <x v="1"/>
    <m/>
    <m/>
    <m/>
    <m/>
    <x v="41"/>
    <x v="2"/>
    <m/>
    <m/>
    <n v="151200"/>
    <n v="1627516.7999999998"/>
    <n v="113400"/>
    <n v="1220637.5999999999"/>
    <m/>
    <m/>
    <m/>
    <n v="0"/>
    <n v="0"/>
    <n v="1220637.5999999999"/>
    <n v="0"/>
    <s v="Commercial"/>
    <m/>
    <s v="2012 Legco discussion"/>
    <d v="2012-11-10T00:00:00"/>
    <d v="2016-03-02T00:00:00"/>
    <s v="Redevelopment"/>
    <x v="24"/>
    <x v="1"/>
    <s v="Uncertain"/>
    <x v="2"/>
    <s v="First proposed to be  Exhibition and Convention Centre Ph3._x000a_Then Home Affairs Bureau expressed interest to move all the sports activities from here to HK Stadium and from HK Stadium to Kai Tak_x000a_So this piece could be converted into commercial use but subject to Lands Dept decision on either it be Exhibition use or Office use"/>
    <x v="245"/>
    <s v="LAND089"/>
    <n v="22.28145"/>
    <n v="114.17726999999999"/>
    <s v="MultiPolygon (((114.1772464 22.28140401, 114.17723815 22.28142403, 114.17726371 22.28149504, 114.17729341 22.28150519, 114.17732181 22.28142972, 114.1772464 22.28140401)))"/>
  </r>
  <r>
    <m/>
    <x v="252"/>
    <s v="Kai Tak City Centre (Runway) Site 4B5"/>
    <m/>
    <x v="18"/>
    <x v="3"/>
    <x v="3"/>
    <x v="1"/>
    <x v="32"/>
    <x v="4"/>
    <s v="2030+"/>
    <x v="0"/>
    <x v="1"/>
    <n v="1"/>
    <n v="30"/>
    <n v="15"/>
    <n v="11125.895367599998"/>
    <x v="215"/>
    <x v="1"/>
    <m/>
    <m/>
    <n v="31008.627"/>
    <n v="333776.86102799996"/>
    <n v="23256.470249999998"/>
    <n v="250332.64577099995"/>
    <m/>
    <m/>
    <m/>
    <n v="0"/>
    <n v="0"/>
    <n v="250332.64577099995"/>
    <n v="0"/>
    <s v="Commercial"/>
    <m/>
    <s v="Land sale programme 2017-18"/>
    <d v="2017-02-23T00:00:00"/>
    <d v="2017-02-23T00:00:00"/>
    <s v="Site"/>
    <x v="24"/>
    <x v="1"/>
    <s v="Uncertain"/>
    <x v="2"/>
    <s v="Was intended to be hotel (zone: Commercial (4)), but now being rezoned into C(5), although planning intention indicated the site is &quot;intended&quot; for hotel and commercial, this means the whole site could be in office use."/>
    <x v="246"/>
    <s v="LAND053"/>
    <m/>
    <m/>
    <m/>
  </r>
  <r>
    <m/>
    <x v="253"/>
    <s v="38 Queensway"/>
    <m/>
    <x v="22"/>
    <x v="9"/>
    <x v="8"/>
    <x v="0"/>
    <x v="33"/>
    <x v="4"/>
    <s v="2033+"/>
    <x v="0"/>
    <x v="1"/>
    <n v="1"/>
    <m/>
    <m/>
    <n v="27769.247414999998"/>
    <x v="216"/>
    <x v="0"/>
    <m/>
    <m/>
    <n v="59535"/>
    <n v="640828.78649999993"/>
    <n v="47628"/>
    <n v="480621.58987499995"/>
    <m/>
    <m/>
    <m/>
    <n v="0"/>
    <n v="0"/>
    <n v="480621.58987499995"/>
    <n v="0"/>
    <s v="Commercial"/>
    <m/>
    <m/>
    <m/>
    <m/>
    <s v="Redevelopment"/>
    <x v="24"/>
    <x v="1"/>
    <s v="Uncertain"/>
    <x v="2"/>
    <m/>
    <x v="247"/>
    <s v="LAND038"/>
    <n v="22.278310000000001"/>
    <n v="114.16329"/>
    <m/>
  </r>
  <r>
    <m/>
    <x v="254"/>
    <s v="48-94 Pan Hoi Street"/>
    <m/>
    <x v="0"/>
    <x v="0"/>
    <x v="0"/>
    <x v="0"/>
    <x v="33"/>
    <x v="4"/>
    <s v="2033+"/>
    <x v="0"/>
    <x v="1"/>
    <n v="1"/>
    <s v="26+4 basement &amp; 2 podium"/>
    <n v="25"/>
    <n v="12928.735567999998"/>
    <x v="217"/>
    <x v="1"/>
    <n v="32528"/>
    <n v="350128.13919999998"/>
    <n v="30028"/>
    <n v="323218.38919999998"/>
    <n v="22521"/>
    <n v="242413.79189999998"/>
    <m/>
    <m/>
    <m/>
    <n v="242413.79189999998"/>
    <n v="0"/>
    <n v="0"/>
    <n v="0"/>
    <s v="Commercial"/>
    <m/>
    <s v="Town Planning Board"/>
    <d v="2018-10-11T00:00:00"/>
    <d v="2018-10-11T00:00:00"/>
    <s v="Redevelopment"/>
    <x v="134"/>
    <x v="0"/>
    <s v="For Lease"/>
    <x v="0"/>
    <s v="Oct 18 (Peter): actual design refer to supply info"/>
    <x v="248"/>
    <s v="LAND007"/>
    <n v="22.286180000000002"/>
    <n v="114.2119"/>
    <m/>
  </r>
  <r>
    <m/>
    <x v="255"/>
    <s v="983-987A King's Road &amp; 16-46 Pan Hoi Street"/>
    <m/>
    <x v="0"/>
    <x v="0"/>
    <x v="0"/>
    <x v="0"/>
    <x v="33"/>
    <x v="4"/>
    <s v="2033+"/>
    <x v="0"/>
    <x v="1"/>
    <n v="2"/>
    <s v="25+7 basement"/>
    <m/>
    <n v="20569.308342187498"/>
    <x v="218"/>
    <x v="0"/>
    <n v="61150.5"/>
    <n v="658217.86694999994"/>
    <n v="55000"/>
    <n v="592014.5"/>
    <n v="41250"/>
    <n v="444010.875"/>
    <m/>
    <m/>
    <m/>
    <n v="444010.875"/>
    <n v="0"/>
    <n v="0"/>
    <n v="0"/>
    <s v="Commercial"/>
    <m/>
    <s v="Town Planning Board"/>
    <d v="2018-10-11T00:00:00"/>
    <d v="2018-10-11T00:00:00"/>
    <s v="Redevelopment"/>
    <x v="134"/>
    <x v="0"/>
    <s v="For Lease"/>
    <x v="0"/>
    <s v="Sep 19 (Zac): A/H21/151 rejected due to R zoning and development density_x000a_Jan 19 (Peter): Can combine with 48-94 Pan Hoi Street to be a 660,000 sf project"/>
    <x v="249"/>
    <s v="LAND007"/>
    <n v="22.286200000000001"/>
    <n v="114.21142"/>
    <m/>
  </r>
  <r>
    <m/>
    <x v="256"/>
    <s v="128-130 Leighton Road"/>
    <m/>
    <x v="10"/>
    <x v="8"/>
    <x v="7"/>
    <x v="0"/>
    <x v="34"/>
    <x v="4"/>
    <s v="2034+"/>
    <x v="0"/>
    <x v="3"/>
    <m/>
    <m/>
    <m/>
    <m/>
    <x v="41"/>
    <x v="2"/>
    <n v="18150.932142687929"/>
    <n v="195375"/>
    <n v="18150.932142687929"/>
    <n v="195375"/>
    <n v="13613.199107015946"/>
    <n v="146531.25"/>
    <m/>
    <m/>
    <m/>
    <n v="146531.25"/>
    <n v="0"/>
    <n v="0"/>
    <n v="0"/>
    <s v="Commercial"/>
    <m/>
    <s v="Soundwill announcement"/>
    <d v="2022-08-11T00:00:00"/>
    <d v="2022-09-01T00:00:00"/>
    <s v="Redevelopment"/>
    <x v="135"/>
    <x v="0"/>
    <s v="For Lease"/>
    <x v="0"/>
    <m/>
    <x v="250"/>
    <m/>
    <n v="22.27805"/>
    <n v="114.18677"/>
    <s v="MultiPolygon (((114.18668542 22.27821049, 114.18670044 22.27819629, 114.18672061 22.27821378, 114.18679485 22.27814765, 114.18677715 22.2781281, 114.18680686 22.27810172, 114.18682702 22.27812093, 114.18690153 22.27805408, 114.18688418 22.2780333, 114.18691621 22.27800741, 114.18693568 22.27802649, 114.18701132 22.27795932, 114.18699038 22.27794016, 114.18700179 22.27792977, 114.18697121 22.27790068, 114.18698343 22.27788898, 114.18692165 22.27782857, 114.18692067 22.27782762, 114.18654412 22.27816056, 114.18667303 22.27828713, 114.18671908 22.27824505, 114.18668542 22.27821049)))"/>
  </r>
  <r>
    <m/>
    <x v="257"/>
    <s v="54-76 Percival Street, 5-27 Lee Garden Road, 60 Russell Street"/>
    <m/>
    <x v="10"/>
    <x v="8"/>
    <x v="7"/>
    <x v="0"/>
    <x v="34"/>
    <x v="4"/>
    <s v="2034+"/>
    <x v="0"/>
    <x v="3"/>
    <m/>
    <m/>
    <m/>
    <m/>
    <x v="41"/>
    <x v="2"/>
    <n v="27635.403863465974"/>
    <n v="297465"/>
    <n v="27635.403863465974"/>
    <n v="297465"/>
    <n v="20726.552897599482"/>
    <n v="223098.75"/>
    <m/>
    <m/>
    <m/>
    <n v="223098.75"/>
    <n v="0"/>
    <n v="0"/>
    <n v="0"/>
    <s v="Commercial"/>
    <m/>
    <m/>
    <m/>
    <d v="2022-09-01T00:00:00"/>
    <s v="Redevelopment"/>
    <x v="59"/>
    <x v="0"/>
    <s v="For Lease"/>
    <x v="0"/>
    <m/>
    <x v="249"/>
    <m/>
    <n v="22.279199999999999"/>
    <n v="114.1832"/>
    <s v="MultiPolygon (((114.18328298 22.27925182, 114.18329977 22.2792135, 114.18313078 22.27914988, 114.18311434 22.27918738, 114.18328298 22.27925182)))"/>
  </r>
  <r>
    <m/>
    <x v="258"/>
    <s v="77 Leighton Road, Matheson Street &amp; Sharp Street East"/>
    <m/>
    <x v="10"/>
    <x v="8"/>
    <x v="7"/>
    <x v="0"/>
    <x v="34"/>
    <x v="4"/>
    <s v="2034+"/>
    <x v="0"/>
    <x v="3"/>
    <n v="1"/>
    <s v="42+4 basement"/>
    <m/>
    <n v="10792.806514285714"/>
    <x v="219"/>
    <x v="1"/>
    <m/>
    <m/>
    <n v="42112.4"/>
    <n v="453297.87359999999"/>
    <n v="31584.300000000003"/>
    <n v="339973.40519999998"/>
    <m/>
    <m/>
    <m/>
    <n v="339973.40519999998"/>
    <n v="0"/>
    <n v="0"/>
    <n v="0"/>
    <s v="Commercial"/>
    <s v="Plans Approved"/>
    <s v="BD Monthly Digest"/>
    <d v="2009-04-01T00:00:00"/>
    <d v="2016-03-07T00:00:00"/>
    <s v="Redevelopment"/>
    <x v="136"/>
    <x v="0"/>
    <s v="For Lease"/>
    <x v="0"/>
    <s v="Aug 2011 (Cynthia): Retail section major refurb  including office lobby and washroom will be re-opened / completed by end of 2011, office section will not commence until at least 2015._x000a_Leighton centre willl start renovations this year and the company is in negotiations with tenants there. Source: The Standard March 11,2010 / Aug2011: Renovation of the retail podium in progress"/>
    <x v="251"/>
    <s v="LAND070"/>
    <m/>
    <m/>
    <m/>
  </r>
  <r>
    <m/>
    <x v="259"/>
    <s v="1 Hysan Avenue, Lee Garden Road &amp; Percival Street"/>
    <m/>
    <x v="10"/>
    <x v="8"/>
    <x v="7"/>
    <x v="0"/>
    <x v="34"/>
    <x v="4"/>
    <s v="2034+"/>
    <x v="0"/>
    <x v="3"/>
    <n v="1"/>
    <s v="30+1 basement"/>
    <m/>
    <n v="5490.2140799999997"/>
    <x v="220"/>
    <x v="1"/>
    <m/>
    <m/>
    <n v="15301.6"/>
    <n v="164706.42239999998"/>
    <n v="11476.2"/>
    <n v="123529.81679999999"/>
    <m/>
    <m/>
    <m/>
    <n v="123529.81679999999"/>
    <n v="0"/>
    <n v="0"/>
    <n v="0"/>
    <s v="Commercial"/>
    <s v="Plans Approved"/>
    <s v="BD Monthly Digest"/>
    <d v="2009-04-01T00:00:00"/>
    <d v="2016-03-07T00:00:00"/>
    <s v="Redevelopment"/>
    <x v="136"/>
    <x v="0"/>
    <s v="For Lease"/>
    <x v="0"/>
    <s v="Hysan Contact: Stanley Leung: 2830 5755 / Yuki Sam: 6687 9501 / 2895 5777._x000a_Jun 2012: They are still leasing space._x000a_Aug 2011 (Cynthia): No immediate plans at this stage. _x000a_No confirmed schedule yet (Sing Tao 22/5/2009)"/>
    <x v="252"/>
    <s v="LAND073"/>
    <m/>
    <m/>
    <m/>
  </r>
  <r>
    <m/>
    <x v="260"/>
    <s v="70 Queen's Road Central"/>
    <m/>
    <x v="8"/>
    <x v="6"/>
    <x v="5"/>
    <x v="0"/>
    <x v="34"/>
    <x v="4"/>
    <s v="2034+"/>
    <x v="0"/>
    <x v="3"/>
    <n v="1"/>
    <s v="26+1 basement"/>
    <m/>
    <n v="7087.8869999999988"/>
    <x v="221"/>
    <x v="1"/>
    <m/>
    <m/>
    <n v="17120.5"/>
    <n v="184285.06199999998"/>
    <n v="12840.375"/>
    <n v="138213.7965"/>
    <m/>
    <m/>
    <m/>
    <n v="0"/>
    <n v="0"/>
    <n v="138213.7965"/>
    <n v="0"/>
    <s v="Commercial"/>
    <s v="Plans Approved"/>
    <s v="BD Monthly Digest"/>
    <d v="2011-04-01T00:00:00"/>
    <d v="2016-03-07T00:00:00"/>
    <s v="Redevelopment"/>
    <x v="60"/>
    <x v="0"/>
    <s v="Uncertain"/>
    <x v="2"/>
    <s v="Contact: 2118 2118_x000a_Aug 2011 (Cynthia): No plans to knock down and rebuild for at least the next 3 years."/>
    <x v="253"/>
    <s v="LAND027"/>
    <m/>
    <m/>
    <m/>
  </r>
  <r>
    <m/>
    <x v="261"/>
    <s v="611 King's Road"/>
    <m/>
    <x v="16"/>
    <x v="0"/>
    <x v="0"/>
    <x v="0"/>
    <x v="34"/>
    <x v="4"/>
    <s v="2034+"/>
    <x v="0"/>
    <x v="2"/>
    <n v="1"/>
    <n v="32"/>
    <n v="29"/>
    <n v="23714.0625"/>
    <x v="222"/>
    <x v="0"/>
    <m/>
    <m/>
    <n v="63889.614687848385"/>
    <n v="687707.8125"/>
    <n v="55583.964778428097"/>
    <n v="550166.25"/>
    <m/>
    <m/>
    <m/>
    <n v="550166.25"/>
    <n v="0"/>
    <n v="0"/>
    <n v="0"/>
    <s v="Commercial"/>
    <m/>
    <m/>
    <d v="2017-10-06T00:00:00"/>
    <d v="2017-10-06T00:00:00"/>
    <s v="Redevelopment"/>
    <x v="24"/>
    <x v="1"/>
    <s v="For Lease"/>
    <x v="0"/>
    <s v="Oct 2017: Water Supplies Department will relocate to Chai Wan new government HQ, which will commense construction work in 2020 and be completed in 2024. It has been rezoned to &quot;C&quot; already"/>
    <x v="250"/>
    <s v="LAND092"/>
    <n v="22.29241"/>
    <n v="114.20527"/>
    <m/>
  </r>
  <r>
    <m/>
    <x v="262"/>
    <s v="15-53A Pan Hoi Street"/>
    <m/>
    <x v="0"/>
    <x v="0"/>
    <x v="0"/>
    <x v="0"/>
    <x v="34"/>
    <x v="4"/>
    <s v="2034+"/>
    <x v="0"/>
    <x v="2"/>
    <n v="1"/>
    <m/>
    <m/>
    <n v="19600"/>
    <x v="223"/>
    <x v="1"/>
    <m/>
    <m/>
    <n v="27313.266443701228"/>
    <n v="294000"/>
    <n v="20484.949832775921"/>
    <n v="220500"/>
    <m/>
    <m/>
    <m/>
    <n v="220500"/>
    <n v="0"/>
    <n v="0"/>
    <n v="0"/>
    <s v="Commercial"/>
    <m/>
    <m/>
    <m/>
    <d v="2016-04-05T00:00:00"/>
    <s v="Redevelopment"/>
    <x v="0"/>
    <x v="0"/>
    <s v="For Lease"/>
    <x v="0"/>
    <s v="Apr 2015: Swire now own 58/196 ownership of the whole project_x000a_http://paper.hket.com/article/1401848/%E8%B2%A1%E5%9C%983%E5%84%84%20%E8%B3%BC%E9%B0%82%E9%AD%9A%E6%B6%8C%E9%87%91%E6%B5%B758%E4%BC%99"/>
    <x v="254"/>
    <s v="LAND062"/>
    <n v="22.286660000000001"/>
    <n v="114.21138000000001"/>
    <m/>
  </r>
  <r>
    <m/>
    <x v="263"/>
    <s v="Chung Kong Road"/>
    <s v="IL 8998"/>
    <x v="12"/>
    <x v="9"/>
    <x v="8"/>
    <x v="0"/>
    <x v="34"/>
    <x v="4"/>
    <s v="2034+"/>
    <x v="0"/>
    <x v="2"/>
    <n v="1"/>
    <n v="35"/>
    <n v="35"/>
    <n v="20588.764114285714"/>
    <x v="224"/>
    <x v="0"/>
    <m/>
    <m/>
    <n v="66946"/>
    <n v="720606.74399999995"/>
    <n v="50209.5"/>
    <n v="540455.05799999996"/>
    <m/>
    <m/>
    <m/>
    <n v="0"/>
    <n v="0"/>
    <n v="540455.05799999996"/>
    <n v="0"/>
    <s v="Commercial"/>
    <m/>
    <s v="HKET/HKEK"/>
    <m/>
    <d v="2016-03-02T00:00:00"/>
    <s v="Site"/>
    <x v="24"/>
    <x v="1"/>
    <s v="Uncertain"/>
    <x v="2"/>
    <s v="No Plans submitted, potential site only.  Bus station land between Shun Tak Ctr and Fire Station._x000a_HKET/HKEJ (6May2010): The Planning Department recommend the plot ratio to revise down to 11x. The GFA after revision will be 722,264 sf, where portion for office &amp; retail will be 81%, ie 585,000 sf."/>
    <x v="255"/>
    <s v="LAND026"/>
    <n v="22.288499999999999"/>
    <n v="114.15003"/>
    <m/>
  </r>
  <r>
    <m/>
    <x v="264"/>
    <s v="2 Rumsey Street"/>
    <m/>
    <x v="12"/>
    <x v="9"/>
    <x v="8"/>
    <x v="0"/>
    <x v="34"/>
    <x v="4"/>
    <s v="2034+"/>
    <x v="0"/>
    <x v="2"/>
    <n v="1"/>
    <n v="30"/>
    <n v="30"/>
    <n v="23551.631999999998"/>
    <x v="225"/>
    <x v="0"/>
    <m/>
    <m/>
    <n v="65640"/>
    <n v="706548.96"/>
    <n v="49230"/>
    <n v="529911.72"/>
    <m/>
    <m/>
    <m/>
    <n v="529911.72"/>
    <n v="0"/>
    <n v="0"/>
    <n v="0"/>
    <s v="Commercial"/>
    <m/>
    <s v="Planning Department"/>
    <d v="2011-03-12T00:00:00"/>
    <d v="2016-03-02T00:00:00"/>
    <s v="Redevelopment"/>
    <x v="24"/>
    <x v="1"/>
    <s v="For Lease"/>
    <x v="0"/>
    <s v="Sep2011: no immediate plans, uncertain_x000a_Aug 2011 (Cynthia): No Plans submiited, potential only. Located next to Shun Tak Ctr._x000a_GFA estimated by CBRE Research on 23 June 2011"/>
    <x v="256"/>
    <s v="LAND076"/>
    <n v="22.287420000000001"/>
    <n v="114.15333"/>
    <m/>
  </r>
  <r>
    <m/>
    <x v="265"/>
    <s v="123 Gloucester Road and 219-227 Lockhart Road"/>
    <s v="IL 8947"/>
    <x v="11"/>
    <x v="8"/>
    <x v="7"/>
    <x v="0"/>
    <x v="34"/>
    <x v="4"/>
    <s v="2034+"/>
    <x v="0"/>
    <x v="2"/>
    <n v="2"/>
    <n v="30"/>
    <n v="30"/>
    <n v="4253.9327999999996"/>
    <x v="226"/>
    <x v="1"/>
    <m/>
    <m/>
    <n v="23712"/>
    <n v="255235.96799999999"/>
    <n v="17784"/>
    <n v="191426.976"/>
    <m/>
    <m/>
    <m/>
    <n v="0"/>
    <n v="0"/>
    <n v="191426.976"/>
    <n v="0"/>
    <s v="Hotel/ Commercial/ Community and Cultural"/>
    <m/>
    <s v="Land sale programme 2014-15 (rolled over from 2011-12)"/>
    <d v="2014-02-01T00:00:00"/>
    <d v="2016-03-02T00:00:00"/>
    <s v="Redevelopment &amp; Site"/>
    <x v="24"/>
    <x v="1"/>
    <s v="Uncertain"/>
    <x v="2"/>
    <s v="Feb 2014: Rolled over site from 2011-12 Land Sale Programme.  To be tendered second half of 2014/15_x000a_Sep 2011 (Cynthia):  No plans submitted at this stage.   Police Building is vacant already but the Police Hostel right opposite on Jaffe Rd has been completely knocked down already.  No recent updates from government._x000a_Aug 2011 (Roy): For tender in December as Hotel/ Commercial/ Community and Cultural use with GFA of 40,989sf."/>
    <x v="257"/>
    <s v="LAND032"/>
    <n v="22.279150000000001"/>
    <n v="114.17532"/>
    <s v="POLYGON((474.1750824451447 22.279292967014882,474.17561084032064 22.279347570421592,474.1756537556648 22.27897279206462,474.1751280426979 22.278920670491743,474.1750824451447 22.279292967014882))"/>
  </r>
  <r>
    <m/>
    <x v="266"/>
    <s v="12-14 Harbour Road"/>
    <m/>
    <x v="11"/>
    <x v="8"/>
    <x v="7"/>
    <x v="0"/>
    <x v="34"/>
    <x v="4"/>
    <s v="2034+"/>
    <x v="0"/>
    <x v="2"/>
    <n v="1"/>
    <n v="35"/>
    <n v="27"/>
    <n v="35879.999999999993"/>
    <x v="227"/>
    <x v="0"/>
    <n v="231660"/>
    <n v="2493565.074"/>
    <n v="90000"/>
    <n v="968759.99999999988"/>
    <n v="67500"/>
    <n v="726569.99999999988"/>
    <m/>
    <m/>
    <m/>
    <n v="0"/>
    <n v="0"/>
    <n v="726569.99999999988"/>
    <n v="0"/>
    <s v="Commercial"/>
    <m/>
    <s v="2008-09 (27/8/08) &amp; 2010-11 Budget Proposal (24/2/10)"/>
    <d v="2016-02-24T00:00:00"/>
    <d v="2016-03-02T00:00:00"/>
    <s v="Redevelopment"/>
    <x v="24"/>
    <x v="1"/>
    <s v="Uncertain"/>
    <x v="2"/>
    <s v="Aug 2022 (Zac): https://www.districtcouncils.gov.hk/wc/doc/2020_2023/en/committee_meetings_doc/DPTC/20195/wc_dptc_2021_c_35_PPT.pdf_x000a_Mar 2013 (Ed): I’ve just spoken to the planning dept to follow up on the recent announcements. All 3 government towers in Wanchai will be sold, rather than just the 2 initially expected, so the total site will be disposed of as one. This site is now under the control of the government property agency. As the towers will be vacated in phases, the agency will seek to lease space and maximize revenue during the process, prior to a sale._x000a_Mar 2013: Budget: “We are now proceeding with the relocation of departments in the three government office buildings at the Wan Chai waterfront.  This is a large-scale project, involving 29 departments and more than 10 000 staff.  Upon the relocation in phases of government departments to the new government office buildings in West Kowloon, Kai Tak and Tseung Kwan O, we shall rent out the floor space released to increase the supply of Grade A offices in Wan Chai. We shall put up the three government office buildings in Wan Chai for sale in due course, which is expected to provide a floor area of 175 000 square metres.”_x000a_CBRE Research view: We can expect this to a very long term proposal given that (i) there is no timeline for delivery of government offices in Kai Tak to house these employees as the first Kai Tak building will be the T&amp;I Tower, and (ii) West Kowloon is referenced as a destination for some of these employees. It is interesting to note the intention to rent out the floor space released and then to put up for sale in due course, rather than opt for immediate disposal. _x000a_Aug 2011 (Cynthia): No plans submitted at this stage.  Potential only.  All 3 buildings are still existing._x000a_28/2/08: Est Site Area: 13-14.37k sf; Est Developable GFA: 1.3-2.155M sf; Plot Ratio: 15x / 2008 Budget: The Gov has considered to relocate the office of 3 Gov bldgs in WC to Kai Tak and/or TKO. / 2010 Budget: The Gov has considered to relocate the office of 3 Gov bldgs in WC to ind bldgs."/>
    <x v="258"/>
    <s v="LAND088"/>
    <n v="22.28004"/>
    <n v="114.17238999999999"/>
    <s v="POLYGON((474.17204082012177 22.28047934532367,474.17208641767496 22.279977990027845,474.17266845703125 22.280022665325177,474.1727140545845 22.279533718238824,474.1732800006867 22.279570947772513,474.17319416999817 22.280558767779866,474.17204082012177 22.28047934532367))"/>
  </r>
  <r>
    <m/>
    <x v="267"/>
    <s v="Kai Tak Area 1M Site 1"/>
    <m/>
    <x v="18"/>
    <x v="3"/>
    <x v="3"/>
    <x v="1"/>
    <x v="34"/>
    <x v="4"/>
    <s v="2034+"/>
    <x v="0"/>
    <x v="2"/>
    <n v="2"/>
    <n v="10"/>
    <n v="8"/>
    <n v="26544.023999999998"/>
    <x v="228"/>
    <x v="0"/>
    <m/>
    <m/>
    <n v="39456"/>
    <n v="424704.38399999996"/>
    <n v="29592"/>
    <n v="318528.28799999994"/>
    <m/>
    <m/>
    <m/>
    <n v="318528.28799999994"/>
    <n v="0"/>
    <n v="0"/>
    <n v="0"/>
    <s v="Commercial"/>
    <m/>
    <m/>
    <m/>
    <d v="2016-03-04T00:00:00"/>
    <s v="Site"/>
    <x v="24"/>
    <x v="1"/>
    <s v="For Lease"/>
    <x v="0"/>
    <s v="Approved Kai Tak OZP No. S/K22/4: The “CDA(1)” and “CDA(2)” sub-areas located in the Kai Tak City Centre north on the eastern and western sides of Kai Tak River respectively are intended for commercial uses with a lower structure cascading down to the open spaces along the Kai Tak River. The “CDA(2)” sub-are is intended for a low-rise cascading commercial development and subject to a max plot ratio of 4.5 with a max building height of 40mPD. The cascading low-rise structures in both “CDA” sub-areas should descend from 40mPD to 15mPD towards the Kai Tak River or the curvilinear walkway. Both “CDA” sub-areas are subject to a max site coverage (excluding basement(s)) of 65%. 5m wide NBAs along the Kai Tak River will provide a wider vista along the River. ‘Shop and Services’ and ‘Eating Place’ uses in the buildings not exceeding 2 storeys in the retail frontage abutting the Station Square will create a riverside vibrant and festive public gathering place in the town square environment. The NBA at the northern part of the “CDA(2)” site is intended to strengthen the character and identity of the curvilinear landscaped elevated walkway."/>
    <x v="259"/>
    <s v="LAND052"/>
    <n v="22.330249999999999"/>
    <n v="114.19571000000001"/>
    <m/>
  </r>
  <r>
    <m/>
    <x v="268"/>
    <s v="Kai Tak Area 2A Site 1"/>
    <s v="NKIL 6589"/>
    <x v="18"/>
    <x v="3"/>
    <x v="3"/>
    <x v="1"/>
    <x v="34"/>
    <x v="4"/>
    <s v="2034+"/>
    <x v="0"/>
    <x v="2"/>
    <n v="1"/>
    <n v="30"/>
    <n v="22"/>
    <n v="43760.467919999996"/>
    <x v="229"/>
    <x v="0"/>
    <n v="130680"/>
    <n v="1406626.452"/>
    <n v="121963.4"/>
    <n v="1312814.0375999999"/>
    <n v="91472.549999999988"/>
    <n v="984610.52819999994"/>
    <m/>
    <m/>
    <m/>
    <n v="0"/>
    <n v="0"/>
    <n v="984610.52819999994"/>
    <n v="0"/>
    <s v="Commercial"/>
    <m/>
    <m/>
    <m/>
    <d v="2020-02-28T00:00:00"/>
    <s v="Site"/>
    <x v="24"/>
    <x v="1"/>
    <s v="Uncertain"/>
    <x v="2"/>
    <s v="Aug 2021: still not sold despite in 2021/22 Land Sale, delay 1 year to 2026 more realistic_x000a_Approved Kai Tak OZP No. S/K22/4: 3 sites abutting the Lung Tsun Stone Bridge Preservation Corridor are designated “CDA(3)”, “CDA(4)” and “CDA(5)” respectively. The planning intention for these sites is to ensure their disposition and design would be in harmony with the Preservation Corridor for Lung Tsun Stone Bridge. The planning briefs will set out the special design features for these 3 “CDA” sites to ensure a harmonious environment with the Preservation Corridor. The “CDA(3)” and “CDA(4)” zones are intended for commercial use while “CDA(5)” is intended for residential use. The “CDA(3)” zone is subject to a max plot ratio of 5 and max site coverage (excluding basement(s)) of 65%. In order to provide a more open view towards the Kowloon City and the Lion Rock, the eastern part of the site is subject to a lower building height restriction of 13mPD while the remaining area will be subject to a max height of 80mPD._x000a__x000a_4 Mar 15 (Jerry): http://www.hket.com/eti/article/c3476840-6d8d-4bf1-b473-8da7fe237a4d-901380?section=008_x000a_當中以鄰近啟德站的兩幅混合發展用地所增加的樓面最多，當中1E區1號地盤地積比率由7倍增加至8.2倍，以地盤面積18.4萬平方呎計算，額外增加22萬平方至151萬平方呎，有機會成為區內的百億地王。_x000a_4 Sep 14 (Jerry): This is the closest site to Prince Edward Road East; supposed to be the most prime site"/>
    <x v="260"/>
    <s v="LAND045"/>
    <n v="22.32912"/>
    <n v="114.19533"/>
    <m/>
  </r>
  <r>
    <m/>
    <x v="269"/>
    <s v="Kai Tak City Centre (South Apron) Site 3A6"/>
    <m/>
    <x v="18"/>
    <x v="3"/>
    <x v="3"/>
    <x v="1"/>
    <x v="34"/>
    <x v="4"/>
    <s v="2034+"/>
    <x v="0"/>
    <x v="2"/>
    <n v="1"/>
    <n v="35"/>
    <n v="35"/>
    <n v="31071.535049999999"/>
    <x v="230"/>
    <x v="0"/>
    <m/>
    <m/>
    <n v="101032.5"/>
    <n v="1087503.7267499999"/>
    <n v="75774.375"/>
    <n v="815627.79506249994"/>
    <m/>
    <m/>
    <m/>
    <n v="0"/>
    <n v="0"/>
    <n v="815627.79506249994"/>
    <n v="0"/>
    <s v="Commercial"/>
    <m/>
    <s v="TPB General Paper Oct Review Study of Kai Tak Development"/>
    <d v="2016-10-27T00:00:00"/>
    <d v="2016-10-27T00:00:00"/>
    <s v="Site"/>
    <x v="24"/>
    <x v="1"/>
    <s v="Uncertain"/>
    <x v="2"/>
    <s v="Newly added Commercial site in Kai Tak next to Hospital"/>
    <x v="261"/>
    <s v="LAND057"/>
    <n v="22.32199"/>
    <n v="114.20366"/>
    <m/>
  </r>
  <r>
    <m/>
    <x v="270"/>
    <s v="Kai Tak City Centre (South Apron) Site 3B1"/>
    <m/>
    <x v="18"/>
    <x v="3"/>
    <x v="3"/>
    <x v="1"/>
    <x v="34"/>
    <x v="4"/>
    <s v="2034+"/>
    <x v="0"/>
    <x v="2"/>
    <n v="1"/>
    <n v="30"/>
    <n v="30"/>
    <n v="20841.780773333332"/>
    <x v="231"/>
    <x v="0"/>
    <m/>
    <m/>
    <n v="58088"/>
    <n v="625253.42319999996"/>
    <n v="43566"/>
    <n v="468940.06739999994"/>
    <m/>
    <m/>
    <m/>
    <n v="0"/>
    <n v="0"/>
    <n v="468940.06739999994"/>
    <n v="0"/>
    <s v="Commercial"/>
    <m/>
    <s v="TPB General Paper Oct Review Study of Kai Tak Development"/>
    <d v="2016-10-27T00:00:00"/>
    <d v="2016-10-27T00:00:00"/>
    <s v="Site"/>
    <x v="24"/>
    <x v="1"/>
    <s v="Uncertain"/>
    <x v="2"/>
    <s v="Newly added Commercial site in Kai Tak next to Hospital"/>
    <x v="262"/>
    <s v="LAND058"/>
    <n v="22.321536999999999"/>
    <n v="114.2024852"/>
    <s v="MULTIPOLYGON (((114.203237586837 22.3213530831052,114.202674706998 22.3208905184851,114.201771870029 22.3216930402356,114.202262299988 22.3221946163297,114.20252423417 22.3220943011109,114.202763876082 22.3219438282827,114.202958933452 22.3217710631836,114.203120552415 22.321531421272,114.203153990822 22.3214032407146,114.203170710025 22.3214032407146,114.203237586837 22.3213530831052)))"/>
  </r>
  <r>
    <m/>
    <x v="271"/>
    <s v="Kai Tak City Centre (South Apron) Site 3B2"/>
    <m/>
    <x v="18"/>
    <x v="3"/>
    <x v="3"/>
    <x v="1"/>
    <x v="34"/>
    <x v="4"/>
    <s v="2034+"/>
    <x v="0"/>
    <x v="2"/>
    <n v="1"/>
    <n v="30"/>
    <n v="30"/>
    <n v="11923.172029999998"/>
    <x v="232"/>
    <x v="1"/>
    <m/>
    <m/>
    <n v="33231"/>
    <n v="357695.16089999996"/>
    <n v="24923.25"/>
    <n v="268271.37067499995"/>
    <m/>
    <m/>
    <m/>
    <n v="0"/>
    <n v="0"/>
    <n v="268271.37067499995"/>
    <n v="0"/>
    <s v="Commercial"/>
    <m/>
    <s v="TPB General Paper Oct Review Study of Kai Tak Development"/>
    <d v="2016-10-27T00:00:00"/>
    <d v="2016-10-27T00:00:00"/>
    <s v="Site"/>
    <x v="24"/>
    <x v="1"/>
    <s v="Uncertain"/>
    <x v="2"/>
    <s v="Newly added Commercial site in Kai Tak next to Hospital"/>
    <x v="263"/>
    <s v="LAND059"/>
    <n v="22.320756800000002"/>
    <n v="114.2033713"/>
    <s v="MULTIPOLYGON (((114.203471655681 22.3213419369698,114.204017816317 22.3207623379277,114.203404778869 22.3202328964951,114.202780595285 22.3208069224694,114.203471655681 22.3213419369698)))"/>
  </r>
  <r>
    <m/>
    <x v="272"/>
    <s v="Kai Tak City Centre (South Apron) Site 3B3"/>
    <m/>
    <x v="18"/>
    <x v="3"/>
    <x v="3"/>
    <x v="1"/>
    <x v="34"/>
    <x v="4"/>
    <s v="2034+"/>
    <x v="0"/>
    <x v="2"/>
    <n v="1"/>
    <n v="30"/>
    <n v="30"/>
    <n v="16658.211640000001"/>
    <x v="233"/>
    <x v="1"/>
    <m/>
    <m/>
    <n v="46428"/>
    <n v="499746.3492"/>
    <n v="34821"/>
    <n v="374809.76189999998"/>
    <m/>
    <m/>
    <m/>
    <n v="0"/>
    <n v="0"/>
    <n v="374809.76189999998"/>
    <n v="0"/>
    <s v="Commercial"/>
    <m/>
    <s v="TPB General Paper Oct Review Study of Kai Tak Development"/>
    <d v="2016-10-27T00:00:00"/>
    <d v="2016-10-27T00:00:00"/>
    <s v="Site"/>
    <x v="24"/>
    <x v="1"/>
    <s v="Uncertain"/>
    <x v="2"/>
    <s v="Newly added Commercial site in Kai Tak next to Hospital"/>
    <x v="264"/>
    <s v="LAND060"/>
    <n v="22.3200769"/>
    <n v="114.2040847"/>
    <s v="MULTIPOLYGON (((114.204006670182 22.3207623379277,114.204770180458 22.3198985124323,114.204307615838 22.3194303747445,114.203410351936 22.3202384695628,114.204006670182 22.3207623379277)))"/>
  </r>
  <r>
    <m/>
    <x v="273"/>
    <s v="Kai Tak City Centre (South Apron) Site 3B4"/>
    <m/>
    <x v="18"/>
    <x v="3"/>
    <x v="3"/>
    <x v="1"/>
    <x v="34"/>
    <x v="4"/>
    <s v="2034+"/>
    <x v="0"/>
    <x v="2"/>
    <n v="1"/>
    <n v="30"/>
    <n v="30"/>
    <n v="11733.009796666667"/>
    <x v="234"/>
    <x v="1"/>
    <m/>
    <m/>
    <n v="32701"/>
    <n v="351990.29389999999"/>
    <n v="24525.75"/>
    <n v="263992.72042500001"/>
    <m/>
    <m/>
    <m/>
    <n v="0"/>
    <n v="0"/>
    <n v="263992.72042500001"/>
    <n v="0"/>
    <s v="Commercial"/>
    <m/>
    <s v="TPB General Paper Oct Review Study of Kai Tak Development"/>
    <d v="2016-10-27T00:00:00"/>
    <d v="2016-10-27T00:00:00"/>
    <s v="Site"/>
    <x v="24"/>
    <x v="1"/>
    <s v="Uncertain"/>
    <x v="2"/>
    <s v="Newly added Commercial site in Kai Tak next to Hospital"/>
    <x v="265"/>
    <s v="LAND061"/>
    <n v="22.319246499999998"/>
    <n v="114.20488159999999"/>
    <s v="MULTIPOLYGON (((114.204781326594 22.3198985124323,114.20547238699 22.3191182829526,114.205483533125 22.3190625522755,114.205338633365 22.3189232255827,114.205266183484 22.3189232255827,114.20520487974 22.3189232255827,114.205110137589 22.3188619218379,114.205071126115 22.3187504604837,114.204318761973 22.3194303747445,114.204781326594 22.3198985124323)))"/>
  </r>
  <r>
    <m/>
    <x v="274"/>
    <s v="Kai Tak Site 4D2 Tourism Node"/>
    <m/>
    <x v="18"/>
    <x v="3"/>
    <x v="3"/>
    <x v="1"/>
    <x v="34"/>
    <x v="4"/>
    <s v="2034+"/>
    <x v="0"/>
    <x v="2"/>
    <n v="1"/>
    <n v="25"/>
    <n v="15"/>
    <n v="59262.278399999996"/>
    <x v="235"/>
    <x v="0"/>
    <n v="229400"/>
    <n v="2469238.6599999997"/>
    <n v="82584"/>
    <n v="888934.17599999998"/>
    <n v="61938"/>
    <n v="666700.63199999998"/>
    <m/>
    <m/>
    <m/>
    <n v="0"/>
    <n v="0"/>
    <n v="666700.63199999998"/>
    <n v="0"/>
    <s v="Commercial"/>
    <m/>
    <s v="Tourism Node EOI"/>
    <d v="2015-11-01T00:00:00"/>
    <d v="2017-10-18T00:00:00"/>
    <s v="Site"/>
    <x v="24"/>
    <x v="1"/>
    <s v="Uncertain"/>
    <x v="2"/>
    <s v="Oct 2020: Change of commercial proportion https://paper.hket.com/article/2772202?r=cpsdlc_x000a_EOI saved: I:\CBRE Research\Hong Kong\02. Databases\Infrastructure Database\Kowloon East"/>
    <x v="266"/>
    <s v="LAND051"/>
    <n v="22.307749999999999"/>
    <n v="114.21339999999999"/>
    <m/>
  </r>
  <r>
    <m/>
    <x v="275"/>
    <s v="Wang Chin Street"/>
    <m/>
    <x v="3"/>
    <x v="3"/>
    <x v="3"/>
    <x v="1"/>
    <x v="34"/>
    <x v="4"/>
    <s v="2034+"/>
    <x v="0"/>
    <x v="2"/>
    <n v="1"/>
    <n v="20"/>
    <n v="20"/>
    <n v="6200.0064000000002"/>
    <x v="236"/>
    <x v="1"/>
    <m/>
    <m/>
    <n v="11520"/>
    <n v="124000.128"/>
    <n v="8640"/>
    <n v="93000.09599999999"/>
    <m/>
    <m/>
    <m/>
    <n v="0"/>
    <n v="0"/>
    <n v="93000.09599999999"/>
    <n v="0"/>
    <s v="Commercial"/>
    <m/>
    <m/>
    <m/>
    <d v="2016-03-04T00:00:00"/>
    <s v="Redevelopment &amp; Site"/>
    <x v="24"/>
    <x v="1"/>
    <s v="Uncertain"/>
    <x v="2"/>
    <m/>
    <x v="267"/>
    <s v="LAND090"/>
    <n v="22.321809999999999"/>
    <n v="114.20559"/>
    <s v="MultiPolygon (((114.20575916031066299 22.32152873677428673, 114.20532185236707789 22.321916569737148, 114.2057022237349031 22.3219509270598806, 114.20571556944898362 22.32194978682828435, 114.20571738205927659 22.32193793837005202, 114.20575916031066299 22.32152873677428673)))"/>
  </r>
  <r>
    <m/>
    <x v="276"/>
    <s v="Junction of Cheung Yip Street, Sheung Yee Road &amp; Wai Yip Street"/>
    <s v="NKIL 6195"/>
    <x v="4"/>
    <x v="3"/>
    <x v="3"/>
    <x v="1"/>
    <x v="34"/>
    <x v="4"/>
    <s v="2034+"/>
    <x v="0"/>
    <x v="1"/>
    <n v="2"/>
    <n v="30"/>
    <n v="30"/>
    <n v="20763.755999999998"/>
    <x v="237"/>
    <x v="0"/>
    <m/>
    <m/>
    <n v="115740"/>
    <n v="1245825.3599999999"/>
    <n v="86805"/>
    <n v="934369.0199999999"/>
    <m/>
    <m/>
    <m/>
    <n v="0"/>
    <n v="0"/>
    <n v="934369.0199999999"/>
    <n v="0"/>
    <s v="Commercial"/>
    <m/>
    <s v="Development Bureau"/>
    <m/>
    <d v="2016-03-04T00:00:00"/>
    <s v="Redevelopment &amp; Site"/>
    <x v="24"/>
    <x v="1"/>
    <s v="Uncertain"/>
    <x v="2"/>
    <s v="The government has decided to rezone the site for private residential use. (Sept 2025)_x000a_The development bureau plans to ask funding from Legco in early 2016 to relocate the existing park to King Yip St site, involving costs of $167M. Estimate to begin works 2016 Q3 earliest and finish by end-2017 to mid-2018. Site estimated to be released in 2018/19._x000a__x000a_28Aug2014: EKEO suggests to combine the site with the garden next door; buildable area could be inflated from 630,000sf to 1,240,000sf_x000a_14Oct2011: One of nine sites announced in CBD2-Kowloon East by Ms Carrie Lam. 18Oct2011: (HKET)"/>
    <x v="268"/>
    <s v="LAND021"/>
    <n v="22.309460000000001"/>
    <n v="114.22821999999999"/>
    <m/>
  </r>
  <r>
    <m/>
    <x v="277"/>
    <s v="Lai Yip Street"/>
    <m/>
    <x v="4"/>
    <x v="3"/>
    <x v="3"/>
    <x v="1"/>
    <x v="34"/>
    <x v="4"/>
    <s v="2034+"/>
    <x v="0"/>
    <x v="2"/>
    <n v="1"/>
    <n v="21"/>
    <n v="17"/>
    <n v="12301.238188235293"/>
    <x v="238"/>
    <x v="1"/>
    <n v="23028"/>
    <n v="247871.08919999999"/>
    <n v="19428"/>
    <n v="209121.04919999998"/>
    <n v="14571"/>
    <n v="156840.78689999998"/>
    <m/>
    <m/>
    <m/>
    <n v="156840.78689999998"/>
    <n v="0"/>
    <n v="0"/>
    <n v="0"/>
    <s v="Commercial"/>
    <m/>
    <s v="EKEO"/>
    <d v="2024-01-24T00:00:00"/>
    <d v="2024-01-24T00:00:00"/>
    <s v="Site"/>
    <x v="24"/>
    <x v="0"/>
    <s v="For Lease"/>
    <x v="0"/>
    <s v="The site next to NEO is studied for commercial development"/>
    <x v="269"/>
    <m/>
    <n v="22.3137950434453"/>
    <n v="114.21667832008301"/>
    <s v="POLYGON((114.21638309955596 22.313650426125477,114.21684578061102 22.314085904704697,114.21686992049214 22.31400029791176,114.2168632149696 22.31380799260583,114.2168618738651 22.313772012874026,114.21684712171553 22.313745958579688,114.21656414866446 22.313485415368802,114.21638309955596 22.313650426125477))"/>
  </r>
  <r>
    <m/>
    <x v="278"/>
    <s v="Junction of Argyle Street and Canton Road"/>
    <s v="KIL 11235"/>
    <x v="20"/>
    <x v="4"/>
    <x v="4"/>
    <x v="1"/>
    <x v="34"/>
    <x v="4"/>
    <s v="2034+"/>
    <x v="0"/>
    <x v="2"/>
    <n v="1"/>
    <n v="25"/>
    <n v="25"/>
    <n v="4932.9259199999997"/>
    <x v="239"/>
    <x v="1"/>
    <m/>
    <m/>
    <n v="6957"/>
    <n v="74885.148000000001"/>
    <n v="5217.75"/>
    <n v="56163.861000000004"/>
    <m/>
    <m/>
    <m/>
    <n v="0"/>
    <n v="0"/>
    <n v="56163.861000000004"/>
    <n v="0"/>
    <s v="Commercial"/>
    <m/>
    <s v="Land sale programme 2013-14"/>
    <m/>
    <d v="2016-03-07T00:00:00"/>
    <s v="Redevelopment"/>
    <x v="24"/>
    <x v="1"/>
    <s v="Uncertain"/>
    <x v="2"/>
    <s v="OZP: On land designated &quot;C(3)&quot;, no new development, or addition, alteratino and/or modification to or redevelopment of an existing building shall result in a tital development and/or redevelopment in excess of a maximum plot ratio of 9.0. A community health centre of not less than 4,500 sm GFA shall be provided._x000a_Feb 2014: Rolled over from 2013-14 programme. Estimated Earliest Site Available Date: Second half 2014/15_x000a_March 2013: New site on the 2013-14 programme. Estimated Earliest Site Available Date: Mar 2014"/>
    <x v="270"/>
    <s v="LAND031"/>
    <n v="22.318560000000002"/>
    <n v="114.16704"/>
    <m/>
  </r>
  <r>
    <m/>
    <x v="279"/>
    <s v="Kau Yi Chau"/>
    <m/>
    <x v="24"/>
    <x v="2"/>
    <x v="2"/>
    <x v="2"/>
    <x v="34"/>
    <x v="4"/>
    <s v="2034+"/>
    <x v="0"/>
    <x v="2"/>
    <m/>
    <m/>
    <m/>
    <m/>
    <x v="41"/>
    <x v="2"/>
    <m/>
    <m/>
    <n v="3000306.5803286913"/>
    <n v="43060000"/>
    <n v="2250229.9352465183"/>
    <n v="32295000"/>
    <m/>
    <m/>
    <m/>
    <n v="0"/>
    <n v="0"/>
    <n v="32295000"/>
    <n v="0"/>
    <s v="Commercial"/>
    <m/>
    <s v="Planning Department"/>
    <d v="2018-10-29T00:00:00"/>
    <d v="2018-10-29T00:00:00"/>
    <s v="Site"/>
    <x v="24"/>
    <x v="1"/>
    <s v="Uncertain"/>
    <x v="2"/>
    <m/>
    <x v="271"/>
    <m/>
    <n v="22.296099999999999"/>
    <n v="114.07047"/>
    <s v="MULTIPOLYGON (((114.063381797542 22.2708011919241,114.061901524847 22.2738089872121,114.059679981728 22.2783227142052,114.059257352473 22.2792254712934,114.057833051717 22.2822677536677,114.056763728874 22.2845517131967,114.056711458427 22.2846419807143,114.053575109612 22.2900579985823,114.053313736259 22.2905093304568,114.057822998681 22.2941440499984,114.059481407683 22.2954807420932,114.065096494431 22.300006235652,114.066210274444 22.3009038315965,114.07237059754 22.3058680934514,114.072939661116 22.3063266405548,114.074867445544 22.3078799974658,114.075083033196 22.3074633414416,114.075670288427 22.3063283663448,114.078472800787 22.3009117285454,114.079654372586 22.2986278697229,114.080595826856 22.2968080735992,114.080596726293 22.2954946370919,114.080600436052 22.2900762706098,114.080604144656 22.2846579005235,114.080607852103 22.2792395268339,114.080608268791 22.2786304373788,114.079668489558 22.2782033874853,114.072393609868 22.2748973004897,114.070011243693 22.2738145235432,114.065119073251 22.2715908875288,114.063662902285 22.2709289727437,114.063381797542 22.2708011919241)))"/>
  </r>
  <r>
    <m/>
    <x v="280"/>
    <m/>
    <m/>
    <x v="17"/>
    <x v="2"/>
    <x v="2"/>
    <x v="2"/>
    <x v="34"/>
    <x v="4"/>
    <s v="2034+"/>
    <x v="0"/>
    <x v="2"/>
    <n v="1"/>
    <m/>
    <n v="30"/>
    <m/>
    <x v="41"/>
    <x v="2"/>
    <m/>
    <m/>
    <n v="32970"/>
    <n v="354885.783"/>
    <n v="24727.5"/>
    <n v="266164.33724999998"/>
    <m/>
    <m/>
    <m/>
    <n v="0"/>
    <n v="0"/>
    <n v="266164.33724999998"/>
    <n v="0"/>
    <s v="Commercial"/>
    <m/>
    <s v="Policy Address 2018/ District Council"/>
    <d v="2018-10-22T00:00:00"/>
    <d v="2018-10-22T00:00:00"/>
    <s v="Site"/>
    <x v="24"/>
    <x v="0"/>
    <s v="Uncertain"/>
    <x v="2"/>
    <m/>
    <x v="272"/>
    <m/>
    <n v="22.28867"/>
    <n v="113.94141"/>
    <s v="MULTIPOLYGON (((113.940926293454 22.2886679698185,113.941955453292 22.2894742069475,113.942018614726 22.2892159881435,113.94198517632 22.2890302192197,113.941912726439 22.288844450296,113.941728815205 22.2885657969104,113.941531900146 22.288296431971,113.941461307955 22.2882276974692,113.941388858075 22.2882314128477,113.940926293454 22.2886679698185)))"/>
  </r>
  <r>
    <m/>
    <x v="281"/>
    <m/>
    <m/>
    <x v="17"/>
    <x v="2"/>
    <x v="2"/>
    <x v="2"/>
    <x v="34"/>
    <x v="4"/>
    <s v="2034+"/>
    <x v="0"/>
    <x v="2"/>
    <m/>
    <m/>
    <m/>
    <m/>
    <x v="41"/>
    <x v="2"/>
    <m/>
    <m/>
    <n v="382219"/>
    <n v="4114167.0940999999"/>
    <n v="286664.25"/>
    <n v="3085625.3205749998"/>
    <m/>
    <m/>
    <m/>
    <n v="3085625.3205749998"/>
    <n v="0"/>
    <n v="0"/>
    <n v="0"/>
    <s v="Commercial"/>
    <m/>
    <s v="Tung Chung New Town Extension Stage 3rd Public Engagement"/>
    <d v="2016-07-21T00:00:00"/>
    <d v="2016-07-21T00:00:00"/>
    <s v="Site"/>
    <x v="24"/>
    <x v="1"/>
    <s v="For Lease"/>
    <x v="0"/>
    <m/>
    <x v="273"/>
    <s v="LAND081"/>
    <n v="22.298290000000001"/>
    <n v="113.95408"/>
    <m/>
  </r>
  <r>
    <m/>
    <x v="282"/>
    <s v="56 Dundas Street"/>
    <m/>
    <x v="20"/>
    <x v="4"/>
    <x v="4"/>
    <x v="1"/>
    <x v="35"/>
    <x v="4"/>
    <s v="TBC"/>
    <x v="0"/>
    <x v="3"/>
    <n v="1"/>
    <s v="22 + 7 basement"/>
    <n v="18"/>
    <n v="18894.289886333339"/>
    <x v="240"/>
    <x v="1"/>
    <n v="47394.1"/>
    <n v="510145.82693099993"/>
    <n v="340097.21795400011"/>
    <n v="340097.21795400011"/>
    <n v="255072.91346550008"/>
    <n v="255072.91346550008"/>
    <m/>
    <m/>
    <m/>
    <n v="255072.91346550008"/>
    <n v="0"/>
    <n v="0"/>
    <n v="0"/>
    <s v="Commercial"/>
    <m/>
    <s v="BD Digest"/>
    <d v="2021-08-01T00:00:00"/>
    <d v="2021-11-01T00:00:00"/>
    <s v="Redevelopment"/>
    <x v="24"/>
    <x v="0"/>
    <s v="For Lease"/>
    <x v="0"/>
    <m/>
    <x v="274"/>
    <m/>
    <n v="22.315149999999999"/>
    <n v="114.17109000000001"/>
    <s v="MultiPolygon (((114.17130222 22.31533357, 114.17137185 22.31499307, 114.17118833 22.3149605, 114.17103307 22.31493283, 114.17099252 22.31513264, 114.17089062 22.31511453, 114.17086882 22.31511136, 114.17085619 22.31517676, 114.17085215 22.31519767, 114.17082688 22.31519359, 114.17081854 22.31523618, 114.17084852 22.31524139, 114.17083617 22.31530265, 114.17129195 22.31538383, 114.17130222 22.31533357)))"/>
  </r>
  <r>
    <m/>
    <x v="283"/>
    <s v="111 Lee Nam Road"/>
    <m/>
    <x v="25"/>
    <x v="10"/>
    <x v="6"/>
    <x v="0"/>
    <x v="36"/>
    <x v="4"/>
    <s v=""/>
    <x v="2"/>
    <x v="3"/>
    <n v="2"/>
    <s v="22+4 basement"/>
    <n v="20"/>
    <n v="19372.5"/>
    <x v="241"/>
    <x v="1"/>
    <m/>
    <m/>
    <n v="71989.966555183957"/>
    <n v="774900"/>
    <n v="53992.474916387968"/>
    <n v="581175"/>
    <m/>
    <m/>
    <m/>
    <n v="0"/>
    <n v="0"/>
    <n v="581175"/>
    <n v="0"/>
    <s v="Commercial"/>
    <m/>
    <s v="HKET"/>
    <d v="2017-10-05T00:00:00"/>
    <d v="2017-10-05T00:00:00"/>
    <s v="Redevelopment"/>
    <x v="120"/>
    <x v="0"/>
    <s v="Uncertain"/>
    <x v="2"/>
    <s v="May 2017: http://paper.hket.com/article/1806677/%E9%B4%A8%E8%84%B7%E6%B4%B22%E5%95%86%E6%A5%AD%E9%A0%85%E7%9B%AE%20%E6%B6%89142%E8%90%AC%E5%91%8E%E6%A8%93%E9%9D%A2?"/>
    <x v="275"/>
    <m/>
    <n v="22.238350000000001"/>
    <n v="114.15289"/>
    <s v="MultiPolygon (((114.15286427 22.2386871, 114.15288629 22.23866172, 114.15290856 22.23867658, 114.15293764 22.23863829, 114.15299351 22.23867402, 114.15300346 22.23867994, 114.15301179 22.23868409, 114.15302042 22.23868767, 114.15302929 22.2386907, 114.15303837 22.23869313, 114.15304728 22.23869488, 114.15305566 22.23869581, 114.15306577 22.23869603, 114.15307418 22.23869546, 114.15309046 22.23869283, 114.15310331 22.2386902, 114.15312233 22.23868577, 114.15313041 22.23868297, 114.15313615 22.23868021, 114.1531424 22.23867629, 114.15314733 22.23867239, 114.15315248 22.23866727, 114.15325335 22.23853919, 114.15325714 22.23853178, 114.15326038 22.23852415, 114.15326463 22.23851035, 114.15326704 22.23849618, 114.15326762 22.23848594, 114.15326724 22.23847569, 114.15326624 22.23846753, 114.15326414 22.23845747, 114.15326111 22.23844761, 114.15325716 22.23843803, 114.1532523 22.23842883, 114.153247 22.23842104, 114.15323863 22.23841152, 114.15316305 22.23835801, 114.15319313 22.23832133, 114.15317133 22.23830325, 114.15319187 22.23827948, 114.15319333 22.23827461, 114.15319407 22.23826897, 114.15319399 22.23826455, 114.15319319 22.23825955, 114.15319165 22.23825471, 114.1531894 22.23825011, 114.15318648 22.23824585, 114.15318296 22.23824201, 114.15317889 22.23823866, 114.15317472 22.23823606, 114.15311696 22.23819955, 114.15307114 22.23816497, 114.15307836 22.23815737, 114.1530355 22.23812838, 114.15302406 22.2381431, 114.15294814 22.2380903, 114.15295101 22.23808701, 114.1528774 22.23803706, 114.15287421 22.23803516, 114.15287069 22.23803372, 114.15286702 22.23803291, 114.15286323 22.23803272, 114.15285944 22.23803317, 114.15285587 22.23803417, 114.15285246 22.23803579, 114.15284947 22.23803787, 114.15284686 22.23804049, 114.152825 22.23806824, 114.1528057 22.23805574, 114.15252395 22.23841729, 114.15252508 22.23841806, 114.15254259 22.23843002, 114.15252228 22.23845603, 114.15252015 22.23845919, 114.1525186 22.23846262, 114.15251792 22.23846623, 114.15251792 22.23846993, 114.15251871 22.23847364, 114.15252026 22.23847707, 114.1525225 22.23848014, 114.1525253 22.23848276, 114.15254626 22.23849748, 114.15254547 22.23849848, 114.15283304 22.23869359, 114.1528387 22.23869628, 114.15284383 22.23869726, 114.15284906 22.23869705, 114.15285408 22.23869567, 114.15285889 22.23869299, 114.1528621 22.23869006, 114.15286427 22.2386871)))"/>
  </r>
  <r>
    <m/>
    <x v="284"/>
    <s v="8 Leighton Road"/>
    <m/>
    <x v="10"/>
    <x v="8"/>
    <x v="7"/>
    <x v="0"/>
    <x v="36"/>
    <x v="4"/>
    <s v=""/>
    <x v="1"/>
    <x v="3"/>
    <n v="1"/>
    <s v="25 + 3 basement levels"/>
    <n v="22"/>
    <n v="6434.9414341799993"/>
    <x v="242"/>
    <x v="1"/>
    <n v="14944.8"/>
    <n v="160864.33271999998"/>
    <n v="11345.564"/>
    <n v="122122.62979523999"/>
    <n v="8509.1730000000007"/>
    <n v="91591.97234642999"/>
    <m/>
    <m/>
    <m/>
    <n v="91591.97234642999"/>
    <n v="0"/>
    <n v="0"/>
    <n v="0"/>
    <s v="Commercial"/>
    <s v="Plans Approved"/>
    <s v="BD Monthly Digest"/>
    <d v="2023-01-01T00:00:00"/>
    <d v="2023-05-30T00:00:00"/>
    <s v="Redevelopment"/>
    <x v="108"/>
    <x v="0"/>
    <s v="For Lease"/>
    <x v="0"/>
    <m/>
    <x v="276"/>
    <s v="LAND028"/>
    <m/>
    <m/>
    <m/>
  </r>
  <r>
    <m/>
    <x v="285"/>
    <s v="299 Queen's Road Central"/>
    <m/>
    <x v="12"/>
    <x v="9"/>
    <x v="8"/>
    <x v="0"/>
    <x v="36"/>
    <x v="4"/>
    <s v=""/>
    <x v="1"/>
    <x v="3"/>
    <n v="1"/>
    <s v="28 + 1 basement levels"/>
    <n v="28"/>
    <n v="3475.2052285714281"/>
    <x v="243"/>
    <x v="1"/>
    <n v="9040"/>
    <n v="97305.746399999989"/>
    <n v="9040"/>
    <n v="97305.746399999989"/>
    <n v="6780"/>
    <n v="72979.309799999988"/>
    <m/>
    <m/>
    <m/>
    <n v="0"/>
    <n v="0"/>
    <n v="72979.309799999988"/>
    <n v="0"/>
    <s v="Commercial"/>
    <s v="Plans Approved"/>
    <s v="BD Monthly Digest"/>
    <d v="2022-09-01T00:00:00"/>
    <d v="2022-11-01T00:00:00"/>
    <s v="Redevelopment"/>
    <x v="24"/>
    <x v="0"/>
    <s v="Uncertain"/>
    <x v="2"/>
    <m/>
    <x v="277"/>
    <m/>
    <m/>
    <m/>
    <m/>
  </r>
  <r>
    <m/>
    <x v="286"/>
    <s v="1 Hing Yip Street"/>
    <m/>
    <x v="4"/>
    <x v="3"/>
    <x v="3"/>
    <x v="1"/>
    <x v="36"/>
    <x v="4"/>
    <s v=""/>
    <x v="0"/>
    <x v="3"/>
    <m/>
    <m/>
    <m/>
    <m/>
    <x v="41"/>
    <x v="2"/>
    <m/>
    <m/>
    <n v="18063.712966489842"/>
    <n v="194436"/>
    <n v="13547.784724867382"/>
    <n v="145827"/>
    <m/>
    <m/>
    <m/>
    <n v="0"/>
    <n v="0"/>
    <n v="145827"/>
    <n v="0"/>
    <s v="Commercial"/>
    <m/>
    <s v="Retail Team"/>
    <m/>
    <d v="2018-07-24T00:00:00"/>
    <s v="Redevelopment"/>
    <x v="137"/>
    <x v="0"/>
    <s v="Uncertain"/>
    <x v="1"/>
    <m/>
    <x v="278"/>
    <m/>
    <n v="22.310020000000002"/>
    <n v="114.22474"/>
    <s v="MultiPolygon (((114.2244745 22.31020193, 114.22448265 22.31020816, 114.22461369 22.31030833, 114.2247525 22.31015246, 114.22481229 22.31008532, 114.22484112 22.31005294, 114.22484291 22.31005093, 114.2249063 22.30997974, 114.22502104 22.3098509, 114.2248814 22.30974333, 114.22484282 22.3097868, 114.22484103 22.30978882, 114.22481219 22.30982132, 114.22467158 22.30997981, 114.22451834 22.31015253, 114.22448265 22.31019275, 114.2244745 22.31020193)))"/>
  </r>
  <r>
    <m/>
    <x v="287"/>
    <s v="334-336 and 338 Kwun Tong Road"/>
    <m/>
    <x v="4"/>
    <x v="3"/>
    <x v="3"/>
    <x v="1"/>
    <x v="36"/>
    <x v="4"/>
    <s v=""/>
    <x v="0"/>
    <x v="3"/>
    <n v="1"/>
    <s v="25+7 basement &amp; 1 Podium"/>
    <n v="22"/>
    <n v="10584.358147999999"/>
    <x v="244"/>
    <x v="1"/>
    <n v="23211"/>
    <n v="249840.8829"/>
    <n v="21633.039999999997"/>
    <n v="232855.87925599996"/>
    <n v="16224.779999999999"/>
    <n v="174641.90944199997"/>
    <m/>
    <m/>
    <m/>
    <n v="0"/>
    <n v="0"/>
    <n v="174641.90944199997"/>
    <n v="0"/>
    <s v="Commercial"/>
    <m/>
    <s v="Town Planning Board"/>
    <d v="2021-11-19T00:00:00"/>
    <d v="2021-11-29T00:00:00"/>
    <s v="Redevelopment"/>
    <x v="24"/>
    <x v="0"/>
    <s v="Uncertain"/>
    <x v="2"/>
    <s v="Nov 2021: https://www.info.gov.hk/tpb//tc/plan_application/Attachment/20211119/s16fi_A_K14_804_1_gist.pdf"/>
    <x v="279"/>
    <m/>
    <m/>
    <m/>
    <m/>
  </r>
  <r>
    <m/>
    <x v="288"/>
    <s v="8 Lam Chak Steet"/>
    <m/>
    <x v="4"/>
    <x v="3"/>
    <x v="3"/>
    <x v="1"/>
    <x v="36"/>
    <x v="4"/>
    <s v=""/>
    <x v="0"/>
    <x v="3"/>
    <n v="2"/>
    <s v="28 + 3  basement levels"/>
    <s v="28/ 28"/>
    <n v="12139.6417475"/>
    <x v="245"/>
    <x v="1"/>
    <n v="63157.4"/>
    <n v="679819.93785999995"/>
    <n v="63157.4"/>
    <n v="679819.93785999995"/>
    <n v="47368.05"/>
    <n v="509864.95339499996"/>
    <m/>
    <m/>
    <m/>
    <n v="509864.95339499996"/>
    <n v="0"/>
    <n v="0"/>
    <n v="0"/>
    <s v="Commercial"/>
    <s v="Plans Approved"/>
    <s v="BD Monthly Digest"/>
    <d v="2020-06-01T00:00:00"/>
    <d v="2020-09-01T00:00:00"/>
    <s v="Redevelopment"/>
    <x v="138"/>
    <x v="0"/>
    <s v="For Lease"/>
    <x v="0"/>
    <m/>
    <x v="280"/>
    <m/>
    <n v="22.315669396241798"/>
    <n v="114.21181504200401"/>
    <s v="MultiPolygon (((114.21201196 22.31541029, 114.2119105 22.31531226, 114.21181787 22.31531063, 114.21172362 22.31538881, 114.21139184 22.31568608, 114.21136024 22.31572065, 114.21135823 22.31577059, 114.21136496 22.3157771, 114.21134399 22.31579589, 114.21160978 22.31605271, 114.21163075 22.31603392, 114.21169609 22.31597538, 114.21172126 22.31595283, 114.21173809 22.31596909, 114.21182618 22.31589016, 114.21180935 22.3158739, 114.21196386 22.31573547, 114.21198069 22.31575173, 114.21206878 22.3156728, 114.21205195 22.31565654, 114.21207712 22.31563399, 114.21215053 22.31556822, 114.21213706 22.31555521, 114.21199905 22.31542186, 114.21201196 22.31541029)))"/>
  </r>
  <r>
    <m/>
    <x v="289"/>
    <s v="712 Prince Edward Road East/112 King Fuk Street"/>
    <m/>
    <x v="5"/>
    <x v="4"/>
    <x v="4"/>
    <x v="1"/>
    <x v="36"/>
    <x v="4"/>
    <s v=""/>
    <x v="2"/>
    <x v="3"/>
    <n v="1"/>
    <m/>
    <m/>
    <m/>
    <x v="41"/>
    <x v="2"/>
    <m/>
    <m/>
    <n v="30657.748049052399"/>
    <n v="330000"/>
    <n v="22993.311036789299"/>
    <n v="247500"/>
    <m/>
    <m/>
    <m/>
    <n v="0"/>
    <n v="0"/>
    <n v="247500"/>
    <n v="0"/>
    <s v="Commercial"/>
    <m/>
    <s v="HKET"/>
    <d v="2017-07-25T00:00:00"/>
    <d v="2017-07-25T00:00:00"/>
    <s v="Redevelopment"/>
    <x v="24"/>
    <x v="0"/>
    <s v="Uncertain"/>
    <x v="2"/>
    <s v="Jul 2017: http://paper.hket.com/article/1865699/%E6%96%B0%E8%92%B2%E5%B4%97%E5%B7%A5%E5%BB%88%E8%BD%89%E5%95%86%E7%94%A8%20%E6%B6%89225%E8%90%AC%E5%91%8E%E6%A8%93%E9%9D%A2"/>
    <x v="281"/>
    <m/>
    <n v="22.334659209837501"/>
    <n v="114.199572516743"/>
    <s v="MultiPolygon (((114.19922394 22.33491031, 114.19944398 22.33499104, 114.19948054 22.33490661, 114.19951681 22.33482284, 114.19954813 22.3347505, 114.19955308 22.33473908, 114.19959075 22.33465208, 114.19962702 22.33456831, 114.19966518 22.33448018, 114.19967744 22.33445187, 114.19968559 22.33443303, 114.19946602 22.3343508, 114.19945779 22.33436981, 114.19944578 22.33439758, 114.19926473 22.33481604, 114.19926464 22.33481624, 114.19922394 22.33491031)))"/>
  </r>
  <r>
    <m/>
    <x v="290"/>
    <s v="7-9 Pat Tat Street"/>
    <m/>
    <x v="5"/>
    <x v="4"/>
    <x v="4"/>
    <x v="1"/>
    <x v="36"/>
    <x v="4"/>
    <s v=""/>
    <x v="2"/>
    <x v="3"/>
    <n v="1"/>
    <m/>
    <m/>
    <m/>
    <x v="41"/>
    <x v="2"/>
    <m/>
    <m/>
    <n v="15049.981419546637"/>
    <n v="161998"/>
    <n v="11287.486064659977"/>
    <n v="121498.5"/>
    <m/>
    <m/>
    <m/>
    <n v="0"/>
    <n v="0"/>
    <n v="121498.5"/>
    <n v="0"/>
    <s v="Commercial"/>
    <m/>
    <s v="HKET"/>
    <d v="2017-07-25T00:00:00"/>
    <d v="2017-07-25T00:00:00"/>
    <s v="Redevelopment"/>
    <x v="5"/>
    <x v="0"/>
    <s v="Uncertain"/>
    <x v="2"/>
    <s v="Jul 2017: http://paper.hket.com/article/1865699/%E6%96%B0%E8%92%B2%E5%B4%97%E5%B7%A5%E5%BB%88%E8%BD%89%E5%95%86%E7%94%A8%20%E6%B6%89225%E8%90%AC%E5%91%8E%E6%A8%93%E9%9D%A2"/>
    <x v="282"/>
    <m/>
    <n v="22.33672"/>
    <n v="114.19887"/>
    <s v="MultiPolygon (((114.19872267 22.3366714, 114.1988744 22.33687512, 114.19896464 22.33681711, 114.19890106 22.33673174, 114.19902929 22.33664931, 114.1989287 22.33651404, 114.19890711 22.33648501, 114.19886946 22.33650898, 114.19890425 22.33655577, 114.19872267 22.3366714)))"/>
  </r>
  <r>
    <m/>
    <x v="291"/>
    <s v="698 Prince Edward Road East"/>
    <m/>
    <x v="5"/>
    <x v="4"/>
    <x v="4"/>
    <x v="1"/>
    <x v="36"/>
    <x v="4"/>
    <s v=""/>
    <x v="2"/>
    <x v="3"/>
    <n v="1"/>
    <n v="25"/>
    <m/>
    <m/>
    <x v="41"/>
    <x v="2"/>
    <m/>
    <m/>
    <n v="31586.770717205502"/>
    <n v="340000"/>
    <n v="23690.078037904124"/>
    <n v="255000"/>
    <m/>
    <m/>
    <m/>
    <n v="0"/>
    <n v="0"/>
    <n v="255000"/>
    <n v="0"/>
    <s v="Commercial"/>
    <m/>
    <s v="HKET"/>
    <d v="2017-07-25T00:00:00"/>
    <d v="2017-07-25T00:00:00"/>
    <s v="Redevelopment"/>
    <x v="139"/>
    <x v="0"/>
    <s v="Uncertain"/>
    <x v="0"/>
    <s v="Jul 2017: http://paper.hket.com/article/1865699/%E6%96%B0%E8%92%B2%E5%B4%97%E5%B7%A5%E5%BB%88%E8%BD%89%E5%95%86%E7%94%A8%20%E6%B6%89225%E8%90%AC%E5%91%8E%E6%A8%93%E9%9D%A2"/>
    <x v="283"/>
    <m/>
    <n v="22.33418"/>
    <n v="114.1982"/>
    <s v="MultiPolygon (((114.19837763 22.33404589, 114.19838611 22.33402622, 114.19836893 22.33401973, 114.19839585 22.33395729, 114.19836374 22.33394516, 114.19834997 22.33397709, 114.19832668 22.3339683, 114.1983339 22.33395154, 114.19827958 22.33393102, 114.19822525 22.33391051, 114.19821563 22.33390687, 114.19820128 22.33394015, 114.19818051 22.3339323, 114.19801076 22.33432578, 114.19803072 22.33433338, 114.19801396 22.33437227, 114.1981559 22.33442632, 114.19815214 22.33443504, 114.19818476 22.33444746, 114.19819271 22.33442902, 114.19820968 22.33443548, 114.19823511 22.33437651, 114.19837763 22.33404589)))"/>
  </r>
  <r>
    <m/>
    <x v="292"/>
    <s v="2 Hung To Road"/>
    <m/>
    <x v="4"/>
    <x v="3"/>
    <x v="3"/>
    <x v="1"/>
    <x v="36"/>
    <x v="4"/>
    <s v=""/>
    <x v="1"/>
    <x v="2"/>
    <n v="1"/>
    <s v="22 + 1 basement"/>
    <n v="22"/>
    <n v="2196.7162827272728"/>
    <x v="246"/>
    <x v="1"/>
    <n v="4489.8"/>
    <n v="48327.758220000003"/>
    <n v="4489.8"/>
    <n v="48327.758220000003"/>
    <n v="3367.3500000000004"/>
    <n v="36245.818664999999"/>
    <m/>
    <m/>
    <m/>
    <n v="0"/>
    <n v="0"/>
    <n v="36245.818664999999"/>
    <n v="0"/>
    <s v="Commercial"/>
    <m/>
    <s v="BD Monthly Digest"/>
    <d v="2024-04-30T00:00:00"/>
    <d v="2025-01-22T00:00:00"/>
    <s v="Redevelopment"/>
    <x v="140"/>
    <x v="0"/>
    <s v="Uncertain"/>
    <x v="0"/>
    <m/>
    <x v="28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88B3D-83CE-4D8C-96E1-7DF5746631AC}"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1:D34" firstHeaderRow="1" firstDataRow="3" firstDataCol="1" rowPageCount="4" colPageCount="1"/>
  <pivotFields count="48">
    <pivotField showAll="0"/>
    <pivotField axis="axisRow" showAll="0">
      <items count="294">
        <item sd="0" x="48"/>
        <item sd="0" x="20"/>
        <item sd="0" x="18"/>
        <item sd="0" x="35"/>
        <item sd="0" x="25"/>
        <item sd="0" x="39"/>
        <item sd="0" x="31"/>
        <item sd="0" x="62"/>
        <item sd="0" x="32"/>
        <item sd="0" x="16"/>
        <item sd="0" x="53"/>
        <item sd="0" x="30"/>
        <item sd="0" x="6"/>
        <item sd="0" x="8"/>
        <item sd="0" x="40"/>
        <item sd="0" x="10"/>
        <item sd="0" x="27"/>
        <item sd="0" x="9"/>
        <item sd="0" x="26"/>
        <item sd="0" x="15"/>
        <item sd="0" x="37"/>
        <item sd="0" x="3"/>
        <item sd="0" x="50"/>
        <item sd="0" x="38"/>
        <item sd="0" x="71"/>
        <item sd="0" x="23"/>
        <item sd="0" x="1"/>
        <item sd="0" x="7"/>
        <item sd="0" x="13"/>
        <item sd="0" x="55"/>
        <item sd="0" x="14"/>
        <item sd="0" x="24"/>
        <item sd="0" x="57"/>
        <item sd="0" x="2"/>
        <item sd="0" x="29"/>
        <item sd="0" x="12"/>
        <item sd="0" x="21"/>
        <item sd="0" x="4"/>
        <item sd="0" x="19"/>
        <item sd="0" x="5"/>
        <item sd="0" x="66"/>
        <item sd="0" x="0"/>
        <item sd="0" x="17"/>
        <item sd="0" x="28"/>
        <item sd="0" x="42"/>
        <item sd="0" x="22"/>
        <item sd="0" x="36"/>
        <item sd="0" x="11"/>
        <item sd="0" x="45"/>
        <item sd="0" x="56"/>
        <item sd="0" x="84"/>
        <item sd="0" x="33"/>
        <item sd="0" x="72"/>
        <item sd="0" x="60"/>
        <item sd="0" x="34"/>
        <item sd="0" x="47"/>
        <item sd="0" x="81"/>
        <item sd="0" x="75"/>
        <item sd="0" x="69"/>
        <item sd="0" x="108"/>
        <item sd="0" x="44"/>
        <item sd="0" x="43"/>
        <item sd="0" x="41"/>
        <item sd="0" x="49"/>
        <item sd="0" x="54"/>
        <item sd="0" x="63"/>
        <item sd="0" x="73"/>
        <item sd="0" x="70"/>
        <item sd="0" x="52"/>
        <item sd="0" x="46"/>
        <item sd="0" x="51"/>
        <item sd="0" x="61"/>
        <item sd="0" x="80"/>
        <item sd="0" x="65"/>
        <item sd="0" x="59"/>
        <item sd="0" x="105"/>
        <item sd="0" x="94"/>
        <item sd="0" x="58"/>
        <item sd="0" x="67"/>
        <item sd="0" x="222"/>
        <item sd="0" x="204"/>
        <item sd="0" x="215"/>
        <item sd="0" x="264"/>
        <item sd="0" x="263"/>
        <item sd="0" x="265"/>
        <item sd="0" x="251"/>
        <item sd="0" x="276"/>
        <item sd="0" x="217"/>
        <item sd="0" x="218"/>
        <item sd="0" x="275"/>
        <item sd="0" x="202"/>
        <item sd="0" x="201"/>
        <item sd="0" x="245"/>
        <item sd="0" x="246"/>
        <item sd="0" x="247"/>
        <item sd="0" x="248"/>
        <item sd="0" x="249"/>
        <item sd="0" x="200"/>
        <item sd="0" x="205"/>
        <item sd="0" x="267"/>
        <item sd="0" x="268"/>
        <item sd="0" x="216"/>
        <item sd="0" x="210"/>
        <item sd="0" x="278"/>
        <item sd="0" x="260"/>
        <item sd="0" x="259"/>
        <item sd="0" x="258"/>
        <item sd="0" x="203"/>
        <item sd="0" x="98"/>
        <item sd="0" x="262"/>
        <item sd="0" x="79"/>
        <item sd="0" x="64"/>
        <item sd="0" x="68"/>
        <item sd="0" x="77"/>
        <item sd="0" x="76"/>
        <item sd="0" x="92"/>
        <item sd="0" x="107"/>
        <item x="231"/>
        <item x="211"/>
        <item x="209"/>
        <item x="273"/>
        <item x="272"/>
        <item x="271"/>
        <item x="270"/>
        <item x="269"/>
        <item x="192"/>
        <item x="85"/>
        <item x="232"/>
        <item x="234"/>
        <item x="252"/>
        <item x="74"/>
        <item x="86"/>
        <item x="78"/>
        <item x="89"/>
        <item x="88"/>
        <item x="90"/>
        <item x="236"/>
        <item x="237"/>
        <item x="283"/>
        <item x="87"/>
        <item x="123"/>
        <item x="83"/>
        <item x="206"/>
        <item x="95"/>
        <item x="219"/>
        <item x="290"/>
        <item x="291"/>
        <item x="289"/>
        <item x="243"/>
        <item x="261"/>
        <item sd="0" x="93"/>
        <item x="274"/>
        <item x="117"/>
        <item x="82"/>
        <item x="97"/>
        <item x="96"/>
        <item x="198"/>
        <item x="191"/>
        <item x="183"/>
        <item x="229"/>
        <item x="208"/>
        <item x="150"/>
        <item x="253"/>
        <item x="99"/>
        <item x="220"/>
        <item x="207"/>
        <item x="130"/>
        <item x="286"/>
        <item x="110"/>
        <item x="140"/>
        <item x="114"/>
        <item x="254"/>
        <item x="280"/>
        <item x="91"/>
        <item x="279"/>
        <item x="255"/>
        <item x="223"/>
        <item x="241"/>
        <item x="181"/>
        <item x="228"/>
        <item x="226"/>
        <item x="227"/>
        <item x="102"/>
        <item x="195"/>
        <item x="106"/>
        <item x="101"/>
        <item x="104"/>
        <item x="100"/>
        <item x="103"/>
        <item x="128"/>
        <item x="233"/>
        <item x="238"/>
        <item x="169"/>
        <item x="168"/>
        <item x="167"/>
        <item x="177"/>
        <item x="212"/>
        <item x="213"/>
        <item x="214"/>
        <item x="284"/>
        <item x="288"/>
        <item x="188"/>
        <item x="115"/>
        <item x="126"/>
        <item x="113"/>
        <item x="112"/>
        <item x="131"/>
        <item x="116"/>
        <item x="119"/>
        <item x="174"/>
        <item x="179"/>
        <item x="122"/>
        <item x="118"/>
        <item x="178"/>
        <item x="138"/>
        <item x="230"/>
        <item x="152"/>
        <item x="154"/>
        <item x="156"/>
        <item x="186"/>
        <item x="120"/>
        <item x="125"/>
        <item x="282"/>
        <item x="287"/>
        <item x="136"/>
        <item x="240"/>
        <item x="239"/>
        <item x="235"/>
        <item x="137"/>
        <item x="124"/>
        <item x="121"/>
        <item x="127"/>
        <item x="193"/>
        <item x="180"/>
        <item x="109"/>
        <item x="224"/>
        <item x="176"/>
        <item x="225"/>
        <item x="266"/>
        <item x="256"/>
        <item x="182"/>
        <item x="257"/>
        <item x="184"/>
        <item x="244"/>
        <item x="281"/>
        <item x="129"/>
        <item x="151"/>
        <item x="111"/>
        <item x="285"/>
        <item x="139"/>
        <item x="134"/>
        <item x="142"/>
        <item x="141"/>
        <item x="242"/>
        <item x="197"/>
        <item x="250"/>
        <item x="133"/>
        <item x="159"/>
        <item x="160"/>
        <item x="155"/>
        <item x="221"/>
        <item x="149"/>
        <item x="143"/>
        <item x="145"/>
        <item x="146"/>
        <item x="144"/>
        <item x="185"/>
        <item x="190"/>
        <item x="277"/>
        <item x="148"/>
        <item x="158"/>
        <item x="171"/>
        <item x="194"/>
        <item x="165"/>
        <item x="189"/>
        <item x="163"/>
        <item x="153"/>
        <item x="162"/>
        <item x="164"/>
        <item x="170"/>
        <item x="292"/>
        <item x="166"/>
        <item x="196"/>
        <item x="172"/>
        <item x="161"/>
        <item x="132"/>
        <item x="135"/>
        <item x="147"/>
        <item x="157"/>
        <item x="175"/>
        <item x="173"/>
        <item x="199"/>
        <item x="187"/>
        <item t="default" sd="0"/>
      </items>
    </pivotField>
    <pivotField showAll="0"/>
    <pivotField showAll="0"/>
    <pivotField multipleItemSelectionAllowed="1" showAll="0" defaultSubtotal="0"/>
    <pivotField multipleItemSelectionAllowed="1" showAll="0" defaultSubtotal="0"/>
    <pivotField showAll="0"/>
    <pivotField axis="axisCol" multipleItemSelectionAllowed="1" showAll="0">
      <items count="4">
        <item sd="0" x="0"/>
        <item sd="0" x="1"/>
        <item sd="0" x="2"/>
        <item t="default"/>
      </items>
    </pivotField>
    <pivotField axis="axisRow" showAll="0" sortType="ascending" defaultSubtotal="0">
      <items count="37">
        <item h="1" sd="0" x="0"/>
        <item h="1" sd="0" x="1"/>
        <item h="1" sd="0" x="2"/>
        <item h="1" sd="0" x="3"/>
        <item h="1" sd="0" x="4"/>
        <item h="1" sd="0" x="5"/>
        <item h="1" sd="0" x="6"/>
        <item h="1" sd="0" x="7"/>
        <item h="1" sd="0" x="8"/>
        <item h="1" sd="0" x="9"/>
        <item h="1" sd="0" x="10"/>
        <item sd="0" x="11"/>
        <item sd="0" x="12"/>
        <item sd="0" x="13"/>
        <item sd="0" x="14"/>
        <item h="1" sd="0" x="15"/>
        <item h="1" x="16"/>
        <item h="1" x="17"/>
        <item h="1" x="18"/>
        <item h="1" x="19"/>
        <item h="1" x="20"/>
        <item h="1" x="21"/>
        <item h="1" x="22"/>
        <item h="1" x="23"/>
        <item h="1" x="30"/>
        <item h="1" sd="0" x="24"/>
        <item h="1" x="25"/>
        <item h="1" x="26"/>
        <item h="1" x="27"/>
        <item h="1" x="28"/>
        <item h="1" x="29"/>
        <item h="1" x="31"/>
        <item h="1" x="32"/>
        <item h="1" x="33"/>
        <item h="1" x="34"/>
        <item h="1" x="35"/>
        <item h="1" sd="0" x="36"/>
      </items>
    </pivotField>
    <pivotField showAll="0"/>
    <pivotField showAll="0"/>
    <pivotField axis="axisPage" multipleItemSelectionAllowed="1" showAll="0">
      <items count="5">
        <item x="0"/>
        <item h="1" x="2"/>
        <item h="1" x="1"/>
        <item h="1" x="3"/>
        <item t="default"/>
      </items>
    </pivotField>
    <pivotField axis="axisPage" multipleItemSelectionAllowed="1" showAll="0">
      <items count="6">
        <item h="1" x="0"/>
        <item x="2"/>
        <item h="1" x="3"/>
        <item h="1" x="1"/>
        <item h="1" x="4"/>
        <item t="default"/>
      </items>
    </pivotField>
    <pivotField showAll="0"/>
    <pivotField showAll="0"/>
    <pivotField showAll="0"/>
    <pivotField showAll="0"/>
    <pivotField showAll="0"/>
    <pivotField axis="axisPage" multipleItemSelectionAllowed="1" showAll="0" defaultSubtotal="0">
      <items count="3">
        <item x="1"/>
        <item x="2"/>
        <item x="0"/>
      </items>
    </pivotField>
    <pivotField showAll="0"/>
    <pivotField showAll="0"/>
    <pivotField showAll="0"/>
    <pivotField showAll="0"/>
    <pivotField numFmtId="3" showAll="0"/>
    <pivotField numFmtId="3" showAll="0"/>
    <pivotField multipleItemSelectionAllowed="1" showAll="0"/>
    <pivotField showAll="0"/>
    <pivotField showAll="0"/>
    <pivotField dataField="1" showAll="0"/>
    <pivotField dataField="1" showAll="0"/>
    <pivotField dataField="1" showAll="0"/>
    <pivotField numFmtId="9" showAll="0"/>
    <pivotField showAll="0"/>
    <pivotField showAll="0"/>
    <pivotField showAll="0"/>
    <pivotField showAll="0"/>
    <pivotField showAll="0"/>
    <pivotField showAll="0"/>
    <pivotField axis="axisRow" showAll="0">
      <items count="142">
        <item x="6"/>
        <item x="62"/>
        <item x="35"/>
        <item x="18"/>
        <item x="10"/>
        <item x="12"/>
        <item x="42"/>
        <item x="53"/>
        <item x="34"/>
        <item x="73"/>
        <item x="44"/>
        <item x="43"/>
        <item x="5"/>
        <item x="22"/>
        <item x="36"/>
        <item x="32"/>
        <item x="69"/>
        <item x="54"/>
        <item x="17"/>
        <item x="21"/>
        <item x="47"/>
        <item x="15"/>
        <item x="27"/>
        <item x="28"/>
        <item x="39"/>
        <item x="9"/>
        <item x="45"/>
        <item x="16"/>
        <item x="7"/>
        <item x="8"/>
        <item x="63"/>
        <item x="33"/>
        <item x="3"/>
        <item x="55"/>
        <item x="30"/>
        <item x="49"/>
        <item x="46"/>
        <item x="14"/>
        <item x="48"/>
        <item x="59"/>
        <item x="65"/>
        <item x="31"/>
        <item x="37"/>
        <item x="25"/>
        <item x="40"/>
        <item x="2"/>
        <item x="26"/>
        <item x="29"/>
        <item x="1"/>
        <item x="19"/>
        <item x="20"/>
        <item x="125"/>
        <item x="58"/>
        <item x="0"/>
        <item x="105"/>
        <item x="23"/>
        <item x="13"/>
        <item x="64"/>
        <item x="51"/>
        <item x="60"/>
        <item x="11"/>
        <item x="41"/>
        <item x="67"/>
        <item x="4"/>
        <item x="66"/>
        <item x="24"/>
        <item x="75"/>
        <item x="38"/>
        <item x="136"/>
        <item x="57"/>
        <item x="129"/>
        <item x="95"/>
        <item x="61"/>
        <item x="68"/>
        <item x="124"/>
        <item x="50"/>
        <item x="52"/>
        <item x="84"/>
        <item x="56"/>
        <item x="70"/>
        <item x="120"/>
        <item x="96"/>
        <item x="81"/>
        <item x="94"/>
        <item x="133"/>
        <item x="139"/>
        <item x="110"/>
        <item x="79"/>
        <item x="132"/>
        <item x="76"/>
        <item x="123"/>
        <item x="85"/>
        <item x="104"/>
        <item x="131"/>
        <item x="114"/>
        <item x="126"/>
        <item x="99"/>
        <item x="137"/>
        <item x="71"/>
        <item x="91"/>
        <item x="134"/>
        <item x="82"/>
        <item x="80"/>
        <item x="89"/>
        <item x="128"/>
        <item x="92"/>
        <item x="88"/>
        <item x="101"/>
        <item x="97"/>
        <item x="130"/>
        <item x="112"/>
        <item x="111"/>
        <item x="115"/>
        <item x="107"/>
        <item x="117"/>
        <item x="108"/>
        <item x="138"/>
        <item x="119"/>
        <item x="74"/>
        <item x="106"/>
        <item x="78"/>
        <item x="118"/>
        <item x="83"/>
        <item x="77"/>
        <item x="90"/>
        <item x="102"/>
        <item x="116"/>
        <item x="135"/>
        <item x="72"/>
        <item x="86"/>
        <item x="98"/>
        <item x="87"/>
        <item x="93"/>
        <item x="100"/>
        <item x="103"/>
        <item x="109"/>
        <item x="113"/>
        <item x="122"/>
        <item x="121"/>
        <item x="140"/>
        <item x="127"/>
        <item t="default"/>
      </items>
    </pivotField>
    <pivotField showAll="0"/>
    <pivotField showAll="0"/>
    <pivotField axis="axisPage" multipleItemSelectionAllowed="1" showAll="0">
      <items count="5">
        <item x="0"/>
        <item x="1"/>
        <item x="3"/>
        <item x="2"/>
        <item t="default"/>
      </items>
    </pivotField>
    <pivotField showAll="0"/>
    <pivotField showAll="0"/>
    <pivotField showAll="0"/>
    <pivotField showAll="0"/>
    <pivotField showAll="0"/>
    <pivotField showAll="0"/>
  </pivotFields>
  <rowFields count="3">
    <field x="8"/>
    <field x="1"/>
    <field x="38"/>
  </rowFields>
  <rowItems count="1">
    <i t="grand">
      <x/>
    </i>
  </rowItems>
  <colFields count="2">
    <field x="7"/>
    <field x="-2"/>
  </colFields>
  <colItems count="3">
    <i t="grand">
      <x/>
    </i>
    <i t="grand" i="1">
      <x v="1"/>
    </i>
    <i t="grand" i="2">
      <x v="2"/>
    </i>
  </colItems>
  <pageFields count="4">
    <pageField fld="11" hier="-1"/>
    <pageField fld="12" hier="-1"/>
    <pageField fld="41" hier="-1"/>
    <pageField fld="18" hier="-1"/>
  </pageFields>
  <dataFields count="3">
    <dataField name="Sum of Space available for lease (Usable FA) (sf)" fld="28" baseField="0" baseItem="0"/>
    <dataField name="Sum of Space available for sale (Usable FA) (sf)" fld="29" baseField="0" baseItem="0"/>
    <dataField name="Sum of Space available uncertain of use (Usable FA) (sf)" fld="30" baseField="0" baseItem="0"/>
  </dataFields>
  <formats count="22">
    <format dxfId="148">
      <pivotArea outline="0" collapsedLevelsAreSubtotals="1" fieldPosition="0"/>
    </format>
    <format dxfId="147">
      <pivotArea outline="0" collapsedLevelsAreSubtotals="1" fieldPosition="0"/>
    </format>
    <format dxfId="146">
      <pivotArea field="8" type="button" dataOnly="0" labelOnly="1" outline="0" axis="axisRow" fieldPosition="0"/>
    </format>
    <format dxfId="145">
      <pivotArea field="-2" type="button" dataOnly="0" labelOnly="1" outline="0" axis="axisCol" fieldPosition="1"/>
    </format>
    <format dxfId="144">
      <pivotArea type="topRight" dataOnly="0" labelOnly="1" outline="0" fieldPosition="0"/>
    </format>
    <format dxfId="143">
      <pivotArea dataOnly="0" labelOnly="1" fieldPosition="0">
        <references count="1">
          <reference field="8" count="0"/>
        </references>
      </pivotArea>
    </format>
    <format dxfId="142">
      <pivotArea outline="0" collapsedLevelsAreSubtotals="1" fieldPosition="0"/>
    </format>
    <format dxfId="141">
      <pivotArea field="8" type="button" dataOnly="0" labelOnly="1" outline="0" axis="axisRow" fieldPosition="0"/>
    </format>
    <format dxfId="140">
      <pivotArea field="-2" type="button" dataOnly="0" labelOnly="1" outline="0" axis="axisCol" fieldPosition="1"/>
    </format>
    <format dxfId="139">
      <pivotArea type="topRight" dataOnly="0" labelOnly="1" outline="0" fieldPosition="0"/>
    </format>
    <format dxfId="138">
      <pivotArea dataOnly="0" labelOnly="1" fieldPosition="0">
        <references count="1">
          <reference field="8" count="0"/>
        </references>
      </pivotArea>
    </format>
    <format dxfId="137">
      <pivotArea outline="0" collapsedLevelsAreSubtotals="1" fieldPosition="0"/>
    </format>
    <format dxfId="136">
      <pivotArea field="8" type="button" dataOnly="0" labelOnly="1" outline="0" axis="axisRow" fieldPosition="0"/>
    </format>
    <format dxfId="135">
      <pivotArea field="-2" type="button" dataOnly="0" labelOnly="1" outline="0" axis="axisCol" fieldPosition="1"/>
    </format>
    <format dxfId="134">
      <pivotArea type="topRight" dataOnly="0" labelOnly="1" outline="0" fieldPosition="0"/>
    </format>
    <format dxfId="133">
      <pivotArea dataOnly="0" labelOnly="1" fieldPosition="0">
        <references count="1">
          <reference field="8" count="0"/>
        </references>
      </pivotArea>
    </format>
    <format dxfId="132">
      <pivotArea field="7" dataOnly="0" labelOnly="1" grandCol="1" outline="0" axis="axisCol" fieldPosition="0">
        <references count="1">
          <reference field="4294967294" count="1" selected="0">
            <x v="0"/>
          </reference>
        </references>
      </pivotArea>
    </format>
    <format dxfId="131">
      <pivotArea field="7" dataOnly="0" labelOnly="1" grandCol="1" outline="0" axis="axisCol" fieldPosition="0">
        <references count="1">
          <reference field="4294967294" count="1" selected="0">
            <x v="1"/>
          </reference>
        </references>
      </pivotArea>
    </format>
    <format dxfId="130">
      <pivotArea field="7" dataOnly="0" labelOnly="1" grandCol="1" outline="0" axis="axisCol" fieldPosition="0">
        <references count="1">
          <reference field="4294967294" count="1" selected="0">
            <x v="2"/>
          </reference>
        </references>
      </pivotArea>
    </format>
    <format dxfId="129">
      <pivotArea dataOnly="0" labelOnly="1" outline="0" fieldPosition="0">
        <references count="2">
          <reference field="4294967294" count="3">
            <x v="0"/>
            <x v="1"/>
            <x v="2"/>
          </reference>
          <reference field="7" count="1" selected="0">
            <x v="0"/>
          </reference>
        </references>
      </pivotArea>
    </format>
    <format dxfId="128">
      <pivotArea dataOnly="0" labelOnly="1" outline="0" fieldPosition="0">
        <references count="2">
          <reference field="4294967294" count="3">
            <x v="0"/>
            <x v="1"/>
            <x v="2"/>
          </reference>
          <reference field="7" count="1" selected="0">
            <x v="1"/>
          </reference>
        </references>
      </pivotArea>
    </format>
    <format dxfId="127">
      <pivotArea dataOnly="0" labelOnly="1" outline="0" fieldPosition="0">
        <references count="2">
          <reference field="4294967294" count="3">
            <x v="0"/>
            <x v="1"/>
            <x v="2"/>
          </reference>
          <reference field="7" count="1" selected="0">
            <x v="2"/>
          </reference>
        </references>
      </pivotArea>
    </format>
  </formats>
  <pivotTableStyleInfo name="PivotStyleLight16" showRowHeaders="1" showColHeaders="1" showRowStripes="0" showColStripes="0" showLastColumn="1"/>
  <filters count="1">
    <filter fld="17" type="captionGreaterThan" evalOrder="-1" id="4" stringValue1="20000">
      <autoFilter ref="A1">
        <filterColumn colId="0">
          <customFilters>
            <customFilter operator="greaterThan" val="2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9:D12" firstHeaderRow="1" firstDataRow="3" firstDataCol="1" rowPageCount="4" colPageCount="1"/>
  <pivotFields count="48">
    <pivotField showAll="0"/>
    <pivotField axis="axisRow" showAll="0">
      <items count="294">
        <item sd="0" x="48"/>
        <item sd="0" x="20"/>
        <item sd="0" x="18"/>
        <item sd="0" x="35"/>
        <item sd="0" x="25"/>
        <item sd="0" x="39"/>
        <item sd="0" x="31"/>
        <item sd="0" x="62"/>
        <item sd="0" x="32"/>
        <item sd="0" x="16"/>
        <item sd="0" x="53"/>
        <item sd="0" x="30"/>
        <item sd="0" x="6"/>
        <item sd="0" x="8"/>
        <item sd="0" x="40"/>
        <item sd="0" x="10"/>
        <item sd="0" x="27"/>
        <item sd="0" x="9"/>
        <item sd="0" x="26"/>
        <item sd="0" x="15"/>
        <item sd="0" x="37"/>
        <item sd="0" x="3"/>
        <item sd="0" x="50"/>
        <item sd="0" x="38"/>
        <item sd="0" x="71"/>
        <item sd="0" x="23"/>
        <item sd="0" x="1"/>
        <item sd="0" x="7"/>
        <item sd="0" x="13"/>
        <item sd="0" x="55"/>
        <item sd="0" x="14"/>
        <item sd="0" x="24"/>
        <item sd="0" x="57"/>
        <item sd="0" x="2"/>
        <item sd="0" x="29"/>
        <item sd="0" x="12"/>
        <item sd="0" x="21"/>
        <item sd="0" x="4"/>
        <item sd="0" x="19"/>
        <item sd="0" x="5"/>
        <item sd="0" x="66"/>
        <item sd="0" x="0"/>
        <item sd="0" x="17"/>
        <item sd="0" x="28"/>
        <item sd="0" x="42"/>
        <item sd="0" x="22"/>
        <item sd="0" x="36"/>
        <item sd="0" x="11"/>
        <item sd="0" x="45"/>
        <item sd="0" x="56"/>
        <item sd="0" x="84"/>
        <item sd="0" x="33"/>
        <item sd="0" x="72"/>
        <item sd="0" x="60"/>
        <item sd="0" x="34"/>
        <item sd="0" x="47"/>
        <item sd="0" x="81"/>
        <item sd="0" x="75"/>
        <item sd="0" x="69"/>
        <item sd="0" x="108"/>
        <item sd="0" x="44"/>
        <item sd="0" x="43"/>
        <item sd="0" x="41"/>
        <item sd="0" x="49"/>
        <item sd="0" x="54"/>
        <item sd="0" x="63"/>
        <item sd="0" x="73"/>
        <item sd="0" x="70"/>
        <item sd="0" x="52"/>
        <item sd="0" x="46"/>
        <item sd="0" x="51"/>
        <item sd="0" x="61"/>
        <item sd="0" x="80"/>
        <item sd="0" x="65"/>
        <item sd="0" x="59"/>
        <item sd="0" x="105"/>
        <item sd="0" x="94"/>
        <item sd="0" x="58"/>
        <item sd="0" x="67"/>
        <item sd="0" x="222"/>
        <item sd="0" x="204"/>
        <item sd="0" x="215"/>
        <item sd="0" x="264"/>
        <item sd="0" x="263"/>
        <item sd="0" x="265"/>
        <item sd="0" x="251"/>
        <item sd="0" x="276"/>
        <item sd="0" x="217"/>
        <item sd="0" x="218"/>
        <item sd="0" x="275"/>
        <item sd="0" x="202"/>
        <item sd="0" x="201"/>
        <item sd="0" x="245"/>
        <item sd="0" x="246"/>
        <item sd="0" x="247"/>
        <item sd="0" x="248"/>
        <item sd="0" x="249"/>
        <item sd="0" x="200"/>
        <item sd="0" x="205"/>
        <item sd="0" x="267"/>
        <item sd="0" x="268"/>
        <item sd="0" x="216"/>
        <item sd="0" x="210"/>
        <item sd="0" x="278"/>
        <item sd="0" x="260"/>
        <item sd="0" x="259"/>
        <item sd="0" x="258"/>
        <item sd="0" x="203"/>
        <item sd="0" x="98"/>
        <item sd="0" x="262"/>
        <item sd="0" x="79"/>
        <item sd="0" x="64"/>
        <item sd="0" x="68"/>
        <item sd="0" x="77"/>
        <item sd="0" x="76"/>
        <item sd="0" x="92"/>
        <item sd="0" x="107"/>
        <item x="231"/>
        <item x="211"/>
        <item x="209"/>
        <item x="273"/>
        <item x="272"/>
        <item x="271"/>
        <item x="270"/>
        <item x="269"/>
        <item x="192"/>
        <item x="85"/>
        <item x="232"/>
        <item x="234"/>
        <item x="252"/>
        <item x="74"/>
        <item x="86"/>
        <item x="78"/>
        <item x="89"/>
        <item x="88"/>
        <item x="90"/>
        <item x="236"/>
        <item x="237"/>
        <item x="283"/>
        <item x="87"/>
        <item x="123"/>
        <item x="83"/>
        <item x="206"/>
        <item x="95"/>
        <item x="219"/>
        <item x="290"/>
        <item x="291"/>
        <item x="289"/>
        <item x="243"/>
        <item x="261"/>
        <item sd="0" x="93"/>
        <item x="274"/>
        <item x="117"/>
        <item x="82"/>
        <item x="97"/>
        <item x="96"/>
        <item x="198"/>
        <item x="191"/>
        <item x="183"/>
        <item x="229"/>
        <item x="208"/>
        <item x="150"/>
        <item x="253"/>
        <item x="99"/>
        <item x="220"/>
        <item x="207"/>
        <item x="130"/>
        <item x="286"/>
        <item x="110"/>
        <item x="140"/>
        <item x="114"/>
        <item x="254"/>
        <item x="280"/>
        <item x="91"/>
        <item x="279"/>
        <item x="255"/>
        <item x="223"/>
        <item x="241"/>
        <item x="181"/>
        <item x="228"/>
        <item x="226"/>
        <item x="227"/>
        <item x="102"/>
        <item x="195"/>
        <item x="106"/>
        <item x="101"/>
        <item x="104"/>
        <item x="100"/>
        <item x="103"/>
        <item x="128"/>
        <item x="233"/>
        <item x="238"/>
        <item x="169"/>
        <item x="168"/>
        <item x="167"/>
        <item x="177"/>
        <item x="212"/>
        <item x="213"/>
        <item x="214"/>
        <item x="284"/>
        <item x="288"/>
        <item x="188"/>
        <item x="115"/>
        <item x="126"/>
        <item x="113"/>
        <item x="112"/>
        <item x="131"/>
        <item x="116"/>
        <item x="119"/>
        <item x="174"/>
        <item x="179"/>
        <item x="122"/>
        <item x="118"/>
        <item x="178"/>
        <item x="138"/>
        <item x="230"/>
        <item x="152"/>
        <item x="154"/>
        <item x="156"/>
        <item x="186"/>
        <item x="120"/>
        <item x="125"/>
        <item x="282"/>
        <item x="287"/>
        <item x="136"/>
        <item x="240"/>
        <item x="239"/>
        <item x="235"/>
        <item x="137"/>
        <item x="124"/>
        <item x="121"/>
        <item x="127"/>
        <item x="193"/>
        <item x="180"/>
        <item x="109"/>
        <item x="224"/>
        <item x="176"/>
        <item x="225"/>
        <item x="266"/>
        <item x="256"/>
        <item x="182"/>
        <item x="257"/>
        <item x="184"/>
        <item x="244"/>
        <item x="281"/>
        <item x="129"/>
        <item x="151"/>
        <item x="111"/>
        <item x="285"/>
        <item x="139"/>
        <item x="134"/>
        <item x="142"/>
        <item x="141"/>
        <item x="242"/>
        <item x="197"/>
        <item x="250"/>
        <item x="133"/>
        <item x="159"/>
        <item x="160"/>
        <item x="155"/>
        <item x="221"/>
        <item x="149"/>
        <item x="143"/>
        <item x="145"/>
        <item x="146"/>
        <item x="144"/>
        <item x="185"/>
        <item x="190"/>
        <item x="277"/>
        <item x="148"/>
        <item x="158"/>
        <item x="171"/>
        <item x="194"/>
        <item x="165"/>
        <item x="189"/>
        <item x="163"/>
        <item x="153"/>
        <item x="162"/>
        <item x="164"/>
        <item x="170"/>
        <item x="292"/>
        <item x="166"/>
        <item x="196"/>
        <item x="172"/>
        <item x="161"/>
        <item x="132"/>
        <item x="135"/>
        <item x="147"/>
        <item x="157"/>
        <item x="175"/>
        <item x="173"/>
        <item x="199"/>
        <item x="187"/>
        <item t="default" sd="0"/>
      </items>
    </pivotField>
    <pivotField showAll="0"/>
    <pivotField showAll="0"/>
    <pivotField multipleItemSelectionAllowed="1" showAll="0" defaultSubtotal="0"/>
    <pivotField multipleItemSelectionAllowed="1" showAll="0" defaultSubtotal="0"/>
    <pivotField showAll="0"/>
    <pivotField axis="axisCol" multipleItemSelectionAllowed="1" showAll="0">
      <items count="4">
        <item sd="0" x="0"/>
        <item sd="0" x="1"/>
        <item sd="0" x="2"/>
        <item t="default"/>
      </items>
    </pivotField>
    <pivotField axis="axisRow" showAll="0" sortType="ascending" defaultSubtotal="0">
      <items count="37">
        <item h="1" sd="0" x="0"/>
        <item h="1" sd="0" x="1"/>
        <item h="1" sd="0" x="2"/>
        <item h="1" sd="0" x="3"/>
        <item h="1" sd="0" x="4"/>
        <item h="1" sd="0" x="5"/>
        <item h="1" sd="0" x="6"/>
        <item h="1" sd="0" x="7"/>
        <item h="1" sd="0" x="8"/>
        <item h="1" sd="0" x="9"/>
        <item sd="0" x="10"/>
        <item sd="0" x="11"/>
        <item sd="0" x="12"/>
        <item sd="0" x="13"/>
        <item sd="0" x="14"/>
        <item h="1" sd="0" x="15"/>
        <item h="1" x="16"/>
        <item h="1" x="17"/>
        <item h="1" x="18"/>
        <item h="1" x="19"/>
        <item h="1" x="20"/>
        <item h="1" x="21"/>
        <item h="1" x="22"/>
        <item h="1" x="23"/>
        <item h="1" x="30"/>
        <item h="1" sd="0" x="24"/>
        <item h="1" x="25"/>
        <item h="1" x="26"/>
        <item h="1" x="27"/>
        <item h="1" x="28"/>
        <item h="1" x="29"/>
        <item h="1" x="31"/>
        <item h="1" x="32"/>
        <item h="1" x="33"/>
        <item h="1" x="34"/>
        <item h="1" x="35"/>
        <item h="1" sd="0" x="36"/>
      </items>
    </pivotField>
    <pivotField showAll="0"/>
    <pivotField showAll="0"/>
    <pivotField axis="axisPage" multipleItemSelectionAllowed="1" showAll="0">
      <items count="5">
        <item x="0"/>
        <item h="1" x="2"/>
        <item h="1" x="1"/>
        <item h="1" x="3"/>
        <item t="default"/>
      </items>
    </pivotField>
    <pivotField axis="axisPage" multipleItemSelectionAllowed="1" showAll="0">
      <items count="6">
        <item h="1" x="0"/>
        <item x="2"/>
        <item h="1" x="3"/>
        <item h="1" x="1"/>
        <item h="1" x="4"/>
        <item t="default"/>
      </items>
    </pivotField>
    <pivotField showAll="0"/>
    <pivotField showAll="0"/>
    <pivotField showAll="0"/>
    <pivotField showAll="0"/>
    <pivotField showAll="0"/>
    <pivotField axis="axisPage" multipleItemSelectionAllowed="1" showAll="0" defaultSubtotal="0">
      <items count="3">
        <item x="1"/>
        <item x="2"/>
        <item x="0"/>
      </items>
    </pivotField>
    <pivotField showAll="0"/>
    <pivotField showAll="0"/>
    <pivotField showAll="0"/>
    <pivotField showAll="0"/>
    <pivotField numFmtId="3" showAll="0"/>
    <pivotField numFmtId="3" showAll="0"/>
    <pivotField dataField="1" multipleItemSelectionAllowed="1" showAll="0"/>
    <pivotField dataField="1" showAll="0"/>
    <pivotField dataField="1" showAll="0"/>
    <pivotField showAll="0"/>
    <pivotField showAll="0"/>
    <pivotField showAll="0"/>
    <pivotField numFmtId="9" showAll="0"/>
    <pivotField showAll="0"/>
    <pivotField showAll="0"/>
    <pivotField showAll="0"/>
    <pivotField showAll="0"/>
    <pivotField showAll="0"/>
    <pivotField showAll="0"/>
    <pivotField axis="axisRow" showAll="0">
      <items count="142">
        <item x="6"/>
        <item x="62"/>
        <item x="35"/>
        <item x="18"/>
        <item x="10"/>
        <item x="12"/>
        <item x="42"/>
        <item x="53"/>
        <item x="34"/>
        <item x="73"/>
        <item x="44"/>
        <item x="43"/>
        <item x="5"/>
        <item x="22"/>
        <item x="36"/>
        <item x="32"/>
        <item x="69"/>
        <item x="54"/>
        <item x="17"/>
        <item x="21"/>
        <item x="47"/>
        <item x="15"/>
        <item x="27"/>
        <item x="28"/>
        <item x="39"/>
        <item x="9"/>
        <item x="45"/>
        <item x="16"/>
        <item x="7"/>
        <item x="8"/>
        <item x="63"/>
        <item x="33"/>
        <item x="3"/>
        <item x="55"/>
        <item x="30"/>
        <item x="49"/>
        <item x="46"/>
        <item x="14"/>
        <item x="48"/>
        <item x="59"/>
        <item x="65"/>
        <item x="31"/>
        <item x="37"/>
        <item x="25"/>
        <item x="40"/>
        <item x="2"/>
        <item x="26"/>
        <item x="29"/>
        <item x="1"/>
        <item x="19"/>
        <item x="20"/>
        <item x="125"/>
        <item x="58"/>
        <item x="0"/>
        <item x="105"/>
        <item x="23"/>
        <item x="13"/>
        <item x="64"/>
        <item x="51"/>
        <item x="60"/>
        <item x="11"/>
        <item x="41"/>
        <item x="67"/>
        <item x="4"/>
        <item x="66"/>
        <item x="24"/>
        <item x="75"/>
        <item x="38"/>
        <item x="136"/>
        <item x="57"/>
        <item x="129"/>
        <item x="95"/>
        <item x="61"/>
        <item x="68"/>
        <item x="124"/>
        <item x="50"/>
        <item x="52"/>
        <item x="84"/>
        <item x="56"/>
        <item x="70"/>
        <item x="120"/>
        <item x="96"/>
        <item x="81"/>
        <item x="94"/>
        <item x="133"/>
        <item x="139"/>
        <item x="110"/>
        <item x="79"/>
        <item x="132"/>
        <item x="76"/>
        <item x="123"/>
        <item x="85"/>
        <item x="104"/>
        <item x="131"/>
        <item x="114"/>
        <item x="126"/>
        <item x="99"/>
        <item x="137"/>
        <item x="71"/>
        <item x="91"/>
        <item x="134"/>
        <item x="82"/>
        <item x="80"/>
        <item x="89"/>
        <item x="128"/>
        <item x="92"/>
        <item x="88"/>
        <item x="101"/>
        <item x="97"/>
        <item x="130"/>
        <item x="112"/>
        <item x="111"/>
        <item x="115"/>
        <item x="107"/>
        <item x="117"/>
        <item x="108"/>
        <item x="138"/>
        <item x="119"/>
        <item x="74"/>
        <item x="106"/>
        <item x="78"/>
        <item x="118"/>
        <item x="83"/>
        <item x="77"/>
        <item x="90"/>
        <item x="102"/>
        <item x="116"/>
        <item x="135"/>
        <item x="72"/>
        <item x="86"/>
        <item x="98"/>
        <item x="87"/>
        <item x="93"/>
        <item x="100"/>
        <item x="103"/>
        <item x="109"/>
        <item x="113"/>
        <item x="122"/>
        <item x="121"/>
        <item x="140"/>
        <item x="127"/>
        <item t="default"/>
      </items>
    </pivotField>
    <pivotField showAll="0"/>
    <pivotField showAll="0"/>
    <pivotField axis="axisPage" multipleItemSelectionAllowed="1" showAll="0">
      <items count="5">
        <item x="0"/>
        <item x="1"/>
        <item x="3"/>
        <item x="2"/>
        <item t="default"/>
      </items>
    </pivotField>
    <pivotField showAll="0"/>
    <pivotField showAll="0"/>
    <pivotField showAll="0"/>
    <pivotField showAll="0"/>
    <pivotField showAll="0"/>
    <pivotField showAll="0"/>
  </pivotFields>
  <rowFields count="3">
    <field x="8"/>
    <field x="1"/>
    <field x="38"/>
  </rowFields>
  <rowItems count="1">
    <i t="grand">
      <x/>
    </i>
  </rowItems>
  <colFields count="2">
    <field x="7"/>
    <field x="-2"/>
  </colFields>
  <colItems count="3">
    <i t="grand">
      <x/>
    </i>
    <i t="grand" i="1">
      <x v="1"/>
    </i>
    <i t="grand" i="2">
      <x v="2"/>
    </i>
  </colItems>
  <pageFields count="4">
    <pageField fld="11" hier="-1"/>
    <pageField fld="12" hier="-1"/>
    <pageField fld="41" hier="-1"/>
    <pageField fld="18" hier="-1"/>
  </pageFields>
  <dataFields count="3">
    <dataField name="Sum of Pre-leased space (Usable FA) (sf)" fld="25" baseField="6" baseItem="0"/>
    <dataField name="Sum of Pre-sold (Usable FA) (sf)" fld="26" baseField="6" baseItem="1"/>
    <dataField name="Sum of Self-use space (Usable FA) (sf)" fld="27" baseField="6" baseItem="1"/>
  </dataFields>
  <formats count="76">
    <format dxfId="224">
      <pivotArea outline="0" collapsedLevelsAreSubtotals="1" fieldPosition="0"/>
    </format>
    <format dxfId="223">
      <pivotArea dataOnly="0" labelOnly="1" outline="0" fieldPosition="0">
        <references count="2">
          <reference field="4294967294" count="3">
            <x v="0"/>
            <x v="1"/>
            <x v="2"/>
          </reference>
          <reference field="8" count="1" selected="0">
            <x v="10"/>
          </reference>
        </references>
      </pivotArea>
    </format>
    <format dxfId="222">
      <pivotArea dataOnly="0" labelOnly="1" outline="0" fieldPosition="0">
        <references count="2">
          <reference field="4294967294" count="3">
            <x v="0"/>
            <x v="1"/>
            <x v="2"/>
          </reference>
          <reference field="8" count="1" selected="0">
            <x v="11"/>
          </reference>
        </references>
      </pivotArea>
    </format>
    <format dxfId="221">
      <pivotArea dataOnly="0" labelOnly="1" outline="0" fieldPosition="0">
        <references count="2">
          <reference field="4294967294" count="3">
            <x v="0"/>
            <x v="1"/>
            <x v="2"/>
          </reference>
          <reference field="8" count="1" selected="0">
            <x v="12"/>
          </reference>
        </references>
      </pivotArea>
    </format>
    <format dxfId="220">
      <pivotArea dataOnly="0" labelOnly="1" outline="0" fieldPosition="0">
        <references count="2">
          <reference field="4294967294" count="3">
            <x v="0"/>
            <x v="1"/>
            <x v="2"/>
          </reference>
          <reference field="8" count="1" selected="0">
            <x v="13"/>
          </reference>
        </references>
      </pivotArea>
    </format>
    <format dxfId="219">
      <pivotArea dataOnly="0" labelOnly="1" outline="0" fieldPosition="0">
        <references count="2">
          <reference field="4294967294" count="3">
            <x v="0"/>
            <x v="1"/>
            <x v="2"/>
          </reference>
          <reference field="8" count="1" selected="0">
            <x v="10"/>
          </reference>
        </references>
      </pivotArea>
    </format>
    <format dxfId="218">
      <pivotArea dataOnly="0" labelOnly="1" outline="0" fieldPosition="0">
        <references count="2">
          <reference field="4294967294" count="3">
            <x v="0"/>
            <x v="1"/>
            <x v="2"/>
          </reference>
          <reference field="8" count="1" selected="0">
            <x v="11"/>
          </reference>
        </references>
      </pivotArea>
    </format>
    <format dxfId="217">
      <pivotArea dataOnly="0" labelOnly="1" outline="0" fieldPosition="0">
        <references count="2">
          <reference field="4294967294" count="3">
            <x v="0"/>
            <x v="1"/>
            <x v="2"/>
          </reference>
          <reference field="8" count="1" selected="0">
            <x v="12"/>
          </reference>
        </references>
      </pivotArea>
    </format>
    <format dxfId="216">
      <pivotArea dataOnly="0" labelOnly="1" outline="0" fieldPosition="0">
        <references count="2">
          <reference field="4294967294" count="3">
            <x v="0"/>
            <x v="1"/>
            <x v="2"/>
          </reference>
          <reference field="8" count="1" selected="0">
            <x v="13"/>
          </reference>
        </references>
      </pivotArea>
    </format>
    <format dxfId="215">
      <pivotArea dataOnly="0" labelOnly="1" outline="0" fieldPosition="0">
        <references count="2">
          <reference field="4294967294" count="3">
            <x v="0"/>
            <x v="1"/>
            <x v="2"/>
          </reference>
          <reference field="8" count="1" selected="0">
            <x v="10"/>
          </reference>
        </references>
      </pivotArea>
    </format>
    <format dxfId="214">
      <pivotArea dataOnly="0" labelOnly="1" outline="0" fieldPosition="0">
        <references count="2">
          <reference field="4294967294" count="3">
            <x v="0"/>
            <x v="1"/>
            <x v="2"/>
          </reference>
          <reference field="8" count="1" selected="0">
            <x v="11"/>
          </reference>
        </references>
      </pivotArea>
    </format>
    <format dxfId="213">
      <pivotArea dataOnly="0" labelOnly="1" outline="0" fieldPosition="0">
        <references count="2">
          <reference field="4294967294" count="3">
            <x v="0"/>
            <x v="1"/>
            <x v="2"/>
          </reference>
          <reference field="8" count="1" selected="0">
            <x v="12"/>
          </reference>
        </references>
      </pivotArea>
    </format>
    <format dxfId="212">
      <pivotArea dataOnly="0" labelOnly="1" outline="0" fieldPosition="0">
        <references count="2">
          <reference field="4294967294" count="3">
            <x v="0"/>
            <x v="1"/>
            <x v="2"/>
          </reference>
          <reference field="8" count="1" selected="0">
            <x v="13"/>
          </reference>
        </references>
      </pivotArea>
    </format>
    <format dxfId="211">
      <pivotArea outline="0" collapsedLevelsAreSubtotals="1" fieldPosition="0"/>
    </format>
    <format dxfId="210">
      <pivotArea field="8" type="button" dataOnly="0" labelOnly="1" outline="0" axis="axisRow" fieldPosition="0"/>
    </format>
    <format dxfId="209">
      <pivotArea field="-2" type="button" dataOnly="0" labelOnly="1" outline="0" axis="axisCol" fieldPosition="1"/>
    </format>
    <format dxfId="208">
      <pivotArea type="topRight" dataOnly="0" labelOnly="1" outline="0" fieldPosition="0"/>
    </format>
    <format dxfId="207">
      <pivotArea dataOnly="0" labelOnly="1" fieldPosition="0">
        <references count="1">
          <reference field="8" count="0"/>
        </references>
      </pivotArea>
    </format>
    <format dxfId="206">
      <pivotArea field="8" dataOnly="0" labelOnly="1" grandRow="1" outline="0" axis="axisRow" fieldPosition="0">
        <references count="1">
          <reference field="4294967294" count="1" selected="0">
            <x v="0"/>
          </reference>
        </references>
      </pivotArea>
    </format>
    <format dxfId="205">
      <pivotArea field="8" dataOnly="0" labelOnly="1" grandRow="1" outline="0" axis="axisRow" fieldPosition="0">
        <references count="1">
          <reference field="4294967294" count="1" selected="0">
            <x v="1"/>
          </reference>
        </references>
      </pivotArea>
    </format>
    <format dxfId="204">
      <pivotArea field="8" dataOnly="0" labelOnly="1" grandRow="1" outline="0" axis="axisRow" fieldPosition="0">
        <references count="1">
          <reference field="4294967294" count="1" selected="0">
            <x v="2"/>
          </reference>
        </references>
      </pivotArea>
    </format>
    <format dxfId="203">
      <pivotArea field="8" dataOnly="0" labelOnly="1" grandRow="1" outline="0" axis="axisRow" fieldPosition="0">
        <references count="1">
          <reference field="4294967294" count="1" selected="0">
            <x v="0"/>
          </reference>
        </references>
      </pivotArea>
    </format>
    <format dxfId="202">
      <pivotArea field="8" dataOnly="0" labelOnly="1" grandRow="1" outline="0" axis="axisRow" fieldPosition="0">
        <references count="1">
          <reference field="4294967294" count="1" selected="0">
            <x v="1"/>
          </reference>
        </references>
      </pivotArea>
    </format>
    <format dxfId="201">
      <pivotArea field="8" dataOnly="0" labelOnly="1" grandRow="1" outline="0" axis="axisRow" fieldPosition="0">
        <references count="1">
          <reference field="4294967294" count="1" selected="0">
            <x v="2"/>
          </reference>
        </references>
      </pivotArea>
    </format>
    <format dxfId="200">
      <pivotArea field="8" dataOnly="0" labelOnly="1" grandRow="1" outline="0" axis="axisRow" fieldPosition="0">
        <references count="1">
          <reference field="4294967294" count="1" selected="0">
            <x v="0"/>
          </reference>
        </references>
      </pivotArea>
    </format>
    <format dxfId="199">
      <pivotArea field="8" dataOnly="0" labelOnly="1" grandRow="1" outline="0" axis="axisRow" fieldPosition="0">
        <references count="1">
          <reference field="4294967294" count="1" selected="0">
            <x v="1"/>
          </reference>
        </references>
      </pivotArea>
    </format>
    <format dxfId="198">
      <pivotArea field="8" dataOnly="0" labelOnly="1" grandRow="1" outline="0" axis="axisRow" fieldPosition="0">
        <references count="1">
          <reference field="4294967294" count="1" selected="0">
            <x v="2"/>
          </reference>
        </references>
      </pivotArea>
    </format>
    <format dxfId="197">
      <pivotArea dataOnly="0" labelOnly="1" outline="0" fieldPosition="0">
        <references count="2">
          <reference field="4294967294" count="3">
            <x v="0"/>
            <x v="1"/>
            <x v="2"/>
          </reference>
          <reference field="8" count="1" selected="0">
            <x v="10"/>
          </reference>
        </references>
      </pivotArea>
    </format>
    <format dxfId="196">
      <pivotArea dataOnly="0" labelOnly="1" outline="0" fieldPosition="0">
        <references count="2">
          <reference field="4294967294" count="3">
            <x v="0"/>
            <x v="1"/>
            <x v="2"/>
          </reference>
          <reference field="8" count="1" selected="0">
            <x v="11"/>
          </reference>
        </references>
      </pivotArea>
    </format>
    <format dxfId="195">
      <pivotArea dataOnly="0" labelOnly="1" outline="0" fieldPosition="0">
        <references count="2">
          <reference field="4294967294" count="3">
            <x v="0"/>
            <x v="1"/>
            <x v="2"/>
          </reference>
          <reference field="8" count="1" selected="0">
            <x v="12"/>
          </reference>
        </references>
      </pivotArea>
    </format>
    <format dxfId="194">
      <pivotArea dataOnly="0" labelOnly="1" outline="0" fieldPosition="0">
        <references count="2">
          <reference field="4294967294" count="3">
            <x v="0"/>
            <x v="1"/>
            <x v="2"/>
          </reference>
          <reference field="8" count="1" selected="0">
            <x v="13"/>
          </reference>
        </references>
      </pivotArea>
    </format>
    <format dxfId="193">
      <pivotArea outline="0" collapsedLevelsAreSubtotals="1" fieldPosition="0"/>
    </format>
    <format dxfId="192">
      <pivotArea field="8" type="button" dataOnly="0" labelOnly="1" outline="0" axis="axisRow" fieldPosition="0"/>
    </format>
    <format dxfId="191">
      <pivotArea field="-2" type="button" dataOnly="0" labelOnly="1" outline="0" axis="axisCol" fieldPosition="1"/>
    </format>
    <format dxfId="190">
      <pivotArea type="topRight" dataOnly="0" labelOnly="1" outline="0" fieldPosition="0"/>
    </format>
    <format dxfId="189">
      <pivotArea dataOnly="0" labelOnly="1" fieldPosition="0">
        <references count="1">
          <reference field="8" count="0"/>
        </references>
      </pivotArea>
    </format>
    <format dxfId="188">
      <pivotArea field="8" dataOnly="0" labelOnly="1" grandRow="1" outline="0" axis="axisRow" fieldPosition="0">
        <references count="1">
          <reference field="4294967294" count="1" selected="0">
            <x v="0"/>
          </reference>
        </references>
      </pivotArea>
    </format>
    <format dxfId="187">
      <pivotArea field="8" dataOnly="0" labelOnly="1" grandRow="1" outline="0" axis="axisRow" fieldPosition="0">
        <references count="1">
          <reference field="4294967294" count="1" selected="0">
            <x v="1"/>
          </reference>
        </references>
      </pivotArea>
    </format>
    <format dxfId="186">
      <pivotArea field="8" dataOnly="0" labelOnly="1" grandRow="1" outline="0" axis="axisRow" fieldPosition="0">
        <references count="1">
          <reference field="4294967294" count="1" selected="0">
            <x v="2"/>
          </reference>
        </references>
      </pivotArea>
    </format>
    <format dxfId="185">
      <pivotArea field="8" dataOnly="0" labelOnly="1" grandRow="1" outline="0" axis="axisRow" fieldPosition="0">
        <references count="1">
          <reference field="4294967294" count="1" selected="0">
            <x v="0"/>
          </reference>
        </references>
      </pivotArea>
    </format>
    <format dxfId="184">
      <pivotArea field="8" dataOnly="0" labelOnly="1" grandRow="1" outline="0" axis="axisRow" fieldPosition="0">
        <references count="1">
          <reference field="4294967294" count="1" selected="0">
            <x v="1"/>
          </reference>
        </references>
      </pivotArea>
    </format>
    <format dxfId="183">
      <pivotArea field="8" dataOnly="0" labelOnly="1" grandRow="1" outline="0" axis="axisRow" fieldPosition="0">
        <references count="1">
          <reference field="4294967294" count="1" selected="0">
            <x v="2"/>
          </reference>
        </references>
      </pivotArea>
    </format>
    <format dxfId="182">
      <pivotArea field="8" dataOnly="0" labelOnly="1" grandRow="1" outline="0" axis="axisRow" fieldPosition="0">
        <references count="1">
          <reference field="4294967294" count="1" selected="0">
            <x v="0"/>
          </reference>
        </references>
      </pivotArea>
    </format>
    <format dxfId="181">
      <pivotArea field="8" dataOnly="0" labelOnly="1" grandRow="1" outline="0" axis="axisRow" fieldPosition="0">
        <references count="1">
          <reference field="4294967294" count="1" selected="0">
            <x v="1"/>
          </reference>
        </references>
      </pivotArea>
    </format>
    <format dxfId="180">
      <pivotArea field="8" dataOnly="0" labelOnly="1" grandRow="1" outline="0" axis="axisRow" fieldPosition="0">
        <references count="1">
          <reference field="4294967294" count="1" selected="0">
            <x v="2"/>
          </reference>
        </references>
      </pivotArea>
    </format>
    <format dxfId="179">
      <pivotArea dataOnly="0" labelOnly="1" outline="0" fieldPosition="0">
        <references count="2">
          <reference field="4294967294" count="3">
            <x v="0"/>
            <x v="1"/>
            <x v="2"/>
          </reference>
          <reference field="8" count="1" selected="0">
            <x v="10"/>
          </reference>
        </references>
      </pivotArea>
    </format>
    <format dxfId="178">
      <pivotArea dataOnly="0" labelOnly="1" outline="0" fieldPosition="0">
        <references count="2">
          <reference field="4294967294" count="3">
            <x v="0"/>
            <x v="1"/>
            <x v="2"/>
          </reference>
          <reference field="8" count="1" selected="0">
            <x v="11"/>
          </reference>
        </references>
      </pivotArea>
    </format>
    <format dxfId="177">
      <pivotArea dataOnly="0" labelOnly="1" outline="0" fieldPosition="0">
        <references count="2">
          <reference field="4294967294" count="3">
            <x v="0"/>
            <x v="1"/>
            <x v="2"/>
          </reference>
          <reference field="8" count="1" selected="0">
            <x v="12"/>
          </reference>
        </references>
      </pivotArea>
    </format>
    <format dxfId="176">
      <pivotArea dataOnly="0" labelOnly="1" outline="0" fieldPosition="0">
        <references count="2">
          <reference field="4294967294" count="3">
            <x v="0"/>
            <x v="1"/>
            <x v="2"/>
          </reference>
          <reference field="8" count="1" selected="0">
            <x v="13"/>
          </reference>
        </references>
      </pivotArea>
    </format>
    <format dxfId="175">
      <pivotArea outline="0" collapsedLevelsAreSubtotals="1" fieldPosition="0"/>
    </format>
    <format dxfId="174">
      <pivotArea field="8" type="button" dataOnly="0" labelOnly="1" outline="0" axis="axisRow" fieldPosition="0"/>
    </format>
    <format dxfId="173">
      <pivotArea field="-2" type="button" dataOnly="0" labelOnly="1" outline="0" axis="axisCol" fieldPosition="1"/>
    </format>
    <format dxfId="172">
      <pivotArea type="topRight" dataOnly="0" labelOnly="1" outline="0" fieldPosition="0"/>
    </format>
    <format dxfId="171">
      <pivotArea dataOnly="0" labelOnly="1" fieldPosition="0">
        <references count="1">
          <reference field="8" count="0"/>
        </references>
      </pivotArea>
    </format>
    <format dxfId="170">
      <pivotArea field="8" dataOnly="0" labelOnly="1" grandRow="1" outline="0" axis="axisRow" fieldPosition="0">
        <references count="1">
          <reference field="4294967294" count="1" selected="0">
            <x v="0"/>
          </reference>
        </references>
      </pivotArea>
    </format>
    <format dxfId="169">
      <pivotArea field="8" dataOnly="0" labelOnly="1" grandRow="1" outline="0" axis="axisRow" fieldPosition="0">
        <references count="1">
          <reference field="4294967294" count="1" selected="0">
            <x v="1"/>
          </reference>
        </references>
      </pivotArea>
    </format>
    <format dxfId="168">
      <pivotArea field="8" dataOnly="0" labelOnly="1" grandRow="1" outline="0" axis="axisRow" fieldPosition="0">
        <references count="1">
          <reference field="4294967294" count="1" selected="0">
            <x v="2"/>
          </reference>
        </references>
      </pivotArea>
    </format>
    <format dxfId="167">
      <pivotArea field="8" dataOnly="0" labelOnly="1" grandRow="1" outline="0" axis="axisRow" fieldPosition="0">
        <references count="1">
          <reference field="4294967294" count="1" selected="0">
            <x v="0"/>
          </reference>
        </references>
      </pivotArea>
    </format>
    <format dxfId="166">
      <pivotArea field="8" dataOnly="0" labelOnly="1" grandRow="1" outline="0" axis="axisRow" fieldPosition="0">
        <references count="1">
          <reference field="4294967294" count="1" selected="0">
            <x v="1"/>
          </reference>
        </references>
      </pivotArea>
    </format>
    <format dxfId="165">
      <pivotArea field="8" dataOnly="0" labelOnly="1" grandRow="1" outline="0" axis="axisRow" fieldPosition="0">
        <references count="1">
          <reference field="4294967294" count="1" selected="0">
            <x v="2"/>
          </reference>
        </references>
      </pivotArea>
    </format>
    <format dxfId="164">
      <pivotArea field="8" dataOnly="0" labelOnly="1" grandRow="1" outline="0" axis="axisRow" fieldPosition="0">
        <references count="1">
          <reference field="4294967294" count="1" selected="0">
            <x v="0"/>
          </reference>
        </references>
      </pivotArea>
    </format>
    <format dxfId="163">
      <pivotArea field="8" dataOnly="0" labelOnly="1" grandRow="1" outline="0" axis="axisRow" fieldPosition="0">
        <references count="1">
          <reference field="4294967294" count="1" selected="0">
            <x v="1"/>
          </reference>
        </references>
      </pivotArea>
    </format>
    <format dxfId="162">
      <pivotArea field="8" dataOnly="0" labelOnly="1" grandRow="1" outline="0" axis="axisRow" fieldPosition="0">
        <references count="1">
          <reference field="4294967294" count="1" selected="0">
            <x v="2"/>
          </reference>
        </references>
      </pivotArea>
    </format>
    <format dxfId="161">
      <pivotArea dataOnly="0" labelOnly="1" outline="0" fieldPosition="0">
        <references count="2">
          <reference field="4294967294" count="3">
            <x v="0"/>
            <x v="1"/>
            <x v="2"/>
          </reference>
          <reference field="8" count="1" selected="0">
            <x v="10"/>
          </reference>
        </references>
      </pivotArea>
    </format>
    <format dxfId="160">
      <pivotArea dataOnly="0" labelOnly="1" outline="0" fieldPosition="0">
        <references count="2">
          <reference field="4294967294" count="3">
            <x v="0"/>
            <x v="1"/>
            <x v="2"/>
          </reference>
          <reference field="8" count="1" selected="0">
            <x v="11"/>
          </reference>
        </references>
      </pivotArea>
    </format>
    <format dxfId="159">
      <pivotArea dataOnly="0" labelOnly="1" outline="0" fieldPosition="0">
        <references count="2">
          <reference field="4294967294" count="3">
            <x v="0"/>
            <x v="1"/>
            <x v="2"/>
          </reference>
          <reference field="8" count="1" selected="0">
            <x v="12"/>
          </reference>
        </references>
      </pivotArea>
    </format>
    <format dxfId="158">
      <pivotArea dataOnly="0" labelOnly="1" outline="0" fieldPosition="0">
        <references count="2">
          <reference field="4294967294" count="3">
            <x v="0"/>
            <x v="1"/>
            <x v="2"/>
          </reference>
          <reference field="8" count="1" selected="0">
            <x v="13"/>
          </reference>
        </references>
      </pivotArea>
    </format>
    <format dxfId="157">
      <pivotArea field="7" dataOnly="0" labelOnly="1" grandCol="1" outline="0" axis="axisCol" fieldPosition="0">
        <references count="1">
          <reference field="4294967294" count="1" selected="0">
            <x v="0"/>
          </reference>
        </references>
      </pivotArea>
    </format>
    <format dxfId="156">
      <pivotArea field="7" dataOnly="0" labelOnly="1" grandCol="1" outline="0" axis="axisCol" fieldPosition="0">
        <references count="1">
          <reference field="4294967294" count="1" selected="0">
            <x v="1"/>
          </reference>
        </references>
      </pivotArea>
    </format>
    <format dxfId="155">
      <pivotArea field="7" dataOnly="0" labelOnly="1" grandCol="1" outline="0" axis="axisCol" fieldPosition="0">
        <references count="1">
          <reference field="4294967294" count="1" selected="0">
            <x v="2"/>
          </reference>
        </references>
      </pivotArea>
    </format>
    <format dxfId="154">
      <pivotArea field="7" dataOnly="0" labelOnly="1" grandCol="1" outline="0" axis="axisCol" fieldPosition="0">
        <references count="1">
          <reference field="4294967294" count="1" selected="0">
            <x v="0"/>
          </reference>
        </references>
      </pivotArea>
    </format>
    <format dxfId="153">
      <pivotArea field="7" dataOnly="0" labelOnly="1" grandCol="1" outline="0" axis="axisCol" fieldPosition="0">
        <references count="1">
          <reference field="4294967294" count="1" selected="0">
            <x v="1"/>
          </reference>
        </references>
      </pivotArea>
    </format>
    <format dxfId="152">
      <pivotArea field="7" dataOnly="0" labelOnly="1" grandCol="1" outline="0" axis="axisCol" fieldPosition="0">
        <references count="1">
          <reference field="4294967294" count="1" selected="0">
            <x v="2"/>
          </reference>
        </references>
      </pivotArea>
    </format>
    <format dxfId="151">
      <pivotArea field="7" dataOnly="0" labelOnly="1" grandCol="1" outline="0" axis="axisCol" fieldPosition="0">
        <references count="1">
          <reference field="4294967294" count="1" selected="0">
            <x v="0"/>
          </reference>
        </references>
      </pivotArea>
    </format>
    <format dxfId="150">
      <pivotArea field="7" dataOnly="0" labelOnly="1" grandCol="1" outline="0" axis="axisCol" fieldPosition="0">
        <references count="1">
          <reference field="4294967294" count="1" selected="0">
            <x v="1"/>
          </reference>
        </references>
      </pivotArea>
    </format>
    <format dxfId="149">
      <pivotArea field="7" dataOnly="0" labelOnly="1" grandCol="1" outline="0" axis="axisCol" fieldPosition="0">
        <references count="1">
          <reference field="4294967294" count="1" selected="0">
            <x v="2"/>
          </reference>
        </references>
      </pivotArea>
    </format>
  </formats>
  <pivotTableStyleInfo name="PivotStyleLight16" showRowHeaders="1" showColHeaders="1" showRowStripes="0" showColStripes="0" showLastColumn="1"/>
  <filters count="1">
    <filter fld="17" type="captionGreaterThan" evalOrder="-1" id="4" stringValue1="20000">
      <autoFilter ref="A1">
        <filterColumn colId="0">
          <customFilters>
            <customFilter operator="greaterThan" val="2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
  <location ref="A36:E49" firstHeaderRow="1" firstDataRow="2" firstDataCol="1" rowPageCount="4" colPageCount="1"/>
  <pivotFields count="48">
    <pivotField showAll="0"/>
    <pivotField axis="axisRow" showAll="0">
      <items count="294">
        <item sd="0" x="48"/>
        <item sd="0" x="20"/>
        <item sd="0" x="18"/>
        <item sd="0" x="35"/>
        <item sd="0" x="25"/>
        <item sd="0" x="39"/>
        <item sd="0" x="31"/>
        <item sd="0" x="62"/>
        <item sd="0" x="32"/>
        <item sd="0" x="16"/>
        <item sd="0" x="53"/>
        <item sd="0" x="30"/>
        <item sd="0" x="6"/>
        <item sd="0" x="8"/>
        <item sd="0" x="40"/>
        <item sd="0" x="10"/>
        <item sd="0" x="27"/>
        <item sd="0" x="9"/>
        <item sd="0" x="26"/>
        <item sd="0" x="15"/>
        <item sd="0" x="37"/>
        <item sd="0" x="3"/>
        <item sd="0" x="50"/>
        <item sd="0" x="38"/>
        <item sd="0" x="71"/>
        <item sd="0" x="23"/>
        <item sd="0" x="1"/>
        <item sd="0" x="7"/>
        <item sd="0" x="13"/>
        <item sd="0" x="55"/>
        <item sd="0" x="14"/>
        <item sd="0" x="24"/>
        <item sd="0" x="57"/>
        <item sd="0" x="2"/>
        <item sd="0" x="29"/>
        <item sd="0" x="12"/>
        <item sd="0" x="21"/>
        <item sd="0" x="4"/>
        <item sd="0" x="19"/>
        <item sd="0" x="5"/>
        <item sd="0" x="66"/>
        <item sd="0" x="0"/>
        <item sd="0" x="17"/>
        <item sd="0" x="28"/>
        <item sd="0" x="42"/>
        <item sd="0" x="22"/>
        <item sd="0" x="36"/>
        <item sd="0" x="11"/>
        <item sd="0" x="45"/>
        <item sd="0" x="56"/>
        <item sd="0" x="84"/>
        <item sd="0" x="33"/>
        <item sd="0" x="72"/>
        <item sd="0" x="60"/>
        <item sd="0" x="34"/>
        <item sd="0" x="47"/>
        <item sd="0" x="81"/>
        <item sd="0" x="75"/>
        <item sd="0" x="69"/>
        <item sd="0" x="108"/>
        <item sd="0" x="44"/>
        <item sd="0" x="43"/>
        <item sd="0" x="41"/>
        <item sd="0" x="49"/>
        <item sd="0" x="54"/>
        <item sd="0" x="63"/>
        <item sd="0" x="73"/>
        <item sd="0" x="70"/>
        <item sd="0" x="52"/>
        <item sd="0" x="46"/>
        <item sd="0" x="51"/>
        <item sd="0" x="61"/>
        <item sd="0" x="80"/>
        <item sd="0" x="65"/>
        <item sd="0" x="59"/>
        <item sd="0" x="105"/>
        <item sd="0" x="94"/>
        <item sd="0" x="58"/>
        <item sd="0" x="67"/>
        <item sd="0" x="222"/>
        <item sd="0" x="204"/>
        <item sd="0" x="215"/>
        <item sd="0" x="264"/>
        <item sd="0" x="263"/>
        <item sd="0" x="265"/>
        <item sd="0" x="251"/>
        <item sd="0" x="276"/>
        <item sd="0" x="217"/>
        <item sd="0" x="218"/>
        <item sd="0" x="275"/>
        <item sd="0" x="202"/>
        <item sd="0" x="201"/>
        <item sd="0" x="245"/>
        <item sd="0" x="246"/>
        <item sd="0" x="247"/>
        <item sd="0" x="248"/>
        <item sd="0" x="249"/>
        <item sd="0" x="200"/>
        <item sd="0" x="205"/>
        <item sd="0" x="267"/>
        <item sd="0" x="268"/>
        <item sd="0" x="216"/>
        <item sd="0" x="210"/>
        <item sd="0" x="278"/>
        <item sd="0" x="260"/>
        <item sd="0" x="259"/>
        <item sd="0" x="258"/>
        <item sd="0" x="203"/>
        <item sd="0" x="98"/>
        <item sd="0" x="262"/>
        <item sd="0" x="79"/>
        <item sd="0" x="64"/>
        <item sd="0" x="68"/>
        <item sd="0" x="77"/>
        <item sd="0" x="76"/>
        <item sd="0" x="92"/>
        <item sd="0" x="107"/>
        <item sd="0" x="231"/>
        <item sd="0" x="211"/>
        <item sd="0" x="209"/>
        <item sd="0" x="273"/>
        <item sd="0" x="272"/>
        <item sd="0" x="271"/>
        <item sd="0" x="270"/>
        <item sd="0" x="269"/>
        <item sd="0" x="192"/>
        <item sd="0" x="85"/>
        <item sd="0" x="232"/>
        <item sd="0" x="234"/>
        <item sd="0" x="252"/>
        <item sd="0" x="74"/>
        <item sd="0" x="86"/>
        <item sd="0" x="78"/>
        <item sd="0" x="89"/>
        <item sd="0" x="88"/>
        <item sd="0" x="90"/>
        <item sd="0" x="236"/>
        <item sd="0" x="237"/>
        <item sd="0" x="283"/>
        <item sd="0" x="87"/>
        <item sd="0" x="123"/>
        <item sd="0" x="83"/>
        <item sd="0" x="206"/>
        <item sd="0" x="95"/>
        <item sd="0" x="219"/>
        <item sd="0" x="290"/>
        <item sd="0" x="291"/>
        <item sd="0" x="289"/>
        <item sd="0" x="243"/>
        <item sd="0" x="261"/>
        <item sd="0" x="93"/>
        <item sd="0" x="274"/>
        <item sd="0" x="117"/>
        <item sd="0" x="82"/>
        <item sd="0" x="97"/>
        <item sd="0" x="96"/>
        <item sd="0" x="198"/>
        <item sd="0" x="191"/>
        <item sd="0" x="183"/>
        <item sd="0" x="229"/>
        <item sd="0" x="208"/>
        <item sd="0" x="150"/>
        <item sd="0" x="253"/>
        <item sd="0" x="99"/>
        <item sd="0" x="220"/>
        <item sd="0" x="207"/>
        <item sd="0" x="130"/>
        <item sd="0" x="286"/>
        <item sd="0" x="110"/>
        <item sd="0" x="140"/>
        <item sd="0" x="114"/>
        <item sd="0" x="254"/>
        <item sd="0" x="280"/>
        <item sd="0" x="91"/>
        <item sd="0" x="279"/>
        <item sd="0" x="255"/>
        <item sd="0" x="223"/>
        <item sd="0" x="241"/>
        <item sd="0" x="181"/>
        <item sd="0" x="228"/>
        <item sd="0" x="226"/>
        <item sd="0" x="227"/>
        <item sd="0" x="102"/>
        <item sd="0" x="195"/>
        <item sd="0" x="106"/>
        <item sd="0" x="101"/>
        <item sd="0" x="104"/>
        <item sd="0" x="100"/>
        <item sd="0" x="103"/>
        <item sd="0" x="128"/>
        <item sd="0" x="233"/>
        <item sd="0" x="238"/>
        <item sd="0" x="169"/>
        <item sd="0" x="168"/>
        <item sd="0" x="167"/>
        <item sd="0" x="177"/>
        <item sd="0" x="212"/>
        <item sd="0" x="213"/>
        <item sd="0" x="214"/>
        <item sd="0" x="284"/>
        <item sd="0" x="288"/>
        <item sd="0" x="188"/>
        <item sd="0" x="115"/>
        <item sd="0" x="126"/>
        <item sd="0" x="113"/>
        <item sd="0" x="112"/>
        <item sd="0" x="131"/>
        <item sd="0" x="116"/>
        <item sd="0" x="119"/>
        <item sd="0" x="174"/>
        <item sd="0" x="179"/>
        <item sd="0" x="122"/>
        <item sd="0" x="118"/>
        <item sd="0" x="178"/>
        <item sd="0" x="138"/>
        <item sd="0" x="230"/>
        <item sd="0" x="152"/>
        <item sd="0" x="154"/>
        <item sd="0" x="156"/>
        <item sd="0" x="186"/>
        <item sd="0" x="120"/>
        <item sd="0" x="125"/>
        <item sd="0" x="282"/>
        <item sd="0" x="287"/>
        <item sd="0" x="136"/>
        <item sd="0" x="240"/>
        <item sd="0" x="239"/>
        <item sd="0" x="235"/>
        <item sd="0" x="137"/>
        <item sd="0" x="124"/>
        <item sd="0" x="121"/>
        <item sd="0" x="127"/>
        <item sd="0" x="193"/>
        <item sd="0" x="180"/>
        <item sd="0" x="109"/>
        <item sd="0" x="224"/>
        <item sd="0" x="176"/>
        <item sd="0" x="225"/>
        <item sd="0" x="266"/>
        <item sd="0" x="256"/>
        <item sd="0" x="182"/>
        <item sd="0" x="257"/>
        <item sd="0" x="184"/>
        <item sd="0" x="244"/>
        <item sd="0" x="281"/>
        <item sd="0" x="129"/>
        <item sd="0" x="151"/>
        <item sd="0" x="111"/>
        <item sd="0" x="285"/>
        <item sd="0" x="139"/>
        <item sd="0" x="134"/>
        <item sd="0" x="142"/>
        <item sd="0" x="141"/>
        <item sd="0" x="242"/>
        <item sd="0" x="197"/>
        <item sd="0" x="250"/>
        <item sd="0" x="133"/>
        <item sd="0" x="159"/>
        <item sd="0" x="160"/>
        <item sd="0" x="155"/>
        <item sd="0" x="221"/>
        <item sd="0" x="149"/>
        <item sd="0" x="143"/>
        <item sd="0" x="145"/>
        <item sd="0" x="146"/>
        <item sd="0" x="144"/>
        <item sd="0" x="185"/>
        <item sd="0" x="190"/>
        <item sd="0" x="277"/>
        <item sd="0" x="148"/>
        <item sd="0" x="158"/>
        <item sd="0" x="171"/>
        <item sd="0" x="194"/>
        <item sd="0" x="165"/>
        <item x="189"/>
        <item x="163"/>
        <item x="153"/>
        <item x="162"/>
        <item x="164"/>
        <item x="170"/>
        <item x="292"/>
        <item x="166"/>
        <item x="196"/>
        <item x="172"/>
        <item x="161"/>
        <item x="132"/>
        <item x="135"/>
        <item x="147"/>
        <item x="157"/>
        <item x="175"/>
        <item x="173"/>
        <item x="199"/>
        <item x="187"/>
        <item t="default" sd="0"/>
      </items>
    </pivotField>
    <pivotField showAll="0"/>
    <pivotField showAll="0"/>
    <pivotField multipleItemSelectionAllowed="1" showAll="0" defaultSubtotal="0"/>
    <pivotField multipleItemSelectionAllowed="1" showAll="0" defaultSubtotal="0"/>
    <pivotField showAll="0"/>
    <pivotField axis="axisCol" multipleItemSelectionAllowed="1" showAll="0">
      <items count="4">
        <item x="0"/>
        <item x="1"/>
        <item x="2"/>
        <item t="default"/>
      </items>
    </pivotField>
    <pivotField axis="axisRow" showAll="0" sortType="ascending" defaultSubtotal="0">
      <items count="37">
        <item h="1" sd="0" x="0"/>
        <item h="1" sd="0" x="1"/>
        <item h="1" sd="0" x="2"/>
        <item h="1" sd="0" x="3"/>
        <item h="1" sd="0" x="4"/>
        <item h="1" sd="0" x="5"/>
        <item h="1" sd="0" x="6"/>
        <item h="1" sd="0" x="7"/>
        <item h="1" sd="0" x="8"/>
        <item h="1" sd="0" x="9"/>
        <item h="1" sd="0" x="10"/>
        <item h="1" sd="0" x="11"/>
        <item h="1" sd="0" x="12"/>
        <item h="1" sd="0" x="13"/>
        <item sd="0" x="14"/>
        <item sd="0" x="15"/>
        <item sd="0" x="16"/>
        <item sd="0" x="17"/>
        <item sd="0" x="18"/>
        <item sd="0" x="19"/>
        <item sd="0" x="20"/>
        <item sd="0" x="21"/>
        <item sd="0" x="22"/>
        <item sd="0" x="23"/>
        <item sd="0" x="30"/>
        <item h="1" sd="0" x="24"/>
        <item h="1" sd="0" x="25"/>
        <item h="1" sd="0" x="26"/>
        <item h="1" sd="0" x="27"/>
        <item h="1" sd="0" x="28"/>
        <item h="1" sd="0" x="29"/>
        <item h="1" sd="0" x="31"/>
        <item h="1" sd="0" x="32"/>
        <item h="1" sd="0" x="33"/>
        <item h="1" sd="0" x="34"/>
        <item h="1" sd="0" x="35"/>
        <item h="1" sd="0" x="36"/>
      </items>
    </pivotField>
    <pivotField axis="axisRow" showAll="0">
      <items count="6">
        <item sd="0" x="0"/>
        <item sd="0" x="1"/>
        <item sd="0" x="2"/>
        <item sd="0" x="3"/>
        <item sd="0" x="4"/>
        <item t="default" sd="0"/>
      </items>
    </pivotField>
    <pivotField showAll="0"/>
    <pivotField axis="axisPage" multipleItemSelectionAllowed="1" showAll="0">
      <items count="5">
        <item x="0"/>
        <item h="1" x="2"/>
        <item h="1" x="1"/>
        <item h="1" x="3"/>
        <item t="default"/>
      </items>
    </pivotField>
    <pivotField axis="axisPage" multipleItemSelectionAllowed="1" showAll="0">
      <items count="6">
        <item x="0"/>
        <item x="2"/>
        <item h="1" x="3"/>
        <item h="1" x="1"/>
        <item h="1" x="4"/>
        <item t="default"/>
      </items>
    </pivotField>
    <pivotField showAll="0"/>
    <pivotField showAll="0"/>
    <pivotField showAll="0"/>
    <pivotField showAll="0"/>
    <pivotField showAll="0"/>
    <pivotField axis="axisPage" multipleItemSelectionAllowed="1" showAll="0" defaultSubtotal="0">
      <items count="3">
        <item x="1"/>
        <item x="2"/>
        <item x="0"/>
      </items>
    </pivotField>
    <pivotField showAll="0"/>
    <pivotField showAll="0"/>
    <pivotField showAll="0"/>
    <pivotField showAll="0"/>
    <pivotField numFmtId="3" showAll="0"/>
    <pivotField dataField="1" numFmtId="3" showAll="0"/>
    <pivotField multipleItemSelectionAllowed="1" showAll="0"/>
    <pivotField showAll="0"/>
    <pivotField showAll="0"/>
    <pivotField showAll="0"/>
    <pivotField showAll="0"/>
    <pivotField showAll="0"/>
    <pivotField numFmtId="9" showAll="0"/>
    <pivotField showAll="0"/>
    <pivotField showAll="0"/>
    <pivotField showAll="0"/>
    <pivotField showAll="0"/>
    <pivotField showAll="0"/>
    <pivotField showAll="0"/>
    <pivotField axis="axisRow" showAll="0">
      <items count="142">
        <item x="6"/>
        <item x="62"/>
        <item x="35"/>
        <item x="18"/>
        <item x="10"/>
        <item x="12"/>
        <item x="42"/>
        <item x="53"/>
        <item x="34"/>
        <item x="73"/>
        <item x="44"/>
        <item x="43"/>
        <item x="5"/>
        <item x="22"/>
        <item x="36"/>
        <item x="32"/>
        <item x="69"/>
        <item x="54"/>
        <item x="17"/>
        <item x="21"/>
        <item x="47"/>
        <item x="15"/>
        <item x="27"/>
        <item x="28"/>
        <item x="39"/>
        <item x="9"/>
        <item x="45"/>
        <item x="16"/>
        <item x="7"/>
        <item x="8"/>
        <item x="63"/>
        <item x="33"/>
        <item x="3"/>
        <item x="55"/>
        <item x="30"/>
        <item x="49"/>
        <item x="46"/>
        <item x="14"/>
        <item x="48"/>
        <item x="59"/>
        <item x="65"/>
        <item x="31"/>
        <item x="37"/>
        <item x="25"/>
        <item x="40"/>
        <item x="2"/>
        <item x="26"/>
        <item x="29"/>
        <item x="1"/>
        <item x="19"/>
        <item x="20"/>
        <item x="125"/>
        <item x="58"/>
        <item x="0"/>
        <item x="105"/>
        <item x="23"/>
        <item x="13"/>
        <item x="64"/>
        <item x="51"/>
        <item x="60"/>
        <item x="11"/>
        <item x="41"/>
        <item x="67"/>
        <item x="4"/>
        <item x="66"/>
        <item x="24"/>
        <item x="75"/>
        <item x="38"/>
        <item x="136"/>
        <item x="57"/>
        <item x="129"/>
        <item x="95"/>
        <item x="61"/>
        <item x="68"/>
        <item x="124"/>
        <item x="50"/>
        <item x="52"/>
        <item x="84"/>
        <item x="56"/>
        <item x="70"/>
        <item x="120"/>
        <item x="96"/>
        <item x="81"/>
        <item x="94"/>
        <item x="133"/>
        <item x="139"/>
        <item x="110"/>
        <item x="79"/>
        <item x="132"/>
        <item x="76"/>
        <item x="123"/>
        <item x="85"/>
        <item x="104"/>
        <item x="131"/>
        <item x="114"/>
        <item x="126"/>
        <item x="99"/>
        <item x="137"/>
        <item x="71"/>
        <item x="91"/>
        <item x="134"/>
        <item x="82"/>
        <item x="80"/>
        <item x="89"/>
        <item x="128"/>
        <item x="92"/>
        <item x="88"/>
        <item x="101"/>
        <item x="97"/>
        <item x="130"/>
        <item x="112"/>
        <item x="111"/>
        <item x="115"/>
        <item x="107"/>
        <item x="117"/>
        <item x="108"/>
        <item x="138"/>
        <item x="119"/>
        <item x="74"/>
        <item x="106"/>
        <item x="78"/>
        <item x="118"/>
        <item x="83"/>
        <item x="77"/>
        <item x="90"/>
        <item x="102"/>
        <item x="116"/>
        <item x="135"/>
        <item x="72"/>
        <item x="86"/>
        <item x="98"/>
        <item x="87"/>
        <item x="93"/>
        <item x="100"/>
        <item x="103"/>
        <item x="109"/>
        <item x="113"/>
        <item x="122"/>
        <item x="121"/>
        <item x="140"/>
        <item x="127"/>
        <item t="default"/>
      </items>
    </pivotField>
    <pivotField showAll="0"/>
    <pivotField showAll="0"/>
    <pivotField axis="axisPage" multipleItemSelectionAllowed="1" showAll="0">
      <items count="5">
        <item x="0"/>
        <item x="1"/>
        <item x="3"/>
        <item x="2"/>
        <item t="default"/>
      </items>
    </pivotField>
    <pivotField showAll="0"/>
    <pivotField showAll="0"/>
    <pivotField showAll="0"/>
    <pivotField showAll="0"/>
    <pivotField showAll="0"/>
    <pivotField showAll="0"/>
  </pivotFields>
  <rowFields count="4">
    <field x="8"/>
    <field x="9"/>
    <field x="1"/>
    <field x="38"/>
  </rowFields>
  <rowItems count="12">
    <i>
      <x v="14"/>
    </i>
    <i>
      <x v="15"/>
    </i>
    <i>
      <x v="16"/>
    </i>
    <i>
      <x v="17"/>
    </i>
    <i>
      <x v="18"/>
    </i>
    <i>
      <x v="19"/>
    </i>
    <i>
      <x v="20"/>
    </i>
    <i>
      <x v="21"/>
    </i>
    <i>
      <x v="22"/>
    </i>
    <i>
      <x v="23"/>
    </i>
    <i>
      <x v="24"/>
    </i>
    <i t="grand">
      <x/>
    </i>
  </rowItems>
  <colFields count="1">
    <field x="7"/>
  </colFields>
  <colItems count="4">
    <i>
      <x/>
    </i>
    <i>
      <x v="1"/>
    </i>
    <i>
      <x v="2"/>
    </i>
    <i t="grand">
      <x/>
    </i>
  </colItems>
  <pageFields count="4">
    <pageField fld="11" hier="-1"/>
    <pageField fld="12" hier="-1"/>
    <pageField fld="41" hier="-1"/>
    <pageField fld="18" hier="-1"/>
  </pageFields>
  <dataFields count="1">
    <dataField name="Sum of Office UFA (Net) (sf)" fld="24" baseField="0" baseItem="0"/>
  </dataFields>
  <formats count="1">
    <format dxfId="124">
      <pivotArea outline="0" collapsedLevelsAreSubtotals="1" fieldPosition="0"/>
    </format>
  </formats>
  <pivotTableStyleInfo name="PivotStyleLight16" showRowHeaders="1" showColHeaders="1" showRowStripes="0" showColStripes="0" showLastColumn="1"/>
  <filters count="1">
    <filter fld="17" type="captionGreaterThan" evalOrder="-1" id="4" stringValue1="20000">
      <autoFilter ref="A1">
        <filterColumn colId="0">
          <customFilters>
            <customFilter operator="greaterThan" val="2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missingCaption="0" updatedVersion="8" minRefreshableVersion="3" useAutoFormatting="1" itemPrintTitles="1" createdVersion="4" indent="0" outline="1" outlineData="1" multipleFieldFilters="0">
  <location ref="A7:K21" firstHeaderRow="1" firstDataRow="3" firstDataCol="1" rowPageCount="5" colPageCount="1"/>
  <pivotFields count="48">
    <pivotField showAll="0"/>
    <pivotField showAll="0"/>
    <pivotField showAll="0"/>
    <pivotField showAll="0"/>
    <pivotField axis="axisCol" multipleItemSelectionAllowed="1" showAll="0" defaultSubtotal="0">
      <items count="26">
        <item x="8"/>
        <item x="9"/>
        <item x="6"/>
        <item x="22"/>
        <item x="25"/>
        <item x="10"/>
        <item x="7"/>
        <item x="15"/>
        <item x="18"/>
        <item x="3"/>
        <item x="2"/>
        <item x="4"/>
        <item x="24"/>
        <item x="20"/>
        <item x="13"/>
        <item x="16"/>
        <item x="0"/>
        <item x="5"/>
        <item x="14"/>
        <item x="23"/>
        <item x="12"/>
        <item x="17"/>
        <item x="11"/>
        <item x="19"/>
        <item x="21"/>
        <item x="1"/>
      </items>
    </pivotField>
    <pivotField axis="axisCol" multipleItemSelectionAllowed="1" showAll="0" defaultSubtotal="0">
      <items count="11">
        <item sd="0" x="6"/>
        <item sd="0" x="9"/>
        <item sd="0" x="10"/>
        <item sd="0" x="8"/>
        <item sd="0" x="0"/>
        <item sd="0" x="7"/>
        <item sd="0" x="5"/>
        <item sd="0" x="1"/>
        <item sd="0" x="3"/>
        <item sd="0" x="4"/>
        <item sd="0" x="2"/>
      </items>
    </pivotField>
    <pivotField showAll="0"/>
    <pivotField multipleItemSelectionAllowed="1" showAll="0"/>
    <pivotField axis="axisRow" showAll="0" sortType="ascending" defaultSubtotal="0">
      <items count="37">
        <item h="1" sd="0" x="0"/>
        <item h="1" sd="0" x="1"/>
        <item h="1" sd="0" x="2"/>
        <item h="1" sd="0" x="3"/>
        <item h="1" sd="0" x="4"/>
        <item h="1" sd="0" x="5"/>
        <item h="1" sd="0" x="6"/>
        <item h="1" sd="0" x="7"/>
        <item h="1" sd="0" x="8"/>
        <item h="1" sd="0" x="9"/>
        <item h="1" sd="0" x="10"/>
        <item h="1" sd="0" x="11"/>
        <item h="1" sd="0" x="12"/>
        <item h="1" sd="0" x="13"/>
        <item sd="0" x="14"/>
        <item sd="0" x="15"/>
        <item sd="0" x="16"/>
        <item sd="0" x="17"/>
        <item sd="0" x="18"/>
        <item sd="0" x="19"/>
        <item sd="0" x="20"/>
        <item sd="0" x="21"/>
        <item sd="0" x="22"/>
        <item sd="0" x="23"/>
        <item sd="0" x="30"/>
        <item h="1" sd="0" x="24"/>
        <item h="1" sd="0" x="25"/>
        <item h="1" sd="0" x="26"/>
        <item h="1" sd="0" x="27"/>
        <item h="1" sd="0" x="28"/>
        <item h="1" sd="0" x="29"/>
        <item h="1" sd="0" x="31"/>
        <item h="1" sd="0" x="32"/>
        <item h="1" sd="0" x="33"/>
        <item h="1" sd="0" x="34"/>
        <item h="1" sd="0" x="35"/>
        <item h="1" sd="0" x="36"/>
      </items>
    </pivotField>
    <pivotField axis="axisRow" showAll="0">
      <items count="6">
        <item x="0"/>
        <item x="1"/>
        <item x="2"/>
        <item x="3"/>
        <item x="4"/>
        <item t="default"/>
      </items>
    </pivotField>
    <pivotField showAll="0"/>
    <pivotField axis="axisPage" multipleItemSelectionAllowed="1" showAll="0">
      <items count="5">
        <item x="0"/>
        <item h="1" x="2"/>
        <item h="1" x="1"/>
        <item h="1" x="3"/>
        <item t="default"/>
      </items>
    </pivotField>
    <pivotField axis="axisPage" multipleItemSelectionAllowed="1" showAll="0">
      <items count="6">
        <item x="0"/>
        <item x="2"/>
        <item h="1" x="3"/>
        <item h="1" x="1"/>
        <item h="1" x="4"/>
        <item t="default"/>
      </items>
    </pivotField>
    <pivotField showAll="0"/>
    <pivotField showAll="0"/>
    <pivotField showAll="0"/>
    <pivotField showAll="0"/>
    <pivotField showAll="0"/>
    <pivotField axis="axisPage" multipleItemSelectionAllowed="1" showAll="0" defaultSubtotal="0">
      <items count="3">
        <item x="1"/>
        <item x="2"/>
        <item x="0"/>
      </items>
    </pivotField>
    <pivotField showAll="0"/>
    <pivotField showAll="0"/>
    <pivotField showAll="0"/>
    <pivotField showAll="0"/>
    <pivotField numFmtId="3" showAll="0"/>
    <pivotField dataField="1" numFmtId="3" showAll="0"/>
    <pivotField multipleItemSelectionAllowed="1"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axis="axisPage" multipleItemSelectionAllowed="1" showAll="0">
      <items count="3">
        <item x="1"/>
        <item x="0"/>
        <item t="default"/>
      </items>
    </pivotField>
    <pivotField showAll="0"/>
    <pivotField axis="axisPage" multipleItemSelectionAllowed="1" showAll="0">
      <items count="5">
        <item x="0"/>
        <item x="1"/>
        <item x="3"/>
        <item x="2"/>
        <item t="default"/>
      </items>
    </pivotField>
    <pivotField showAll="0"/>
    <pivotField showAll="0"/>
    <pivotField showAll="0"/>
    <pivotField showAll="0"/>
    <pivotField showAll="0"/>
    <pivotField showAll="0"/>
  </pivotFields>
  <rowFields count="2">
    <field x="8"/>
    <field x="9"/>
  </rowFields>
  <rowItems count="12">
    <i>
      <x v="14"/>
    </i>
    <i>
      <x v="15"/>
    </i>
    <i>
      <x v="16"/>
    </i>
    <i>
      <x v="17"/>
    </i>
    <i>
      <x v="18"/>
    </i>
    <i>
      <x v="19"/>
    </i>
    <i>
      <x v="20"/>
    </i>
    <i>
      <x v="21"/>
    </i>
    <i>
      <x v="22"/>
    </i>
    <i>
      <x v="23"/>
    </i>
    <i>
      <x v="24"/>
    </i>
    <i t="grand">
      <x/>
    </i>
  </rowItems>
  <colFields count="2">
    <field x="5"/>
    <field x="4"/>
  </colFields>
  <colItems count="10">
    <i>
      <x/>
    </i>
    <i>
      <x v="1"/>
    </i>
    <i>
      <x v="3"/>
    </i>
    <i>
      <x v="4"/>
    </i>
    <i>
      <x v="5"/>
    </i>
    <i>
      <x v="7"/>
    </i>
    <i>
      <x v="8"/>
    </i>
    <i>
      <x v="9"/>
    </i>
    <i>
      <x v="10"/>
    </i>
    <i t="grand">
      <x/>
    </i>
  </colItems>
  <pageFields count="5">
    <pageField fld="11" hier="-1"/>
    <pageField fld="12" hier="-1"/>
    <pageField fld="41" hier="-1"/>
    <pageField fld="18" hier="-1"/>
    <pageField fld="39" hier="-1"/>
  </pageFields>
  <dataFields count="1">
    <dataField name="Sum of Office UFA (Net) (sf)" fld="24" baseField="8" baseItem="17"/>
  </dataFields>
  <formats count="1">
    <format dxfId="125">
      <pivotArea outline="0" collapsedLevelsAreSubtotals="1" fieldPosition="0"/>
    </format>
  </formats>
  <pivotTableStyleInfo name="PivotStyleLight16" showRowHeaders="1" showColHeaders="1" showRowStripes="0" showColStripes="0" showLastColumn="1"/>
  <filters count="1">
    <filter fld="17" type="captionGreaterThan" evalOrder="-1" id="4" stringValue1="20000">
      <autoFilter ref="A1">
        <filterColumn colId="0">
          <customFilters>
            <customFilter operator="greaterThan" val="2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418942-D5EC-4E20-9DE2-E91A70254945}" name="PivotTable12" cacheId="0" applyNumberFormats="0" applyBorderFormats="0" applyFontFormats="0" applyPatternFormats="0" applyAlignmentFormats="0" applyWidthHeightFormats="1" dataCaption="Values" updatedVersion="8" minRefreshableVersion="3" itemPrintTitles="1" createdVersion="4" indent="0" compact="0" compactData="0" multipleFieldFilters="0">
  <location ref="Q7:AC109" firstHeaderRow="1" firstDataRow="2" firstDataCol="2" rowPageCount="4" colPageCount="1"/>
  <pivotFields count="48">
    <pivotField compact="0" outline="0" showAll="0"/>
    <pivotField compact="0" outline="0" showAll="0"/>
    <pivotField compact="0" outline="0" showAll="0"/>
    <pivotField compact="0" outline="0" showAll="0"/>
    <pivotField compact="0" outline="0" multipleItemSelectionAllowed="1" showAll="0" defaultSubtotal="0"/>
    <pivotField axis="axisCol" compact="0" outline="0" multipleItemSelectionAllowed="1" showAll="0" defaultSubtotal="0">
      <items count="11">
        <item x="6"/>
        <item x="9"/>
        <item x="10"/>
        <item x="8"/>
        <item sd="0" x="0"/>
        <item sd="0" x="7"/>
        <item sd="0" x="5"/>
        <item sd="0" x="3"/>
        <item x="4"/>
        <item sd="0" x="2"/>
        <item x="1"/>
      </items>
    </pivotField>
    <pivotField compact="0" outline="0" showAll="0"/>
    <pivotField compact="0" outline="0" multipleItemSelectionAllowed="1" showAll="0"/>
    <pivotField axis="axisRow" compact="0" outline="0" showAll="0" defaultSubtotal="0">
      <items count="37">
        <item x="0"/>
        <item x="1"/>
        <item x="2"/>
        <item x="3"/>
        <item x="4"/>
        <item x="5"/>
        <item x="6"/>
        <item x="7"/>
        <item x="8"/>
        <item x="9"/>
        <item x="10"/>
        <item x="11"/>
        <item x="12"/>
        <item x="13"/>
        <item x="14"/>
        <item x="15"/>
        <item x="16"/>
        <item x="17"/>
        <item x="18"/>
        <item x="19"/>
        <item x="20"/>
        <item x="21"/>
        <item x="22"/>
        <item x="23"/>
        <item x="30"/>
        <item h="1" x="24"/>
        <item h="1" x="25"/>
        <item h="1" x="26"/>
        <item h="1" x="27"/>
        <item h="1" x="28"/>
        <item h="1" x="29"/>
        <item h="1" x="31"/>
        <item h="1" x="32"/>
        <item h="1" x="33"/>
        <item h="1" x="34"/>
        <item h="1" x="35"/>
        <item h="1" x="36"/>
      </items>
    </pivotField>
    <pivotField axis="axisRow" compact="0" outline="0">
      <items count="6">
        <item x="0"/>
        <item x="1"/>
        <item x="2"/>
        <item x="3"/>
        <item h="1" x="4"/>
        <item t="default"/>
      </items>
    </pivotField>
    <pivotField compact="0" outline="0" showAll="0"/>
    <pivotField axis="axisPage" compact="0" outline="0" multipleItemSelectionAllowed="1" showAll="0">
      <items count="5">
        <item x="0"/>
        <item h="1" x="2"/>
        <item h="1" x="1"/>
        <item h="1" x="3"/>
        <item t="default"/>
      </items>
    </pivotField>
    <pivotField axis="axisPage" compact="0" outline="0" multipleItemSelectionAllowed="1" showAll="0">
      <items count="6">
        <item x="0"/>
        <item x="2"/>
        <item h="1" x="3"/>
        <item h="1" x="1"/>
        <item h="1" x="4"/>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3">
        <item x="1"/>
        <item x="2"/>
        <item x="0"/>
      </items>
    </pivotField>
    <pivotField compact="0" outline="0" showAll="0"/>
    <pivotField compact="0" outline="0" showAll="0"/>
    <pivotField compact="0" outline="0" showAll="0"/>
    <pivotField compact="0" outline="0" showAll="0"/>
    <pivotField compact="0" numFmtId="3" outline="0" showAll="0"/>
    <pivotField dataField="1" compact="0" numFmtId="3"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2">
    <field x="8"/>
    <field x="9"/>
  </rowFields>
  <rowItems count="101">
    <i>
      <x/>
      <x/>
    </i>
    <i r="1">
      <x v="1"/>
    </i>
    <i r="1">
      <x v="2"/>
    </i>
    <i r="1">
      <x v="3"/>
    </i>
    <i>
      <x v="1"/>
      <x/>
    </i>
    <i r="1">
      <x v="1"/>
    </i>
    <i r="1">
      <x v="2"/>
    </i>
    <i r="1">
      <x v="3"/>
    </i>
    <i>
      <x v="2"/>
      <x/>
    </i>
    <i r="1">
      <x v="1"/>
    </i>
    <i r="1">
      <x v="2"/>
    </i>
    <i r="1">
      <x v="3"/>
    </i>
    <i>
      <x v="3"/>
      <x/>
    </i>
    <i r="1">
      <x v="1"/>
    </i>
    <i r="1">
      <x v="2"/>
    </i>
    <i r="1">
      <x v="3"/>
    </i>
    <i>
      <x v="4"/>
      <x/>
    </i>
    <i r="1">
      <x v="1"/>
    </i>
    <i r="1">
      <x v="2"/>
    </i>
    <i r="1">
      <x v="3"/>
    </i>
    <i>
      <x v="5"/>
      <x/>
    </i>
    <i r="1">
      <x v="1"/>
    </i>
    <i r="1">
      <x v="2"/>
    </i>
    <i r="1">
      <x v="3"/>
    </i>
    <i>
      <x v="6"/>
      <x/>
    </i>
    <i r="1">
      <x v="1"/>
    </i>
    <i r="1">
      <x v="2"/>
    </i>
    <i r="1">
      <x v="3"/>
    </i>
    <i>
      <x v="7"/>
      <x/>
    </i>
    <i r="1">
      <x v="1"/>
    </i>
    <i r="1">
      <x v="2"/>
    </i>
    <i r="1">
      <x v="3"/>
    </i>
    <i>
      <x v="8"/>
      <x/>
    </i>
    <i r="1">
      <x v="1"/>
    </i>
    <i r="1">
      <x v="2"/>
    </i>
    <i r="1">
      <x v="3"/>
    </i>
    <i>
      <x v="9"/>
      <x/>
    </i>
    <i r="1">
      <x v="1"/>
    </i>
    <i r="1">
      <x v="2"/>
    </i>
    <i r="1">
      <x v="3"/>
    </i>
    <i>
      <x v="10"/>
      <x/>
    </i>
    <i r="1">
      <x v="1"/>
    </i>
    <i r="1">
      <x v="2"/>
    </i>
    <i r="1">
      <x v="3"/>
    </i>
    <i>
      <x v="11"/>
      <x/>
    </i>
    <i r="1">
      <x v="1"/>
    </i>
    <i r="1">
      <x v="2"/>
    </i>
    <i r="1">
      <x v="3"/>
    </i>
    <i>
      <x v="12"/>
      <x/>
    </i>
    <i r="1">
      <x v="1"/>
    </i>
    <i r="1">
      <x v="2"/>
    </i>
    <i r="1">
      <x v="3"/>
    </i>
    <i>
      <x v="13"/>
      <x/>
    </i>
    <i r="1">
      <x v="1"/>
    </i>
    <i r="1">
      <x v="2"/>
    </i>
    <i r="1">
      <x v="3"/>
    </i>
    <i>
      <x v="14"/>
      <x/>
    </i>
    <i r="1">
      <x v="1"/>
    </i>
    <i r="1">
      <x v="2"/>
    </i>
    <i r="1">
      <x v="3"/>
    </i>
    <i>
      <x v="15"/>
      <x/>
    </i>
    <i r="1">
      <x v="1"/>
    </i>
    <i r="1">
      <x v="2"/>
    </i>
    <i r="1">
      <x v="3"/>
    </i>
    <i>
      <x v="16"/>
      <x/>
    </i>
    <i r="1">
      <x v="1"/>
    </i>
    <i r="1">
      <x v="2"/>
    </i>
    <i r="1">
      <x v="3"/>
    </i>
    <i>
      <x v="17"/>
      <x/>
    </i>
    <i r="1">
      <x v="1"/>
    </i>
    <i r="1">
      <x v="2"/>
    </i>
    <i r="1">
      <x v="3"/>
    </i>
    <i>
      <x v="18"/>
      <x/>
    </i>
    <i r="1">
      <x v="1"/>
    </i>
    <i r="1">
      <x v="2"/>
    </i>
    <i r="1">
      <x v="3"/>
    </i>
    <i>
      <x v="19"/>
      <x/>
    </i>
    <i r="1">
      <x v="1"/>
    </i>
    <i r="1">
      <x v="2"/>
    </i>
    <i r="1">
      <x v="3"/>
    </i>
    <i>
      <x v="20"/>
      <x/>
    </i>
    <i r="1">
      <x v="1"/>
    </i>
    <i r="1">
      <x v="2"/>
    </i>
    <i r="1">
      <x v="3"/>
    </i>
    <i>
      <x v="21"/>
      <x/>
    </i>
    <i r="1">
      <x v="1"/>
    </i>
    <i r="1">
      <x v="2"/>
    </i>
    <i r="1">
      <x v="3"/>
    </i>
    <i>
      <x v="22"/>
      <x/>
    </i>
    <i r="1">
      <x v="1"/>
    </i>
    <i r="1">
      <x v="2"/>
    </i>
    <i r="1">
      <x v="3"/>
    </i>
    <i>
      <x v="23"/>
      <x/>
    </i>
    <i r="1">
      <x v="1"/>
    </i>
    <i r="1">
      <x v="2"/>
    </i>
    <i r="1">
      <x v="3"/>
    </i>
    <i>
      <x v="24"/>
      <x/>
    </i>
    <i r="1">
      <x v="1"/>
    </i>
    <i r="1">
      <x v="2"/>
    </i>
    <i r="1">
      <x v="3"/>
    </i>
    <i t="grand">
      <x/>
    </i>
  </rowItems>
  <colFields count="1">
    <field x="5"/>
  </colFields>
  <colItems count="11">
    <i>
      <x/>
    </i>
    <i>
      <x v="1"/>
    </i>
    <i>
      <x v="3"/>
    </i>
    <i>
      <x v="4"/>
    </i>
    <i>
      <x v="5"/>
    </i>
    <i>
      <x v="6"/>
    </i>
    <i>
      <x v="7"/>
    </i>
    <i>
      <x v="8"/>
    </i>
    <i>
      <x v="9"/>
    </i>
    <i>
      <x v="10"/>
    </i>
    <i t="grand">
      <x/>
    </i>
  </colItems>
  <pageFields count="4">
    <pageField fld="11" hier="-1"/>
    <pageField fld="12" hier="-1"/>
    <pageField fld="41" hier="-1"/>
    <pageField fld="18" hier="-1"/>
  </pageFields>
  <dataFields count="1">
    <dataField name="Sum of Office UFA (Net) (sf)" fld="24" baseField="0" baseItem="0"/>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2F1ADE-6B76-442C-9401-7299B8AC141F}" name="PivotTable1" cacheId="0" applyNumberFormats="0" applyBorderFormats="0" applyFontFormats="0" applyPatternFormats="0" applyAlignmentFormats="0" applyWidthHeightFormats="1" dataCaption="Values" updatedVersion="8" minRefreshableVersion="3" itemPrintTitles="1" createdVersion="4" indent="0" compact="0" compactData="0" multipleFieldFilters="0">
  <location ref="A4:F35" firstHeaderRow="1" firstDataRow="1" firstDataCol="5" rowPageCount="2" colPageCount="1"/>
  <pivotFields count="48">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3">
        <item x="115"/>
        <item x="48"/>
        <item x="126"/>
        <item x="72"/>
        <item x="123"/>
        <item x="52"/>
        <item x="20"/>
        <item x="106"/>
        <item x="76"/>
        <item x="18"/>
        <item x="35"/>
        <item x="25"/>
        <item x="67"/>
        <item x="39"/>
        <item x="81"/>
        <item x="150"/>
        <item x="31"/>
        <item x="73"/>
        <item x="99"/>
        <item x="62"/>
        <item x="98"/>
        <item x="94"/>
        <item x="254"/>
        <item x="32"/>
        <item x="16"/>
        <item x="53"/>
        <item x="33"/>
        <item x="289"/>
        <item x="290"/>
        <item x="60"/>
        <item x="30"/>
        <item x="192"/>
        <item x="206"/>
        <item x="255"/>
        <item x="201"/>
        <item x="6"/>
        <item x="101"/>
        <item x="79"/>
        <item x="70"/>
        <item x="8"/>
        <item x="40"/>
        <item x="10"/>
        <item x="27"/>
        <item x="85"/>
        <item x="204"/>
        <item x="110"/>
        <item x="276"/>
        <item x="87"/>
        <item x="226"/>
        <item x="227"/>
        <item x="69"/>
        <item x="75"/>
        <item x="263"/>
        <item x="260"/>
        <item x="9"/>
        <item x="284"/>
        <item x="283"/>
        <item x="207"/>
        <item x="26"/>
        <item x="286"/>
        <item x="15"/>
        <item x="37"/>
        <item x="3"/>
        <item x="181"/>
        <item x="169"/>
        <item x="238"/>
        <item x="188"/>
        <item x="168"/>
        <item x="140"/>
        <item x="278"/>
        <item x="233"/>
        <item x="265"/>
        <item x="191"/>
        <item x="50"/>
        <item x="38"/>
        <item x="200"/>
        <item x="71"/>
        <item x="91"/>
        <item x="102"/>
        <item x="228"/>
        <item x="229"/>
        <item x="253"/>
        <item x="223"/>
        <item x="88"/>
        <item x="44"/>
        <item x="23"/>
        <item x="1"/>
        <item x="7"/>
        <item x="13"/>
        <item x="117"/>
        <item x="108"/>
        <item x="202"/>
        <item x="104"/>
        <item x="97"/>
        <item x="231"/>
        <item x="267"/>
        <item x="268"/>
        <item x="209"/>
        <item x="167"/>
        <item x="216"/>
        <item x="210"/>
        <item x="211"/>
        <item x="252"/>
        <item x="232"/>
        <item x="234"/>
        <item x="269"/>
        <item x="270"/>
        <item x="271"/>
        <item x="272"/>
        <item x="273"/>
        <item x="274"/>
        <item x="262"/>
        <item x="105"/>
        <item x="55"/>
        <item x="14"/>
        <item x="24"/>
        <item x="64"/>
        <item x="68"/>
        <item x="82"/>
        <item x="57"/>
        <item x="2"/>
        <item x="29"/>
        <item x="212"/>
        <item x="213"/>
        <item x="214"/>
        <item x="243"/>
        <item x="219"/>
        <item x="130"/>
        <item x="279"/>
        <item x="80"/>
        <item x="12"/>
        <item x="258"/>
        <item x="220"/>
        <item x="21"/>
        <item x="107"/>
        <item x="241"/>
        <item x="4"/>
        <item x="89"/>
        <item x="203"/>
        <item x="51"/>
        <item x="19"/>
        <item x="96"/>
        <item x="74"/>
        <item x="288"/>
        <item x="5"/>
        <item x="59"/>
        <item x="66"/>
        <item x="95"/>
        <item x="259"/>
        <item x="0"/>
        <item x="17"/>
        <item x="28"/>
        <item x="34"/>
        <item x="92"/>
        <item x="42"/>
        <item x="83"/>
        <item x="22"/>
        <item x="222"/>
        <item x="264"/>
        <item x="36"/>
        <item x="65"/>
        <item x="236"/>
        <item x="237"/>
        <item x="215"/>
        <item x="195"/>
        <item x="54"/>
        <item x="43"/>
        <item x="93"/>
        <item x="46"/>
        <item x="291"/>
        <item x="205"/>
        <item x="77"/>
        <item x="11"/>
        <item x="208"/>
        <item x="103"/>
        <item x="86"/>
        <item x="49"/>
        <item x="90"/>
        <item x="45"/>
        <item x="100"/>
        <item x="58"/>
        <item x="47"/>
        <item x="183"/>
        <item x="61"/>
        <item x="280"/>
        <item x="177"/>
        <item x="78"/>
        <item x="128"/>
        <item x="63"/>
        <item x="114"/>
        <item x="56"/>
        <item x="251"/>
        <item x="275"/>
        <item x="261"/>
        <item x="245"/>
        <item x="246"/>
        <item x="247"/>
        <item x="248"/>
        <item x="249"/>
        <item x="41"/>
        <item x="84"/>
        <item x="217"/>
        <item x="218"/>
        <item x="198"/>
        <item x="113"/>
        <item x="112"/>
        <item x="131"/>
        <item x="116"/>
        <item x="119"/>
        <item x="174"/>
        <item x="179"/>
        <item x="122"/>
        <item x="118"/>
        <item x="178"/>
        <item x="138"/>
        <item x="230"/>
        <item x="152"/>
        <item x="154"/>
        <item x="156"/>
        <item x="186"/>
        <item x="120"/>
        <item x="125"/>
        <item x="282"/>
        <item x="287"/>
        <item x="136"/>
        <item x="240"/>
        <item x="239"/>
        <item x="235"/>
        <item x="137"/>
        <item x="124"/>
        <item x="121"/>
        <item x="127"/>
        <item x="193"/>
        <item x="180"/>
        <item x="109"/>
        <item x="224"/>
        <item x="176"/>
        <item x="225"/>
        <item x="266"/>
        <item x="256"/>
        <item x="182"/>
        <item x="257"/>
        <item x="184"/>
        <item x="244"/>
        <item x="281"/>
        <item x="129"/>
        <item x="151"/>
        <item x="111"/>
        <item x="285"/>
        <item x="139"/>
        <item x="134"/>
        <item x="142"/>
        <item x="141"/>
        <item x="242"/>
        <item x="197"/>
        <item x="250"/>
        <item x="133"/>
        <item x="159"/>
        <item x="160"/>
        <item x="155"/>
        <item x="221"/>
        <item x="149"/>
        <item x="143"/>
        <item x="145"/>
        <item x="146"/>
        <item x="144"/>
        <item x="185"/>
        <item x="190"/>
        <item x="277"/>
        <item x="148"/>
        <item x="158"/>
        <item x="171"/>
        <item x="194"/>
        <item x="165"/>
        <item x="189"/>
        <item x="163"/>
        <item x="153"/>
        <item x="162"/>
        <item x="164"/>
        <item x="170"/>
        <item x="292"/>
        <item x="166"/>
        <item x="196"/>
        <item x="172"/>
        <item x="161"/>
        <item x="132"/>
        <item x="135"/>
        <item x="147"/>
        <item x="157"/>
        <item x="175"/>
        <item x="173"/>
        <item x="199"/>
        <item x="18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ascending" defaultSubtotal="0">
      <items count="9">
        <item x="5"/>
        <item x="8"/>
        <item x="7"/>
        <item x="0"/>
        <item x="6"/>
        <item x="1"/>
        <item x="3"/>
        <item x="4"/>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7">
        <item h="1" x="0"/>
        <item h="1" x="1"/>
        <item h="1" x="2"/>
        <item h="1" x="3"/>
        <item h="1" x="4"/>
        <item h="1" x="5"/>
        <item h="1" x="6"/>
        <item h="1" x="7"/>
        <item h="1" x="8"/>
        <item h="1" x="9"/>
        <item h="1" x="10"/>
        <item h="1" x="11"/>
        <item h="1" x="12"/>
        <item h="1" x="13"/>
        <item h="1" x="14"/>
        <item x="15"/>
        <item x="16"/>
        <item x="17"/>
        <item x="18"/>
        <item x="19"/>
        <item x="24"/>
        <item x="25"/>
        <item x="26"/>
        <item x="27"/>
        <item x="28"/>
        <item x="29"/>
        <item h="1" x="36"/>
        <item x="20"/>
        <item x="32"/>
        <item h="1" x="35"/>
        <item x="22"/>
        <item h="1" x="23"/>
        <item h="1" x="31"/>
        <item h="1" x="33"/>
        <item h="1" x="30"/>
        <item h="1" x="34"/>
        <item h="1"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4">
        <item x="0"/>
        <item h="1" x="1"/>
        <item h="1" x="2"/>
        <item h="1" x="3"/>
      </items>
      <extLst>
        <ext xmlns:x14="http://schemas.microsoft.com/office/spreadsheetml/2009/9/main" uri="{2946ED86-A175-432a-8AC1-64E0C546D7DE}">
          <x14:pivotField fillDownLabels="1"/>
        </ext>
      </extLst>
    </pivotField>
    <pivotField axis="axisPage" compact="0" outline="0" multipleItemSelectionAllowed="1" showAll="0" defaultSubtotal="0">
      <items count="5">
        <item x="0"/>
        <item h="1" x="3"/>
        <item h="1" x="1"/>
        <item x="2"/>
        <item h="1"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47">
        <item x="20"/>
        <item x="44"/>
        <item x="77"/>
        <item x="64"/>
        <item x="102"/>
        <item x="45"/>
        <item x="39"/>
        <item x="68"/>
        <item x="11"/>
        <item x="176"/>
        <item x="60"/>
        <item x="52"/>
        <item x="226"/>
        <item x="30"/>
        <item x="129"/>
        <item x="22"/>
        <item x="239"/>
        <item x="21"/>
        <item x="32"/>
        <item x="109"/>
        <item x="74"/>
        <item x="220"/>
        <item x="15"/>
        <item x="139"/>
        <item x="16"/>
        <item x="25"/>
        <item x="89"/>
        <item x="175"/>
        <item x="31"/>
        <item x="94"/>
        <item x="48"/>
        <item x="113"/>
        <item x="28"/>
        <item x="58"/>
        <item x="156"/>
        <item x="221"/>
        <item x="86"/>
        <item x="40"/>
        <item x="49"/>
        <item x="27"/>
        <item x="193"/>
        <item x="138"/>
        <item x="104"/>
        <item x="6"/>
        <item x="34"/>
        <item x="127"/>
        <item x="183"/>
        <item x="55"/>
        <item x="164"/>
        <item x="36"/>
        <item x="80"/>
        <item x="128"/>
        <item x="38"/>
        <item x="24"/>
        <item x="57"/>
        <item x="47"/>
        <item x="9"/>
        <item x="219"/>
        <item x="33"/>
        <item x="56"/>
        <item x="204"/>
        <item x="215"/>
        <item x="108"/>
        <item x="46"/>
        <item x="26"/>
        <item x="91"/>
        <item x="189"/>
        <item x="10"/>
        <item x="87"/>
        <item x="76"/>
        <item x="59"/>
        <item x="37"/>
        <item x="50"/>
        <item x="79"/>
        <item x="93"/>
        <item x="184"/>
        <item x="67"/>
        <item x="5"/>
        <item x="131"/>
        <item x="43"/>
        <item x="194"/>
        <item x="81"/>
        <item x="154"/>
        <item x="208"/>
        <item x="69"/>
        <item x="62"/>
        <item x="53"/>
        <item x="14"/>
        <item x="83"/>
        <item x="2"/>
        <item x="35"/>
        <item x="168"/>
        <item x="85"/>
        <item x="4"/>
        <item x="12"/>
        <item x="65"/>
        <item x="203"/>
        <item x="241"/>
        <item x="23"/>
        <item x="223"/>
        <item x="61"/>
        <item x="135"/>
        <item x="224"/>
        <item x="133"/>
        <item x="237"/>
        <item x="17"/>
        <item x="73"/>
        <item x="172"/>
        <item x="103"/>
        <item x="187"/>
        <item x="54"/>
        <item x="18"/>
        <item x="206"/>
        <item x="71"/>
        <item x="70"/>
        <item x="51"/>
        <item x="42"/>
        <item x="188"/>
        <item x="225"/>
        <item x="66"/>
        <item x="19"/>
        <item x="3"/>
        <item x="212"/>
        <item x="222"/>
        <item x="95"/>
        <item x="182"/>
        <item x="29"/>
        <item x="228"/>
        <item x="92"/>
        <item x="117"/>
        <item x="72"/>
        <item x="88"/>
        <item x="84"/>
        <item x="75"/>
        <item x="205"/>
        <item x="0"/>
        <item x="8"/>
        <item x="13"/>
        <item x="7"/>
        <item x="82"/>
        <item x="1"/>
        <item x="229"/>
        <item x="235"/>
        <item x="120"/>
        <item x="41"/>
        <item x="110"/>
        <item x="140"/>
        <item x="240"/>
        <item x="244"/>
        <item x="111"/>
        <item x="119"/>
        <item x="63"/>
        <item x="78"/>
        <item x="98"/>
        <item x="96"/>
        <item x="97"/>
        <item x="90"/>
        <item x="107"/>
        <item x="106"/>
        <item x="101"/>
        <item x="145"/>
        <item x="155"/>
        <item x="213"/>
        <item x="214"/>
        <item x="207"/>
        <item x="199"/>
        <item x="185"/>
        <item x="186"/>
        <item x="105"/>
        <item x="158"/>
        <item x="200"/>
        <item x="210"/>
        <item x="197"/>
        <item x="211"/>
        <item x="191"/>
        <item x="190"/>
        <item x="192"/>
        <item x="202"/>
        <item x="178"/>
        <item x="177"/>
        <item x="196"/>
        <item x="195"/>
        <item x="216"/>
        <item x="218"/>
        <item x="217"/>
        <item x="230"/>
        <item x="231"/>
        <item x="233"/>
        <item x="232"/>
        <item x="234"/>
        <item x="236"/>
        <item x="242"/>
        <item x="245"/>
        <item x="118"/>
        <item x="126"/>
        <item x="99"/>
        <item x="141"/>
        <item x="227"/>
        <item x="123"/>
        <item x="144"/>
        <item x="134"/>
        <item x="142"/>
        <item x="166"/>
        <item x="180"/>
        <item x="150"/>
        <item x="170"/>
        <item x="121"/>
        <item x="167"/>
        <item x="243"/>
        <item x="160"/>
        <item x="181"/>
        <item x="116"/>
        <item x="163"/>
        <item x="112"/>
        <item x="115"/>
        <item x="125"/>
        <item x="114"/>
        <item x="100"/>
        <item x="122"/>
        <item x="147"/>
        <item x="148"/>
        <item x="143"/>
        <item x="198"/>
        <item x="130"/>
        <item x="152"/>
        <item x="132"/>
        <item x="137"/>
        <item x="174"/>
        <item x="238"/>
        <item x="146"/>
        <item x="124"/>
        <item x="201"/>
        <item x="179"/>
        <item x="165"/>
        <item x="173"/>
        <item x="209"/>
        <item x="136"/>
        <item x="169"/>
        <item x="246"/>
        <item x="151"/>
        <item x="149"/>
        <item x="171"/>
        <item x="153"/>
        <item x="162"/>
        <item x="157"/>
        <item x="159"/>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85">
        <item x="13"/>
        <item x="18"/>
        <item x="25"/>
        <item x="27"/>
        <item x="30"/>
        <item x="29"/>
        <item x="42"/>
        <item x="39"/>
        <item x="40"/>
        <item x="37"/>
        <item x="45"/>
        <item x="46"/>
        <item x="54"/>
        <item x="65"/>
        <item x="66"/>
        <item x="77"/>
        <item x="80"/>
        <item x="70"/>
        <item x="81"/>
        <item x="82"/>
        <item x="90"/>
        <item x="86"/>
        <item x="103"/>
        <item x="108"/>
        <item x="102"/>
        <item x="101"/>
        <item x="94"/>
        <item x="104"/>
        <item x="93"/>
        <item x="110"/>
        <item x="113"/>
        <item x="119"/>
        <item x="116"/>
        <item x="157"/>
        <item x="120"/>
        <item x="140"/>
        <item x="107"/>
        <item x="179"/>
        <item x="145"/>
        <item x="136"/>
        <item x="135"/>
        <item x="147"/>
        <item x="146"/>
        <item x="162"/>
        <item x="173"/>
        <item x="164"/>
        <item x="169"/>
        <item x="170"/>
        <item x="186"/>
        <item x="160"/>
        <item x="165"/>
        <item x="235"/>
        <item x="236"/>
        <item x="154"/>
        <item x="161"/>
        <item x="260"/>
        <item x="163"/>
        <item x="227"/>
        <item x="168"/>
        <item x="177"/>
        <item x="244"/>
        <item x="194"/>
        <item x="217"/>
        <item x="193"/>
        <item x="195"/>
        <item x="198"/>
        <item x="196"/>
        <item x="197"/>
        <item x="199"/>
        <item x="200"/>
        <item x="201"/>
        <item x="202"/>
        <item x="203"/>
        <item x="167"/>
        <item x="166"/>
        <item x="215"/>
        <item x="218"/>
        <item x="238"/>
        <item x="178"/>
        <item x="240"/>
        <item x="239"/>
        <item x="242"/>
        <item x="241"/>
        <item x="243"/>
        <item x="230"/>
        <item x="266"/>
        <item x="225"/>
        <item x="214"/>
        <item x="231"/>
        <item x="208"/>
        <item x="233"/>
        <item x="207"/>
        <item x="232"/>
        <item x="259"/>
        <item x="205"/>
        <item x="204"/>
        <item x="209"/>
        <item x="226"/>
        <item x="206"/>
        <item x="228"/>
        <item x="222"/>
        <item x="223"/>
        <item x="191"/>
        <item x="220"/>
        <item x="221"/>
        <item x="190"/>
        <item x="187"/>
        <item x="192"/>
        <item x="188"/>
        <item x="210"/>
        <item x="213"/>
        <item x="212"/>
        <item x="211"/>
        <item x="253"/>
        <item x="255"/>
        <item x="256"/>
        <item x="247"/>
        <item x="245"/>
        <item x="258"/>
        <item x="251"/>
        <item x="257"/>
        <item x="252"/>
        <item x="250"/>
        <item x="249"/>
        <item x="183"/>
        <item x="248"/>
        <item x="254"/>
        <item x="268"/>
        <item x="261"/>
        <item x="237"/>
        <item x="262"/>
        <item x="264"/>
        <item x="263"/>
        <item x="265"/>
        <item x="246"/>
        <item x="267"/>
        <item x="270"/>
        <item x="271"/>
        <item x="273"/>
        <item x="272"/>
        <item x="158"/>
        <item x="276"/>
        <item x="275"/>
        <item x="280"/>
        <item x="278"/>
        <item x="283"/>
        <item x="281"/>
        <item x="282"/>
        <item x="175"/>
        <item x="118"/>
        <item x="174"/>
        <item x="134"/>
        <item x="224"/>
        <item x="182"/>
        <item x="176"/>
        <item x="111"/>
        <item x="184"/>
        <item x="274"/>
        <item x="279"/>
        <item x="234"/>
        <item x="229"/>
        <item x="219"/>
        <item x="172"/>
        <item x="180"/>
        <item x="277"/>
        <item x="155"/>
        <item x="156"/>
        <item x="216"/>
        <item x="171"/>
        <item x="181"/>
        <item x="97"/>
        <item x="14"/>
        <item x="19"/>
        <item x="20"/>
        <item x="16"/>
        <item x="35"/>
        <item x="33"/>
        <item x="61"/>
        <item x="148"/>
        <item x="152"/>
        <item x="71"/>
        <item x="105"/>
        <item x="87"/>
        <item x="36"/>
        <item x="47"/>
        <item x="83"/>
        <item x="117"/>
        <item x="139"/>
        <item x="142"/>
        <item x="21"/>
        <item x="57"/>
        <item x="76"/>
        <item x="0"/>
        <item x="12"/>
        <item x="88"/>
        <item x="124"/>
        <item x="62"/>
        <item x="73"/>
        <item x="2"/>
        <item x="26"/>
        <item x="41"/>
        <item x="51"/>
        <item x="109"/>
        <item x="114"/>
        <item x="121"/>
        <item x="128"/>
        <item x="5"/>
        <item x="4"/>
        <item x="3"/>
        <item x="7"/>
        <item x="8"/>
        <item x="9"/>
        <item x="11"/>
        <item x="17"/>
        <item x="32"/>
        <item x="31"/>
        <item x="22"/>
        <item x="24"/>
        <item x="44"/>
        <item x="49"/>
        <item x="48"/>
        <item x="55"/>
        <item x="38"/>
        <item x="53"/>
        <item x="67"/>
        <item x="74"/>
        <item x="78"/>
        <item x="84"/>
        <item x="68"/>
        <item x="85"/>
        <item x="92"/>
        <item x="95"/>
        <item x="96"/>
        <item x="123"/>
        <item x="127"/>
        <item x="144"/>
        <item x="50"/>
        <item x="130"/>
        <item x="131"/>
        <item x="141"/>
        <item x="143"/>
        <item x="72"/>
        <item x="100"/>
        <item x="98"/>
        <item x="189"/>
        <item x="269"/>
        <item x="6"/>
        <item x="63"/>
        <item x="79"/>
        <item x="138"/>
        <item x="60"/>
        <item x="64"/>
        <item x="43"/>
        <item x="125"/>
        <item x="122"/>
        <item x="99"/>
        <item x="1"/>
        <item x="10"/>
        <item x="56"/>
        <item x="75"/>
        <item x="159"/>
        <item x="106"/>
        <item x="23"/>
        <item x="91"/>
        <item x="150"/>
        <item x="133"/>
        <item x="115"/>
        <item x="137"/>
        <item x="28"/>
        <item x="34"/>
        <item x="15"/>
        <item x="52"/>
        <item x="59"/>
        <item x="58"/>
        <item x="69"/>
        <item x="89"/>
        <item x="126"/>
        <item x="112"/>
        <item x="129"/>
        <item x="151"/>
        <item x="132"/>
        <item x="185"/>
        <item x="153"/>
        <item x="149"/>
        <item x="28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5">
    <field x="8"/>
    <field x="6"/>
    <field x="43"/>
    <field x="1"/>
    <field x="17"/>
  </rowFields>
  <rowItems count="31">
    <i>
      <x v="15"/>
      <x v="6"/>
      <x v="235"/>
      <x v="269"/>
      <x v="236"/>
    </i>
    <i r="2">
      <x v="239"/>
      <x v="263"/>
      <x v="103"/>
    </i>
    <i r="2">
      <x v="240"/>
      <x v="287"/>
      <x v="101"/>
    </i>
    <i r="1">
      <x v="7"/>
      <x v="187"/>
      <x v="262"/>
      <x v="78"/>
    </i>
    <i r="2">
      <x v="188"/>
      <x v="264"/>
      <x v="200"/>
    </i>
    <i r="2">
      <x v="249"/>
      <x v="251"/>
      <x v="223"/>
    </i>
    <i>
      <x v="16"/>
      <x/>
      <x v="178"/>
      <x v="216"/>
      <x v="146"/>
    </i>
    <i r="2">
      <x v="179"/>
      <x v="218"/>
      <x v="199"/>
    </i>
    <i r="1">
      <x v="2"/>
      <x v="264"/>
      <x v="217"/>
      <x v="201"/>
    </i>
    <i r="2">
      <x v="283"/>
      <x v="276"/>
      <x v="196"/>
    </i>
    <i r="1">
      <x v="4"/>
      <x v="279"/>
      <x v="259"/>
      <x v="221"/>
    </i>
    <i r="1">
      <x v="6"/>
      <x v="282"/>
      <x v="288"/>
      <x v="160"/>
    </i>
    <i>
      <x v="17"/>
      <x/>
      <x v="33"/>
      <x v="284"/>
      <x v="28"/>
    </i>
    <i r="1">
      <x v="1"/>
      <x v="140"/>
      <x v="277"/>
      <x v="240"/>
    </i>
    <i r="1">
      <x v="2"/>
      <x v="54"/>
      <x v="273"/>
      <x v="224"/>
    </i>
    <i r="1">
      <x v="5"/>
      <x v="260"/>
      <x v="275"/>
      <x v="204"/>
    </i>
    <i r="1">
      <x v="6"/>
      <x v="49"/>
      <x v="278"/>
      <x v="239"/>
    </i>
    <i>
      <x v="18"/>
      <x/>
      <x v="46"/>
      <x v="290"/>
      <x v="209"/>
    </i>
    <i r="1">
      <x v="1"/>
      <x v="43"/>
      <x v="281"/>
      <x v="242"/>
    </i>
    <i r="2">
      <x v="73"/>
      <x v="271"/>
      <x v="169"/>
    </i>
    <i r="1">
      <x v="2"/>
      <x v="74"/>
      <x v="279"/>
      <x v="244"/>
    </i>
    <i r="1">
      <x v="6"/>
      <x v="58"/>
      <x v="283"/>
      <x v="245"/>
    </i>
    <i>
      <x v="19"/>
      <x v="1"/>
      <x v="47"/>
      <x v="209"/>
      <x v="246"/>
    </i>
    <i r="1">
      <x v="3"/>
      <x v="124"/>
      <x v="292"/>
      <x v="241"/>
    </i>
    <i r="1">
      <x v="5"/>
      <x v="78"/>
      <x v="240"/>
      <x v="207"/>
    </i>
    <i r="1">
      <x v="7"/>
      <x v="59"/>
      <x v="63"/>
      <x v="202"/>
    </i>
    <i r="1">
      <x v="8"/>
      <x v="163"/>
      <x v="242"/>
      <x v="237"/>
    </i>
    <i>
      <x v="27"/>
      <x v="7"/>
      <x v="105"/>
      <x v="164"/>
      <x v="178"/>
    </i>
    <i>
      <x v="30"/>
      <x v="3"/>
      <x v="63"/>
      <x v="203"/>
      <x v="144"/>
    </i>
    <i r="1">
      <x v="8"/>
      <x v="107"/>
      <x v="254"/>
      <x v="203"/>
    </i>
    <i t="grand">
      <x/>
    </i>
  </rowItems>
  <colItems count="1">
    <i/>
  </colItems>
  <pageFields count="2">
    <pageField fld="12" hier="-1"/>
    <pageField fld="11" hier="-1"/>
  </pageFields>
  <dataFields count="1">
    <dataField name="Sum of Office UFA (Net) (sf)" fld="24" baseField="0" baseItem="0" numFmtId="3"/>
  </dataFields>
  <formats count="3">
    <format dxfId="122">
      <pivotArea outline="0" collapsedLevelsAreSubtotals="1" fieldPosition="0"/>
    </format>
    <format dxfId="121">
      <pivotArea dataOnly="0" labelOnly="1" outline="0" fieldPosition="0">
        <references count="5">
          <reference field="1" count="1" selected="0">
            <x v="64"/>
          </reference>
          <reference field="6" count="1" selected="0">
            <x v="6"/>
          </reference>
          <reference field="8" count="1" selected="0">
            <x v="16"/>
          </reference>
          <reference field="17" count="1">
            <x v="34"/>
          </reference>
          <reference field="43" count="1" selected="0">
            <x v="50"/>
          </reference>
        </references>
      </pivotArea>
    </format>
    <format dxfId="120">
      <pivotArea dataOnly="0" labelOnly="1" outline="0" fieldPosition="0">
        <references count="5">
          <reference field="1" count="1" selected="0">
            <x v="213"/>
          </reference>
          <reference field="6" count="1" selected="0">
            <x v="7"/>
          </reference>
          <reference field="8" count="1" selected="0">
            <x v="17"/>
          </reference>
          <reference field="17" count="1">
            <x v="48"/>
          </reference>
          <reference field="43" count="1" selected="0">
            <x v="15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9C54EF-668A-426A-95AD-B96C0782D0D2}" name="PivotTable2" cacheId="0" applyNumberFormats="0" applyBorderFormats="0" applyFontFormats="0" applyPatternFormats="0" applyAlignmentFormats="0" applyWidthHeightFormats="1" dataCaption="Values" updatedVersion="8" minRefreshableVersion="3" itemPrintTitles="1" createdVersion="4" indent="0" compact="0" compactData="0" multipleFieldFilters="0">
  <location ref="H4:N45" firstHeaderRow="1" firstDataRow="1" firstDataCol="6" rowPageCount="2" colPageCount="1"/>
  <pivotFields count="48">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3">
        <item x="115"/>
        <item x="48"/>
        <item x="126"/>
        <item x="72"/>
        <item x="123"/>
        <item x="52"/>
        <item x="20"/>
        <item x="106"/>
        <item x="76"/>
        <item x="18"/>
        <item x="35"/>
        <item x="25"/>
        <item x="67"/>
        <item x="39"/>
        <item x="81"/>
        <item x="150"/>
        <item x="31"/>
        <item x="73"/>
        <item x="99"/>
        <item x="62"/>
        <item x="98"/>
        <item x="94"/>
        <item x="254"/>
        <item x="32"/>
        <item x="16"/>
        <item x="53"/>
        <item x="33"/>
        <item x="289"/>
        <item x="290"/>
        <item x="60"/>
        <item x="30"/>
        <item x="192"/>
        <item x="206"/>
        <item x="255"/>
        <item x="201"/>
        <item x="6"/>
        <item x="101"/>
        <item x="79"/>
        <item x="70"/>
        <item x="8"/>
        <item x="40"/>
        <item x="10"/>
        <item x="27"/>
        <item x="85"/>
        <item x="204"/>
        <item x="110"/>
        <item x="276"/>
        <item x="87"/>
        <item x="226"/>
        <item x="227"/>
        <item x="69"/>
        <item x="75"/>
        <item x="263"/>
        <item x="260"/>
        <item x="9"/>
        <item x="284"/>
        <item x="283"/>
        <item x="207"/>
        <item x="26"/>
        <item x="286"/>
        <item x="15"/>
        <item x="37"/>
        <item x="3"/>
        <item x="181"/>
        <item x="169"/>
        <item x="238"/>
        <item x="188"/>
        <item x="168"/>
        <item x="140"/>
        <item x="278"/>
        <item x="233"/>
        <item x="265"/>
        <item x="191"/>
        <item x="50"/>
        <item x="38"/>
        <item x="200"/>
        <item x="71"/>
        <item x="91"/>
        <item x="102"/>
        <item x="228"/>
        <item x="229"/>
        <item x="253"/>
        <item x="223"/>
        <item x="88"/>
        <item x="44"/>
        <item x="23"/>
        <item x="1"/>
        <item x="7"/>
        <item x="13"/>
        <item x="117"/>
        <item x="108"/>
        <item x="202"/>
        <item x="104"/>
        <item x="97"/>
        <item x="231"/>
        <item x="267"/>
        <item x="268"/>
        <item x="209"/>
        <item x="167"/>
        <item x="216"/>
        <item x="210"/>
        <item x="211"/>
        <item x="252"/>
        <item x="232"/>
        <item x="234"/>
        <item x="269"/>
        <item x="270"/>
        <item x="271"/>
        <item x="272"/>
        <item x="273"/>
        <item x="274"/>
        <item x="262"/>
        <item x="105"/>
        <item x="55"/>
        <item x="14"/>
        <item x="24"/>
        <item x="64"/>
        <item x="68"/>
        <item x="82"/>
        <item x="57"/>
        <item x="2"/>
        <item x="29"/>
        <item x="212"/>
        <item x="213"/>
        <item x="214"/>
        <item x="243"/>
        <item x="219"/>
        <item x="130"/>
        <item x="279"/>
        <item x="80"/>
        <item x="12"/>
        <item x="258"/>
        <item x="220"/>
        <item x="21"/>
        <item x="107"/>
        <item x="241"/>
        <item x="4"/>
        <item x="89"/>
        <item x="203"/>
        <item x="51"/>
        <item x="19"/>
        <item x="96"/>
        <item x="74"/>
        <item x="288"/>
        <item x="5"/>
        <item x="59"/>
        <item x="66"/>
        <item x="95"/>
        <item x="259"/>
        <item x="0"/>
        <item x="17"/>
        <item x="28"/>
        <item x="34"/>
        <item x="92"/>
        <item x="42"/>
        <item x="83"/>
        <item x="22"/>
        <item x="222"/>
        <item x="264"/>
        <item x="36"/>
        <item x="65"/>
        <item x="236"/>
        <item x="237"/>
        <item x="215"/>
        <item x="195"/>
        <item x="54"/>
        <item x="43"/>
        <item x="93"/>
        <item x="46"/>
        <item x="291"/>
        <item x="205"/>
        <item x="77"/>
        <item x="11"/>
        <item x="208"/>
        <item x="103"/>
        <item x="86"/>
        <item x="49"/>
        <item x="90"/>
        <item x="45"/>
        <item x="100"/>
        <item x="58"/>
        <item x="47"/>
        <item x="183"/>
        <item x="61"/>
        <item x="280"/>
        <item x="177"/>
        <item x="78"/>
        <item x="128"/>
        <item x="63"/>
        <item x="114"/>
        <item x="56"/>
        <item x="251"/>
        <item x="275"/>
        <item x="261"/>
        <item x="245"/>
        <item x="246"/>
        <item x="247"/>
        <item x="248"/>
        <item x="249"/>
        <item x="41"/>
        <item x="84"/>
        <item x="217"/>
        <item x="218"/>
        <item x="198"/>
        <item x="113"/>
        <item x="112"/>
        <item x="131"/>
        <item x="116"/>
        <item x="119"/>
        <item x="174"/>
        <item x="179"/>
        <item x="122"/>
        <item x="118"/>
        <item x="178"/>
        <item x="138"/>
        <item x="230"/>
        <item x="152"/>
        <item x="154"/>
        <item x="156"/>
        <item x="186"/>
        <item x="120"/>
        <item x="125"/>
        <item x="282"/>
        <item x="287"/>
        <item x="136"/>
        <item x="240"/>
        <item x="239"/>
        <item x="235"/>
        <item x="137"/>
        <item x="124"/>
        <item x="121"/>
        <item x="127"/>
        <item x="193"/>
        <item x="180"/>
        <item x="109"/>
        <item x="224"/>
        <item x="176"/>
        <item x="225"/>
        <item x="266"/>
        <item x="256"/>
        <item x="182"/>
        <item x="257"/>
        <item x="184"/>
        <item x="244"/>
        <item x="281"/>
        <item x="129"/>
        <item x="151"/>
        <item x="111"/>
        <item x="285"/>
        <item x="139"/>
        <item x="134"/>
        <item x="142"/>
        <item x="141"/>
        <item x="242"/>
        <item x="197"/>
        <item x="250"/>
        <item x="133"/>
        <item x="159"/>
        <item x="160"/>
        <item x="155"/>
        <item x="221"/>
        <item x="149"/>
        <item x="143"/>
        <item x="145"/>
        <item x="146"/>
        <item x="144"/>
        <item x="185"/>
        <item x="190"/>
        <item x="277"/>
        <item x="148"/>
        <item x="158"/>
        <item x="171"/>
        <item x="194"/>
        <item x="165"/>
        <item x="189"/>
        <item x="163"/>
        <item x="153"/>
        <item x="162"/>
        <item x="164"/>
        <item x="170"/>
        <item x="292"/>
        <item x="166"/>
        <item x="196"/>
        <item x="172"/>
        <item x="161"/>
        <item x="132"/>
        <item x="135"/>
        <item x="147"/>
        <item x="157"/>
        <item x="175"/>
        <item x="173"/>
        <item x="199"/>
        <item x="18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6">
        <item x="22"/>
        <item x="25"/>
        <item x="10"/>
        <item x="8"/>
        <item x="7"/>
        <item x="15"/>
        <item x="21"/>
        <item x="18"/>
        <item x="3"/>
        <item x="2"/>
        <item x="4"/>
        <item x="24"/>
        <item x="20"/>
        <item x="13"/>
        <item x="16"/>
        <item x="0"/>
        <item x="5"/>
        <item x="14"/>
        <item x="23"/>
        <item x="12"/>
        <item x="6"/>
        <item x="17"/>
        <item x="11"/>
        <item x="9"/>
        <item x="19"/>
        <item x="1"/>
      </items>
      <extLst>
        <ext xmlns:x14="http://schemas.microsoft.com/office/spreadsheetml/2009/9/main" uri="{2946ED86-A175-432a-8AC1-64E0C546D7DE}">
          <x14:pivotField fillDownLabels="1"/>
        </ext>
      </extLst>
    </pivotField>
    <pivotField axis="axisRow" compact="0" outline="0" showAll="0" defaultSubtotal="0">
      <items count="11">
        <item x="9"/>
        <item x="10"/>
        <item x="6"/>
        <item x="0"/>
        <item x="3"/>
        <item x="4"/>
        <item x="2"/>
        <item x="5"/>
        <item x="8"/>
        <item x="7"/>
        <item x="1"/>
      </items>
      <extLst>
        <ext xmlns:x14="http://schemas.microsoft.com/office/spreadsheetml/2009/9/main" uri="{2946ED86-A175-432a-8AC1-64E0C546D7DE}">
          <x14:pivotField fillDownLabels="1"/>
        </ext>
      </extLst>
    </pivotField>
    <pivotField compact="0" outline="0" showAll="0" sortType="ascending"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ascending" defaultSubtotal="0">
      <items count="37">
        <item h="1" x="0"/>
        <item h="1" x="1"/>
        <item h="1" x="2"/>
        <item h="1" x="3"/>
        <item h="1" x="4"/>
        <item h="1" x="5"/>
        <item h="1" x="6"/>
        <item h="1" x="7"/>
        <item h="1" x="8"/>
        <item h="1" x="9"/>
        <item h="1" x="10"/>
        <item h="1" x="11"/>
        <item h="1" x="12"/>
        <item x="13"/>
        <item x="14"/>
        <item x="15"/>
        <item x="16"/>
        <item x="17"/>
        <item x="18"/>
        <item x="19"/>
        <item h="1" x="20"/>
        <item h="1" x="21"/>
        <item h="1" x="22"/>
        <item h="1" x="23"/>
        <item h="1" x="30"/>
        <item h="1" x="24"/>
        <item h="1" x="25"/>
        <item h="1" x="26"/>
        <item h="1" x="27"/>
        <item h="1" x="28"/>
        <item h="1" x="29"/>
        <item h="1" x="31"/>
        <item h="1" x="32"/>
        <item h="1" x="33"/>
        <item h="1" x="34"/>
        <item h="1" x="35"/>
        <item h="1" x="3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4">
        <item x="0"/>
        <item h="1" x="1"/>
        <item h="1" x="2"/>
        <item h="1" x="3"/>
      </items>
      <extLst>
        <ext xmlns:x14="http://schemas.microsoft.com/office/spreadsheetml/2009/9/main" uri="{2946ED86-A175-432a-8AC1-64E0C546D7DE}">
          <x14:pivotField fillDownLabels="1"/>
        </ext>
      </extLst>
    </pivotField>
    <pivotField axis="axisPage" compact="0" outline="0" multipleItemSelectionAllowed="1" showAll="0" defaultSubtotal="0">
      <items count="5">
        <item x="0"/>
        <item h="1" x="3"/>
        <item h="1" x="1"/>
        <item x="2"/>
        <item h="1"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41">
        <item x="111"/>
        <item x="101"/>
        <item x="138"/>
        <item x="131"/>
        <item x="6"/>
        <item x="62"/>
        <item x="35"/>
        <item x="18"/>
        <item x="123"/>
        <item x="10"/>
        <item x="12"/>
        <item x="129"/>
        <item x="106"/>
        <item x="128"/>
        <item x="42"/>
        <item x="126"/>
        <item x="120"/>
        <item x="82"/>
        <item x="118"/>
        <item x="78"/>
        <item x="85"/>
        <item x="97"/>
        <item x="124"/>
        <item x="53"/>
        <item x="34"/>
        <item x="73"/>
        <item x="133"/>
        <item x="44"/>
        <item x="43"/>
        <item x="92"/>
        <item x="5"/>
        <item x="22"/>
        <item x="57"/>
        <item x="36"/>
        <item x="80"/>
        <item x="32"/>
        <item x="69"/>
        <item x="54"/>
        <item x="17"/>
        <item x="52"/>
        <item x="21"/>
        <item x="95"/>
        <item x="61"/>
        <item x="47"/>
        <item x="136"/>
        <item x="15"/>
        <item x="27"/>
        <item x="28"/>
        <item x="39"/>
        <item x="83"/>
        <item x="9"/>
        <item x="45"/>
        <item x="70"/>
        <item x="119"/>
        <item x="16"/>
        <item x="7"/>
        <item x="8"/>
        <item x="38"/>
        <item x="115"/>
        <item x="104"/>
        <item x="96"/>
        <item x="63"/>
        <item x="33"/>
        <item x="3"/>
        <item x="55"/>
        <item x="56"/>
        <item x="30"/>
        <item x="49"/>
        <item x="46"/>
        <item x="14"/>
        <item x="48"/>
        <item x="59"/>
        <item x="94"/>
        <item x="65"/>
        <item x="74"/>
        <item x="31"/>
        <item x="99"/>
        <item x="68"/>
        <item x="37"/>
        <item x="25"/>
        <item x="50"/>
        <item x="79"/>
        <item x="75"/>
        <item x="108"/>
        <item x="40"/>
        <item x="2"/>
        <item x="71"/>
        <item x="84"/>
        <item x="88"/>
        <item x="26"/>
        <item x="29"/>
        <item x="112"/>
        <item x="139"/>
        <item x="89"/>
        <item x="1"/>
        <item x="19"/>
        <item x="107"/>
        <item x="20"/>
        <item x="132"/>
        <item x="125"/>
        <item x="58"/>
        <item x="0"/>
        <item x="134"/>
        <item x="114"/>
        <item x="105"/>
        <item x="137"/>
        <item x="23"/>
        <item x="13"/>
        <item x="117"/>
        <item x="64"/>
        <item x="81"/>
        <item x="51"/>
        <item x="60"/>
        <item x="11"/>
        <item x="41"/>
        <item x="67"/>
        <item x="130"/>
        <item x="110"/>
        <item x="4"/>
        <item x="66"/>
        <item x="76"/>
        <item x="91"/>
        <item x="24"/>
        <item x="77"/>
        <item x="90"/>
        <item x="102"/>
        <item x="116"/>
        <item x="135"/>
        <item x="72"/>
        <item x="86"/>
        <item x="98"/>
        <item x="87"/>
        <item x="93"/>
        <item x="100"/>
        <item x="103"/>
        <item x="109"/>
        <item x="113"/>
        <item x="122"/>
        <item x="121"/>
        <item x="140"/>
        <item x="1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85">
        <item x="13"/>
        <item x="18"/>
        <item x="25"/>
        <item x="27"/>
        <item x="30"/>
        <item x="29"/>
        <item x="42"/>
        <item x="39"/>
        <item x="40"/>
        <item x="37"/>
        <item x="45"/>
        <item x="46"/>
        <item x="54"/>
        <item x="65"/>
        <item x="66"/>
        <item x="77"/>
        <item x="80"/>
        <item x="70"/>
        <item x="81"/>
        <item x="82"/>
        <item x="90"/>
        <item x="86"/>
        <item x="103"/>
        <item x="108"/>
        <item x="102"/>
        <item x="101"/>
        <item x="94"/>
        <item x="104"/>
        <item x="93"/>
        <item x="110"/>
        <item x="113"/>
        <item x="119"/>
        <item x="116"/>
        <item x="157"/>
        <item x="120"/>
        <item x="140"/>
        <item x="107"/>
        <item x="179"/>
        <item x="145"/>
        <item x="136"/>
        <item x="135"/>
        <item x="147"/>
        <item x="146"/>
        <item x="162"/>
        <item x="173"/>
        <item x="164"/>
        <item x="169"/>
        <item x="170"/>
        <item x="186"/>
        <item x="160"/>
        <item x="165"/>
        <item x="235"/>
        <item x="236"/>
        <item x="154"/>
        <item x="161"/>
        <item x="260"/>
        <item x="163"/>
        <item x="227"/>
        <item x="168"/>
        <item x="177"/>
        <item x="244"/>
        <item x="194"/>
        <item x="217"/>
        <item x="193"/>
        <item x="195"/>
        <item x="198"/>
        <item x="196"/>
        <item x="197"/>
        <item x="199"/>
        <item x="200"/>
        <item x="201"/>
        <item x="202"/>
        <item x="203"/>
        <item x="167"/>
        <item x="166"/>
        <item x="215"/>
        <item x="218"/>
        <item x="238"/>
        <item x="178"/>
        <item x="240"/>
        <item x="239"/>
        <item x="242"/>
        <item x="241"/>
        <item x="243"/>
        <item x="230"/>
        <item x="266"/>
        <item x="225"/>
        <item x="214"/>
        <item x="231"/>
        <item x="208"/>
        <item x="233"/>
        <item x="207"/>
        <item x="232"/>
        <item x="259"/>
        <item x="205"/>
        <item x="204"/>
        <item x="209"/>
        <item x="226"/>
        <item x="206"/>
        <item x="228"/>
        <item x="222"/>
        <item x="223"/>
        <item x="191"/>
        <item x="220"/>
        <item x="221"/>
        <item x="190"/>
        <item x="187"/>
        <item x="192"/>
        <item x="188"/>
        <item x="210"/>
        <item x="213"/>
        <item x="212"/>
        <item x="211"/>
        <item x="253"/>
        <item x="255"/>
        <item x="256"/>
        <item x="247"/>
        <item x="245"/>
        <item x="258"/>
        <item x="251"/>
        <item x="257"/>
        <item x="252"/>
        <item x="250"/>
        <item x="249"/>
        <item x="183"/>
        <item x="248"/>
        <item x="254"/>
        <item x="268"/>
        <item x="261"/>
        <item x="237"/>
        <item x="262"/>
        <item x="264"/>
        <item x="263"/>
        <item x="265"/>
        <item x="246"/>
        <item x="267"/>
        <item x="270"/>
        <item x="271"/>
        <item x="273"/>
        <item x="272"/>
        <item x="158"/>
        <item x="276"/>
        <item x="275"/>
        <item x="280"/>
        <item x="278"/>
        <item x="283"/>
        <item x="281"/>
        <item x="282"/>
        <item x="175"/>
        <item x="118"/>
        <item x="174"/>
        <item x="134"/>
        <item x="224"/>
        <item x="182"/>
        <item x="176"/>
        <item x="111"/>
        <item x="184"/>
        <item x="274"/>
        <item x="279"/>
        <item x="234"/>
        <item x="229"/>
        <item x="219"/>
        <item x="172"/>
        <item x="180"/>
        <item x="277"/>
        <item x="155"/>
        <item x="156"/>
        <item x="216"/>
        <item x="171"/>
        <item x="181"/>
        <item x="97"/>
        <item x="14"/>
        <item x="19"/>
        <item x="20"/>
        <item x="16"/>
        <item x="35"/>
        <item x="33"/>
        <item x="61"/>
        <item x="148"/>
        <item x="152"/>
        <item x="71"/>
        <item x="105"/>
        <item x="87"/>
        <item x="36"/>
        <item x="47"/>
        <item x="83"/>
        <item x="117"/>
        <item x="139"/>
        <item x="142"/>
        <item x="21"/>
        <item x="57"/>
        <item x="76"/>
        <item x="0"/>
        <item x="12"/>
        <item x="88"/>
        <item x="124"/>
        <item x="62"/>
        <item x="73"/>
        <item x="2"/>
        <item x="26"/>
        <item x="41"/>
        <item x="51"/>
        <item x="109"/>
        <item x="114"/>
        <item x="121"/>
        <item x="128"/>
        <item x="5"/>
        <item x="4"/>
        <item x="3"/>
        <item x="7"/>
        <item x="8"/>
        <item x="9"/>
        <item x="11"/>
        <item x="17"/>
        <item x="32"/>
        <item x="31"/>
        <item x="22"/>
        <item x="24"/>
        <item x="44"/>
        <item x="49"/>
        <item x="48"/>
        <item x="55"/>
        <item x="38"/>
        <item x="53"/>
        <item x="67"/>
        <item x="74"/>
        <item x="78"/>
        <item x="84"/>
        <item x="68"/>
        <item x="85"/>
        <item x="92"/>
        <item x="95"/>
        <item x="96"/>
        <item x="123"/>
        <item x="127"/>
        <item x="144"/>
        <item x="50"/>
        <item x="130"/>
        <item x="131"/>
        <item x="141"/>
        <item x="143"/>
        <item x="72"/>
        <item x="100"/>
        <item x="98"/>
        <item x="189"/>
        <item x="269"/>
        <item x="6"/>
        <item x="63"/>
        <item x="79"/>
        <item x="138"/>
        <item x="60"/>
        <item x="64"/>
        <item x="43"/>
        <item x="125"/>
        <item x="122"/>
        <item x="99"/>
        <item x="1"/>
        <item x="10"/>
        <item x="56"/>
        <item x="75"/>
        <item x="159"/>
        <item x="106"/>
        <item x="23"/>
        <item x="91"/>
        <item x="150"/>
        <item x="133"/>
        <item x="115"/>
        <item x="137"/>
        <item x="28"/>
        <item x="34"/>
        <item x="15"/>
        <item x="52"/>
        <item x="59"/>
        <item x="58"/>
        <item x="69"/>
        <item x="89"/>
        <item x="126"/>
        <item x="112"/>
        <item x="129"/>
        <item x="151"/>
        <item x="132"/>
        <item x="185"/>
        <item x="153"/>
        <item x="149"/>
        <item x="28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6">
    <field x="8"/>
    <field x="43"/>
    <field x="1"/>
    <field x="38"/>
    <field x="5"/>
    <field x="4"/>
  </rowFields>
  <rowItems count="41">
    <i>
      <x v="13"/>
      <x v="186"/>
      <x v="230"/>
      <x v="71"/>
      <x v="5"/>
      <x v="4"/>
    </i>
    <i r="1">
      <x v="203"/>
      <x v="212"/>
      <x v="123"/>
      <x v="6"/>
      <x v="9"/>
    </i>
    <i>
      <x v="14"/>
      <x v="195"/>
      <x v="187"/>
      <x v="101"/>
      <x v="3"/>
      <x v="15"/>
    </i>
    <i r="1">
      <x v="204"/>
      <x v="221"/>
      <x v="23"/>
      <x v="6"/>
      <x v="9"/>
    </i>
    <i r="1">
      <x v="205"/>
      <x v="285"/>
      <x v="4"/>
      <x v="6"/>
      <x v="9"/>
    </i>
    <i r="1">
      <x v="233"/>
      <x v="231"/>
      <x v="4"/>
      <x v="4"/>
      <x v="10"/>
    </i>
    <i r="1">
      <x v="234"/>
      <x v="206"/>
      <x v="65"/>
      <x v="4"/>
      <x v="7"/>
    </i>
    <i r="1">
      <x v="237"/>
      <x v="250"/>
      <x v="129"/>
      <x v="4"/>
      <x v="10"/>
    </i>
    <i r="1">
      <x v="238"/>
      <x v="286"/>
      <x v="131"/>
      <x v="4"/>
      <x v="10"/>
    </i>
    <i r="1">
      <x v="254"/>
      <x v="2"/>
      <x v="71"/>
      <x v="6"/>
      <x v="21"/>
    </i>
    <i r="1">
      <x v="276"/>
      <x v="127"/>
      <x v="87"/>
      <x v="9"/>
      <x v="23"/>
    </i>
    <i r="1">
      <x v="278"/>
      <x v="256"/>
      <x v="20"/>
      <x v="9"/>
      <x v="23"/>
    </i>
    <i r="1">
      <x v="280"/>
      <x v="224"/>
      <x v="88"/>
      <x v="6"/>
      <x v="24"/>
    </i>
    <i>
      <x v="15"/>
      <x v="187"/>
      <x v="262"/>
      <x v="72"/>
      <x v="5"/>
      <x v="4"/>
    </i>
    <i r="1">
      <x v="188"/>
      <x v="264"/>
      <x v="71"/>
      <x v="5"/>
      <x v="4"/>
    </i>
    <i r="1">
      <x v="235"/>
      <x v="269"/>
      <x v="23"/>
      <x v="4"/>
      <x v="8"/>
    </i>
    <i r="1">
      <x v="239"/>
      <x v="263"/>
      <x v="60"/>
      <x v="4"/>
      <x v="7"/>
    </i>
    <i r="1">
      <x v="240"/>
      <x v="287"/>
      <x v="21"/>
      <x v="4"/>
      <x v="7"/>
    </i>
    <i r="1">
      <x v="249"/>
      <x v="251"/>
      <x v="132"/>
      <x v="5"/>
      <x v="16"/>
    </i>
    <i>
      <x v="16"/>
      <x v="178"/>
      <x v="216"/>
      <x v="32"/>
      <x v="2"/>
      <x v="3"/>
    </i>
    <i r="1">
      <x v="179"/>
      <x v="218"/>
      <x v="134"/>
      <x v="2"/>
      <x v="3"/>
    </i>
    <i r="1">
      <x v="264"/>
      <x v="217"/>
      <x v="101"/>
      <x v="8"/>
      <x v="22"/>
    </i>
    <i r="1">
      <x v="279"/>
      <x v="259"/>
      <x v="125"/>
      <x v="9"/>
      <x v="23"/>
    </i>
    <i r="1">
      <x v="282"/>
      <x v="288"/>
      <x v="59"/>
      <x v="4"/>
      <x v="10"/>
    </i>
    <i r="1">
      <x v="283"/>
      <x v="276"/>
      <x v="1"/>
      <x v="8"/>
      <x v="22"/>
    </i>
    <i>
      <x v="17"/>
      <x v="33"/>
      <x v="284"/>
      <x v="104"/>
      <x v="2"/>
      <x v="3"/>
    </i>
    <i r="1">
      <x v="49"/>
      <x v="278"/>
      <x v="83"/>
      <x v="4"/>
      <x v="8"/>
    </i>
    <i r="1">
      <x v="54"/>
      <x v="273"/>
      <x v="135"/>
      <x v="8"/>
      <x v="2"/>
    </i>
    <i r="1">
      <x v="140"/>
      <x v="277"/>
      <x v="12"/>
      <x/>
      <x v="19"/>
    </i>
    <i r="1">
      <x v="260"/>
      <x v="275"/>
      <x v="96"/>
      <x v="10"/>
      <x v="25"/>
    </i>
    <i>
      <x v="18"/>
      <x v="43"/>
      <x v="281"/>
      <x v="117"/>
      <x/>
      <x v="19"/>
    </i>
    <i r="1">
      <x v="46"/>
      <x v="290"/>
      <x v="32"/>
      <x v="2"/>
      <x v="3"/>
    </i>
    <i r="1">
      <x v="58"/>
      <x v="283"/>
      <x v="58"/>
      <x v="4"/>
      <x v="10"/>
    </i>
    <i r="1">
      <x v="73"/>
      <x v="271"/>
      <x v="103"/>
      <x/>
      <x v="19"/>
    </i>
    <i r="1">
      <x v="74"/>
      <x v="279"/>
      <x v="136"/>
      <x v="8"/>
      <x v="2"/>
    </i>
    <i>
      <x v="19"/>
      <x v="47"/>
      <x v="209"/>
      <x v="103"/>
      <x/>
      <x v="19"/>
    </i>
    <i r="1">
      <x v="59"/>
      <x v="63"/>
      <x v="134"/>
      <x v="5"/>
      <x v="5"/>
    </i>
    <i r="1">
      <x v="78"/>
      <x v="240"/>
      <x v="94"/>
      <x v="10"/>
      <x v="25"/>
    </i>
    <i r="1">
      <x v="124"/>
      <x v="292"/>
      <x v="71"/>
      <x v="3"/>
      <x v="14"/>
    </i>
    <i r="1">
      <x v="163"/>
      <x v="242"/>
      <x v="14"/>
      <x v="6"/>
      <x v="21"/>
    </i>
    <i t="grand">
      <x/>
    </i>
  </rowItems>
  <colItems count="1">
    <i/>
  </colItems>
  <pageFields count="2">
    <pageField fld="12" hier="-1"/>
    <pageField fld="11" hier="-1"/>
  </pageFields>
  <dataFields count="1">
    <dataField name="Sum of Office UFA (Net) (sf)" fld="24" baseField="0" baseItem="0" numFmtId="3"/>
  </dataFields>
  <formats count="1">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V294" totalsRowShown="0" headerRowDxfId="274" dataDxfId="273">
  <autoFilter ref="A1:AV294" xr:uid="{00000000-0009-0000-0100-000001000000}">
    <filterColumn colId="11">
      <filters>
        <filter val="A Office"/>
      </filters>
    </filterColumn>
    <filterColumn colId="12">
      <filters>
        <filter val="Valid"/>
      </filters>
    </filterColumn>
  </autoFilter>
  <sortState xmlns:xlrd2="http://schemas.microsoft.com/office/spreadsheetml/2017/richdata2" ref="A168:AV283">
    <sortCondition ref="I1:I294"/>
  </sortState>
  <tableColumns count="48">
    <tableColumn id="1" xr3:uid="{00000000-0010-0000-0000-000001000000}" name="Chinese Name" dataDxfId="272"/>
    <tableColumn id="2" xr3:uid="{00000000-0010-0000-0000-000002000000}" name="Building Name" dataDxfId="271"/>
    <tableColumn id="4" xr3:uid="{00000000-0010-0000-0000-000004000000}" name="Street Name" dataDxfId="270"/>
    <tableColumn id="6" xr3:uid="{00000000-0010-0000-0000-000006000000}" name="Lot No." dataDxfId="269"/>
    <tableColumn id="11" xr3:uid="{00000000-0010-0000-0000-00000B000000}" name="CBRE sub-markets" dataDxfId="268"/>
    <tableColumn id="9" xr3:uid="{00000000-0010-0000-0000-000009000000}" name="CBRE districts" dataDxfId="267">
      <calculatedColumnFormula>VLOOKUP(Table1[[#This Row],[CBRE sub-markets]],Reference!$A$2:$B$31,2,FALSE)</calculatedColumnFormula>
    </tableColumn>
    <tableColumn id="8" xr3:uid="{50E11172-E4DD-46E1-98D2-32DB6329240D}" name="District Order" dataDxfId="266">
      <calculatedColumnFormula>VLOOKUP(Table1[[#This Row],[CBRE sub-markets]],Reference!$A$2:$D$31,3,FALSE)</calculatedColumnFormula>
    </tableColumn>
    <tableColumn id="10" xr3:uid="{00000000-0010-0000-0000-00000A000000}" name="Area" dataDxfId="265">
      <calculatedColumnFormula>VLOOKUP(Table1[[#This Row],[CBRE sub-markets]],Reference!$A$2:$D$31,4,FALSE)</calculatedColumnFormula>
    </tableColumn>
    <tableColumn id="12" xr3:uid="{00000000-0010-0000-0000-00000C000000}" name="Year" dataDxfId="264"/>
    <tableColumn id="13" xr3:uid="{00000000-0010-0000-0000-00000D000000}" name="Qtr" dataDxfId="263"/>
    <tableColumn id="14" xr3:uid="{00000000-0010-0000-0000-00000E000000}" name="CBRE EDC" dataDxfId="262">
      <calculatedColumnFormula>IF(ISNUMBER(Table1[[#This Row],[Qtr]]),CONCATENATE(Table1[[#This Row],[Year]]," Q",Table1[[#This Row],[Qtr]]),CONCATENATE(Table1[[#This Row],[Year]],Table1[[#This Row],[Qtr]]))</calculatedColumnFormula>
    </tableColumn>
    <tableColumn id="15" xr3:uid="{00000000-0010-0000-0000-00000F000000}" name="Type" dataDxfId="261"/>
    <tableColumn id="16" xr3:uid="{00000000-0010-0000-0000-000010000000}" name="Status" dataDxfId="260"/>
    <tableColumn id="17" xr3:uid="{00000000-0010-0000-0000-000011000000}" name="No. of Blocks" dataDxfId="259"/>
    <tableColumn id="18" xr3:uid="{00000000-0010-0000-0000-000012000000}" name="No. of Storeys" dataDxfId="258"/>
    <tableColumn id="19" xr3:uid="{00000000-0010-0000-0000-000013000000}" name="No. of Storeys for Office" dataDxfId="257"/>
    <tableColumn id="20" xr3:uid="{00000000-0010-0000-0000-000014000000}" name="Floor Plate (GFA) (sf)" dataDxfId="256" dataCellStyle="Comma"/>
    <tableColumn id="21" xr3:uid="{00000000-0010-0000-0000-000015000000}" name="Floor Plate (NFA) (sf)" dataDxfId="255" dataCellStyle="Comma"/>
    <tableColumn id="22" xr3:uid="{00000000-0010-0000-0000-000016000000}" name="Floor Plate &gt; 15,000 sf (NFA)" dataDxfId="254">
      <calculatedColumnFormula>IF(AND(ISNUMBER(R2),R2&gt;=15000),"Yes",IF(R2="","Unknown","No"))</calculatedColumnFormula>
    </tableColumn>
    <tableColumn id="3" xr3:uid="{00000000-0010-0000-0000-000003000000}" name="Total GFA (sm)" dataDxfId="253" dataCellStyle="Comma"/>
    <tableColumn id="5" xr3:uid="{00000000-0010-0000-0000-000005000000}" name="Total GFA (sf)" dataDxfId="252" dataCellStyle="Comma"/>
    <tableColumn id="23" xr3:uid="{00000000-0010-0000-0000-000017000000}" name="Office GFA (sm)" dataDxfId="251" dataCellStyle="Comma"/>
    <tableColumn id="24" xr3:uid="{00000000-0010-0000-0000-000018000000}" name="Office GFA (sf)" dataDxfId="250" dataCellStyle="Comma"/>
    <tableColumn id="25" xr3:uid="{00000000-0010-0000-0000-000019000000}" name="Office UFA (Net) (sm)" dataDxfId="249" dataCellStyle="Comma"/>
    <tableColumn id="26" xr3:uid="{00000000-0010-0000-0000-00001A000000}" name="Office UFA (Net) (sf)" dataDxfId="248" dataCellStyle="Comma">
      <calculatedColumnFormula>W2*0.75</calculatedColumnFormula>
    </tableColumn>
    <tableColumn id="27" xr3:uid="{00000000-0010-0000-0000-00001B000000}" name="Pre-leased space (Usable FA) (sf)" dataDxfId="247" dataCellStyle="Comma"/>
    <tableColumn id="28" xr3:uid="{00000000-0010-0000-0000-00001C000000}" name="Pre-sold (Usable FA) (sf)" dataDxfId="246" dataCellStyle="Comma"/>
    <tableColumn id="29" xr3:uid="{00000000-0010-0000-0000-00001D000000}" name="Self-use space (Usable FA) (sf)" dataDxfId="245" dataCellStyle="Comma"/>
    <tableColumn id="30" xr3:uid="{00000000-0010-0000-0000-00001E000000}" name="Space available for lease (Usable FA) (sf)" dataDxfId="244" dataCellStyle="Comma">
      <calculatedColumnFormula>IF(AO2="For Lease",Y2-Z2-AA2-AB2,0)</calculatedColumnFormula>
    </tableColumn>
    <tableColumn id="31" xr3:uid="{00000000-0010-0000-0000-00001F000000}" name="Space available for sale (Usable FA) (sf)" dataDxfId="243" dataCellStyle="Comma">
      <calculatedColumnFormula>IF(Table1[[#This Row],[For Sale or For Lease?]]="For Sale",Table1[[#This Row],[Office UFA (Net) (sf)]]-Table1[[#This Row],[Pre-leased space (Usable FA) (sf)]]-Table1[[#This Row],[Pre-sold (Usable FA) (sf)]]-Table1[[#This Row],[Self-use space (Usable FA) (sf)]],0)</calculatedColumnFormula>
    </tableColumn>
    <tableColumn id="32" xr3:uid="{00000000-0010-0000-0000-000020000000}" name="Space available uncertain of use (Usable FA) (sf)" dataDxfId="242" dataCellStyle="Comma">
      <calculatedColumnFormula>IF(Table1[[#This Row],[For Sale or For Lease?]]="Uncertain",Table1[[#This Row],[Office UFA (Net) (sf)]]-Table1[[#This Row],[Pre-leased space (Usable FA) (sf)]]-Table1[[#This Row],[Pre-sold (Usable FA) (sf)]]-Table1[[#This Row],[Self-use space (Usable FA) (sf)]],0)</calculatedColumnFormula>
    </tableColumn>
    <tableColumn id="7" xr3:uid="{005270AD-5BAC-4BCB-AE4B-3637074B86D5}" name="Pre-commitment  Rate (%)" dataDxfId="241" dataCellStyle="Comma">
      <calculatedColumnFormula>1-SUM(Table1[[#This Row],[Space available for lease (Usable FA) (sf)]:[Space available uncertain of use (Usable FA) (sf)]])/Table1[[#This Row],[Office UFA (Net) (sf)]]</calculatedColumnFormula>
    </tableColumn>
    <tableColumn id="33" xr3:uid="{00000000-0010-0000-0000-000021000000}" name="Building Type" dataDxfId="240"/>
    <tableColumn id="34" xr3:uid="{00000000-0010-0000-0000-000022000000}" name="BD Status" dataDxfId="239"/>
    <tableColumn id="35" xr3:uid="{00000000-0010-0000-0000-000023000000}" name="Source of Information" dataDxfId="238"/>
    <tableColumn id="36" xr3:uid="{00000000-0010-0000-0000-000024000000}" name="Date of Source" dataDxfId="237"/>
    <tableColumn id="37" xr3:uid="{00000000-0010-0000-0000-000025000000}" name="Date of Entry" dataDxfId="236"/>
    <tableColumn id="38" xr3:uid="{00000000-0010-0000-0000-000026000000}" name="Development" dataDxfId="235"/>
    <tableColumn id="39" xr3:uid="{00000000-0010-0000-0000-000027000000}" name="Developer" dataDxfId="234"/>
    <tableColumn id="40" xr3:uid="{00000000-0010-0000-0000-000028000000}" name="Private / Public Sector" dataDxfId="233"/>
    <tableColumn id="41" xr3:uid="{00000000-0010-0000-0000-000029000000}" name="For Sale or For Lease?" dataDxfId="232"/>
    <tableColumn id="42" xr3:uid="{00000000-0010-0000-0000-00002A000000}" name="Ownership Structure" dataDxfId="231"/>
    <tableColumn id="49" xr3:uid="{00000000-0010-0000-0000-000031000000}" name="Remarks" dataDxfId="230"/>
    <tableColumn id="50" xr3:uid="{00000000-0010-0000-0000-000032000000}" name="Item Code" dataDxfId="229"/>
    <tableColumn id="46" xr3:uid="{0691C4C1-ED7A-4C44-9B89-67610598FA93}" name="ProjectID" dataDxfId="228"/>
    <tableColumn id="43" xr3:uid="{78C7A4F2-5BC6-41FC-9AA1-2DF338CF54A1}" name="Lat" dataDxfId="227"/>
    <tableColumn id="44" xr3:uid="{7C9841DA-89D7-4064-AB2B-BB331C1F577F}" name="Long" dataDxfId="226"/>
    <tableColumn id="45" xr3:uid="{B7C3B9F4-625A-4AE1-9F74-E79DF929CBC0}" name="Geometry" dataDxfId="225"/>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D64CB6-72DD-4832-8D80-BB6C6285C826}" name="OfficeSupply" displayName="OfficeSupply" ref="A2:B31" totalsRowShown="0">
  <autoFilter ref="A2:B31" xr:uid="{415BDB78-2C20-471C-B7DD-8579A542FCD7}"/>
  <tableColumns count="2">
    <tableColumn id="1" xr3:uid="{E07A5D05-E25B-4B4D-B2AD-A8A459FE269E}" name="Year" dataDxfId="119"/>
    <tableColumn id="2" xr3:uid="{7EF89E5E-0AEB-4F9D-AEDA-62C278EA38E9}" name="Overall HK Supply" dataDxfId="11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yaulee.com/eng/businessDomain/be/beCompany.htm"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28hse.com/en/news/C109/18787/"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billion.hk/403castlepeakroad/cprmain.html" TargetMode="Externa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FFC000"/>
  </sheetPr>
  <dimension ref="A1:R42"/>
  <sheetViews>
    <sheetView zoomScale="55" zoomScaleNormal="55" workbookViewId="0">
      <selection activeCell="G27" sqref="G27"/>
    </sheetView>
  </sheetViews>
  <sheetFormatPr defaultRowHeight="14.5" x14ac:dyDescent="0.35"/>
  <cols>
    <col min="1" max="1" width="28.6328125" bestFit="1" customWidth="1"/>
    <col min="2" max="3" width="35.54296875" style="51" bestFit="1" customWidth="1"/>
    <col min="4" max="4" width="42.26953125" style="51" bestFit="1" customWidth="1"/>
    <col min="5" max="5" width="33" style="51" bestFit="1" customWidth="1"/>
    <col min="6" max="6" width="32.453125" style="51" bestFit="1" customWidth="1"/>
    <col min="7" max="7" width="37.453125" style="51" bestFit="1" customWidth="1"/>
    <col min="8" max="9" width="25.54296875" style="51" bestFit="1" customWidth="1"/>
    <col min="10" max="10" width="28" style="51" bestFit="1" customWidth="1"/>
    <col min="11" max="11" width="32.54296875" style="51" bestFit="1" customWidth="1"/>
    <col min="12" max="12" width="28.453125" style="51" bestFit="1" customWidth="1"/>
    <col min="13" max="13" width="36" style="51" bestFit="1" customWidth="1"/>
    <col min="14" max="14" width="12.54296875" style="51" customWidth="1"/>
    <col min="15" max="16" width="15.453125" style="51" customWidth="1"/>
    <col min="17" max="18" width="15.453125" customWidth="1"/>
  </cols>
  <sheetData>
    <row r="1" spans="1:18" x14ac:dyDescent="0.35">
      <c r="G1" s="69"/>
      <c r="H1" s="69"/>
      <c r="I1" s="69"/>
    </row>
    <row r="2" spans="1:18" x14ac:dyDescent="0.35">
      <c r="G2" s="69"/>
      <c r="H2" s="69"/>
      <c r="I2" s="69"/>
    </row>
    <row r="3" spans="1:18" x14ac:dyDescent="0.35">
      <c r="G3" s="69"/>
      <c r="H3" s="69"/>
      <c r="I3" s="69"/>
    </row>
    <row r="4" spans="1:18" x14ac:dyDescent="0.35">
      <c r="A4" s="7" t="s">
        <v>19</v>
      </c>
      <c r="B4" t="s">
        <v>20</v>
      </c>
      <c r="G4" s="69"/>
      <c r="H4" s="69"/>
      <c r="I4" s="69"/>
    </row>
    <row r="5" spans="1:18" x14ac:dyDescent="0.35">
      <c r="A5" s="7" t="s">
        <v>78</v>
      </c>
      <c r="B5" t="s">
        <v>83</v>
      </c>
      <c r="D5" s="72" t="s">
        <v>1483</v>
      </c>
      <c r="G5" s="69"/>
      <c r="H5" s="69"/>
      <c r="I5" s="69"/>
    </row>
    <row r="6" spans="1:18" x14ac:dyDescent="0.35">
      <c r="A6" s="7" t="s">
        <v>80</v>
      </c>
      <c r="B6" t="s">
        <v>656</v>
      </c>
      <c r="G6" s="69"/>
      <c r="H6" s="69"/>
      <c r="I6" s="69"/>
    </row>
    <row r="7" spans="1:18" x14ac:dyDescent="0.35">
      <c r="A7" s="7" t="s">
        <v>1088</v>
      </c>
      <c r="B7" t="s">
        <v>656</v>
      </c>
      <c r="G7" s="69"/>
      <c r="H7" s="69"/>
      <c r="I7" s="69"/>
    </row>
    <row r="8" spans="1:18" x14ac:dyDescent="0.35">
      <c r="A8" s="68"/>
      <c r="B8" s="69"/>
      <c r="C8" s="69"/>
      <c r="D8" s="69"/>
      <c r="E8" s="69"/>
      <c r="F8" s="69"/>
      <c r="G8" s="69"/>
      <c r="H8" s="69"/>
      <c r="I8" s="69"/>
    </row>
    <row r="9" spans="1:18" x14ac:dyDescent="0.35">
      <c r="B9" s="7" t="s">
        <v>847</v>
      </c>
      <c r="E9"/>
      <c r="F9"/>
      <c r="G9"/>
      <c r="H9"/>
      <c r="I9"/>
      <c r="J9"/>
      <c r="K9"/>
      <c r="L9"/>
      <c r="M9"/>
      <c r="N9"/>
      <c r="O9"/>
      <c r="P9"/>
    </row>
    <row r="10" spans="1:18" ht="29" x14ac:dyDescent="0.35">
      <c r="B10" s="51" t="s">
        <v>1484</v>
      </c>
      <c r="C10" s="51" t="s">
        <v>1485</v>
      </c>
      <c r="D10" s="51" t="s">
        <v>1486</v>
      </c>
      <c r="E10"/>
      <c r="F10"/>
      <c r="G10"/>
      <c r="H10"/>
      <c r="I10"/>
      <c r="J10"/>
      <c r="K10"/>
      <c r="L10"/>
      <c r="M10"/>
      <c r="N10"/>
      <c r="O10" s="74" t="s">
        <v>1520</v>
      </c>
      <c r="P10" s="74" t="s">
        <v>1520</v>
      </c>
      <c r="Q10" s="74" t="s">
        <v>1520</v>
      </c>
      <c r="R10" s="74" t="s">
        <v>1520</v>
      </c>
    </row>
    <row r="11" spans="1:18" ht="81.75" customHeight="1" x14ac:dyDescent="0.35">
      <c r="A11" s="70" t="s">
        <v>778</v>
      </c>
      <c r="E11"/>
      <c r="F11"/>
      <c r="G11"/>
      <c r="H11"/>
      <c r="I11"/>
      <c r="J11"/>
      <c r="K11"/>
      <c r="L11"/>
      <c r="M11"/>
      <c r="N11"/>
      <c r="O11" s="74" t="s">
        <v>1521</v>
      </c>
      <c r="P11" s="74" t="s">
        <v>1522</v>
      </c>
      <c r="Q11" s="74" t="s">
        <v>1523</v>
      </c>
      <c r="R11" s="74" t="s">
        <v>1524</v>
      </c>
    </row>
    <row r="12" spans="1:18" x14ac:dyDescent="0.35">
      <c r="A12" s="27" t="s">
        <v>657</v>
      </c>
      <c r="B12" s="71"/>
      <c r="C12" s="71"/>
      <c r="D12" s="71"/>
      <c r="E12"/>
      <c r="F12"/>
      <c r="G12"/>
      <c r="H12"/>
      <c r="I12"/>
      <c r="J12"/>
      <c r="K12"/>
      <c r="L12"/>
      <c r="M12"/>
      <c r="N12"/>
      <c r="O12" s="75">
        <f>E12+H12</f>
        <v>0</v>
      </c>
      <c r="P12" s="75">
        <f>F12+I12</f>
        <v>0</v>
      </c>
      <c r="Q12" s="75">
        <f>G12+J12</f>
        <v>0</v>
      </c>
      <c r="R12" s="75">
        <f>SUM(O12:Q12)</f>
        <v>0</v>
      </c>
    </row>
    <row r="13" spans="1:18" x14ac:dyDescent="0.35">
      <c r="B13"/>
      <c r="C13"/>
      <c r="D13"/>
      <c r="E13"/>
      <c r="F13"/>
      <c r="G13"/>
      <c r="H13"/>
      <c r="I13"/>
      <c r="J13"/>
      <c r="K13"/>
      <c r="L13"/>
      <c r="M13"/>
      <c r="N13"/>
      <c r="O13" s="75">
        <f t="shared" ref="O13:Q15" si="0">E13+H13</f>
        <v>0</v>
      </c>
      <c r="P13" s="75">
        <f t="shared" si="0"/>
        <v>0</v>
      </c>
      <c r="Q13" s="75">
        <f t="shared" si="0"/>
        <v>0</v>
      </c>
      <c r="R13" s="75">
        <f>SUM(O13:Q13)</f>
        <v>0</v>
      </c>
    </row>
    <row r="14" spans="1:18" x14ac:dyDescent="0.35">
      <c r="B14"/>
      <c r="C14"/>
      <c r="D14"/>
      <c r="E14"/>
      <c r="F14"/>
      <c r="G14"/>
      <c r="H14"/>
      <c r="I14"/>
      <c r="J14"/>
      <c r="K14"/>
      <c r="L14"/>
      <c r="M14"/>
      <c r="N14"/>
      <c r="O14" s="75">
        <f t="shared" si="0"/>
        <v>0</v>
      </c>
      <c r="P14" s="75">
        <f t="shared" si="0"/>
        <v>0</v>
      </c>
      <c r="Q14" s="75">
        <f t="shared" si="0"/>
        <v>0</v>
      </c>
      <c r="R14" s="75">
        <f>SUM(O14:Q14)</f>
        <v>0</v>
      </c>
    </row>
    <row r="15" spans="1:18" x14ac:dyDescent="0.35">
      <c r="B15"/>
      <c r="C15"/>
      <c r="D15"/>
      <c r="E15"/>
      <c r="F15"/>
      <c r="G15"/>
      <c r="H15"/>
      <c r="I15"/>
      <c r="J15"/>
      <c r="K15"/>
      <c r="L15"/>
      <c r="M15"/>
      <c r="N15"/>
      <c r="O15" s="75">
        <f t="shared" si="0"/>
        <v>0</v>
      </c>
      <c r="P15" s="75">
        <f t="shared" si="0"/>
        <v>0</v>
      </c>
      <c r="Q15" s="75">
        <f t="shared" si="0"/>
        <v>0</v>
      </c>
      <c r="R15" s="75">
        <f>SUM(O15:Q15)</f>
        <v>0</v>
      </c>
    </row>
    <row r="16" spans="1:18" x14ac:dyDescent="0.35">
      <c r="B16"/>
      <c r="C16"/>
      <c r="D16"/>
      <c r="E16"/>
      <c r="F16"/>
      <c r="G16"/>
      <c r="H16"/>
      <c r="I16"/>
      <c r="J16"/>
      <c r="K16"/>
      <c r="L16"/>
      <c r="M16"/>
      <c r="N16" s="71">
        <f>SUM(K16:M16)</f>
        <v>0</v>
      </c>
      <c r="O16" s="74"/>
      <c r="P16" s="74"/>
      <c r="Q16" s="73"/>
      <c r="R16" s="73"/>
    </row>
    <row r="17" spans="1:18" x14ac:dyDescent="0.35">
      <c r="B17"/>
      <c r="C17"/>
      <c r="D17"/>
      <c r="E17"/>
      <c r="F17"/>
      <c r="G17"/>
      <c r="H17"/>
      <c r="I17"/>
      <c r="J17"/>
      <c r="K17"/>
      <c r="L17"/>
      <c r="M17"/>
      <c r="O17" s="74"/>
      <c r="P17" s="74"/>
      <c r="Q17" s="73"/>
      <c r="R17" s="73"/>
    </row>
    <row r="18" spans="1:18" x14ac:dyDescent="0.35">
      <c r="B18"/>
      <c r="C18"/>
      <c r="D18"/>
      <c r="E18"/>
      <c r="F18"/>
      <c r="G18"/>
      <c r="H18"/>
      <c r="I18"/>
      <c r="J18"/>
      <c r="K18"/>
      <c r="L18"/>
      <c r="M18"/>
      <c r="O18" s="74"/>
      <c r="P18" s="74"/>
      <c r="Q18" s="73"/>
      <c r="R18" s="73"/>
    </row>
    <row r="19" spans="1:18" x14ac:dyDescent="0.35">
      <c r="B19"/>
      <c r="C19"/>
      <c r="D19"/>
      <c r="E19"/>
      <c r="F19"/>
      <c r="G19"/>
      <c r="H19"/>
      <c r="I19"/>
      <c r="J19"/>
      <c r="K19"/>
      <c r="L19"/>
      <c r="M19"/>
      <c r="O19" s="74"/>
      <c r="P19" s="74"/>
      <c r="Q19" s="73"/>
      <c r="R19" s="73"/>
    </row>
    <row r="20" spans="1:18" x14ac:dyDescent="0.35">
      <c r="O20" s="74"/>
      <c r="P20" s="74"/>
      <c r="Q20" s="73"/>
      <c r="R20" s="73"/>
    </row>
    <row r="21" spans="1:18" x14ac:dyDescent="0.35">
      <c r="O21" s="74"/>
      <c r="P21" s="74"/>
      <c r="Q21" s="73"/>
      <c r="R21" s="73"/>
    </row>
    <row r="22" spans="1:18" x14ac:dyDescent="0.35">
      <c r="O22" s="74"/>
      <c r="P22" s="74"/>
      <c r="Q22" s="73"/>
      <c r="R22" s="73"/>
    </row>
    <row r="23" spans="1:18" x14ac:dyDescent="0.35">
      <c r="O23" s="74"/>
      <c r="P23" s="74"/>
      <c r="Q23" s="73"/>
      <c r="R23" s="73"/>
    </row>
    <row r="24" spans="1:18" x14ac:dyDescent="0.35">
      <c r="O24" s="74"/>
      <c r="P24" s="74"/>
      <c r="Q24" s="73"/>
      <c r="R24" s="73"/>
    </row>
    <row r="25" spans="1:18" x14ac:dyDescent="0.35">
      <c r="O25" s="74"/>
      <c r="P25" s="74"/>
      <c r="Q25" s="73"/>
      <c r="R25" s="73"/>
    </row>
    <row r="26" spans="1:18" x14ac:dyDescent="0.35">
      <c r="A26" s="7" t="s">
        <v>19</v>
      </c>
      <c r="B26" t="s">
        <v>20</v>
      </c>
      <c r="G26" s="69"/>
      <c r="H26" s="69"/>
      <c r="I26" s="69"/>
      <c r="O26" s="74"/>
      <c r="P26" s="74"/>
      <c r="Q26" s="73"/>
      <c r="R26" s="73"/>
    </row>
    <row r="27" spans="1:18" x14ac:dyDescent="0.35">
      <c r="A27" s="7" t="s">
        <v>78</v>
      </c>
      <c r="B27" t="s">
        <v>83</v>
      </c>
      <c r="D27" s="72" t="s">
        <v>1483</v>
      </c>
      <c r="G27" s="69"/>
      <c r="H27" s="69"/>
      <c r="I27" s="69"/>
      <c r="O27" s="74"/>
      <c r="P27" s="74"/>
      <c r="Q27" s="73"/>
      <c r="R27" s="73"/>
    </row>
    <row r="28" spans="1:18" x14ac:dyDescent="0.35">
      <c r="A28" s="7" t="s">
        <v>80</v>
      </c>
      <c r="B28" t="s">
        <v>656</v>
      </c>
      <c r="G28" s="69"/>
      <c r="H28" s="69"/>
      <c r="I28" s="69"/>
      <c r="O28" s="74"/>
      <c r="P28" s="74"/>
      <c r="Q28" s="73"/>
      <c r="R28" s="73"/>
    </row>
    <row r="29" spans="1:18" x14ac:dyDescent="0.35">
      <c r="A29" s="7" t="s">
        <v>1088</v>
      </c>
      <c r="B29" t="s">
        <v>656</v>
      </c>
      <c r="G29" s="69"/>
      <c r="H29" s="69"/>
      <c r="I29" s="69"/>
      <c r="O29" s="74"/>
      <c r="P29" s="74"/>
      <c r="Q29" s="73"/>
      <c r="R29" s="73"/>
    </row>
    <row r="30" spans="1:18" x14ac:dyDescent="0.35">
      <c r="A30" s="68"/>
      <c r="B30" s="69"/>
      <c r="C30" s="69"/>
      <c r="D30" s="69"/>
      <c r="E30" s="69"/>
      <c r="F30" s="69"/>
      <c r="G30" s="69"/>
      <c r="H30" s="69"/>
      <c r="I30" s="69"/>
      <c r="O30" s="74"/>
      <c r="P30" s="74"/>
      <c r="Q30" s="73"/>
      <c r="R30" s="73"/>
    </row>
    <row r="31" spans="1:18" x14ac:dyDescent="0.35">
      <c r="B31" s="7" t="s">
        <v>847</v>
      </c>
      <c r="E31"/>
      <c r="F31"/>
      <c r="G31"/>
      <c r="H31"/>
      <c r="I31"/>
      <c r="J31"/>
      <c r="K31"/>
      <c r="L31"/>
      <c r="M31"/>
      <c r="N31"/>
      <c r="O31" s="73"/>
      <c r="P31" s="73"/>
      <c r="Q31" s="73"/>
      <c r="R31" s="73"/>
    </row>
    <row r="32" spans="1:18" ht="29" x14ac:dyDescent="0.35">
      <c r="B32" s="51" t="s">
        <v>1511</v>
      </c>
      <c r="C32" s="51" t="s">
        <v>1512</v>
      </c>
      <c r="D32" s="51" t="s">
        <v>1513</v>
      </c>
      <c r="E32"/>
      <c r="F32"/>
      <c r="G32"/>
      <c r="H32"/>
      <c r="I32"/>
      <c r="J32"/>
      <c r="K32"/>
      <c r="L32"/>
      <c r="M32"/>
      <c r="N32"/>
      <c r="O32" s="74" t="s">
        <v>1520</v>
      </c>
      <c r="P32" s="74" t="s">
        <v>1520</v>
      </c>
      <c r="Q32" s="74" t="s">
        <v>1520</v>
      </c>
      <c r="R32" s="74" t="s">
        <v>1520</v>
      </c>
    </row>
    <row r="33" spans="1:18" ht="81.75" customHeight="1" x14ac:dyDescent="0.35">
      <c r="A33" s="70" t="s">
        <v>778</v>
      </c>
      <c r="E33"/>
      <c r="F33"/>
      <c r="G33"/>
      <c r="H33"/>
      <c r="I33"/>
      <c r="J33"/>
      <c r="K33"/>
      <c r="L33"/>
      <c r="M33"/>
      <c r="N33" s="7"/>
      <c r="O33" s="74" t="s">
        <v>1525</v>
      </c>
      <c r="P33" s="74" t="s">
        <v>1526</v>
      </c>
      <c r="Q33" s="74" t="s">
        <v>1527</v>
      </c>
      <c r="R33" s="74" t="s">
        <v>1524</v>
      </c>
    </row>
    <row r="34" spans="1:18" x14ac:dyDescent="0.35">
      <c r="A34" s="2" t="s">
        <v>657</v>
      </c>
      <c r="B34" s="71"/>
      <c r="C34" s="71"/>
      <c r="D34" s="71"/>
      <c r="E34"/>
      <c r="F34"/>
      <c r="G34"/>
      <c r="H34"/>
      <c r="I34"/>
      <c r="J34"/>
      <c r="K34"/>
      <c r="L34"/>
      <c r="M34"/>
      <c r="N34"/>
      <c r="O34" s="75">
        <f t="shared" ref="O34:Q39" si="1">E34+H34</f>
        <v>0</v>
      </c>
      <c r="P34" s="75">
        <f t="shared" si="1"/>
        <v>0</v>
      </c>
      <c r="Q34" s="75">
        <f t="shared" si="1"/>
        <v>0</v>
      </c>
      <c r="R34" s="75">
        <f t="shared" ref="R34:R39" si="2">SUM(O34:Q34)</f>
        <v>0</v>
      </c>
    </row>
    <row r="35" spans="1:18" x14ac:dyDescent="0.35">
      <c r="B35"/>
      <c r="C35"/>
      <c r="D35"/>
      <c r="E35"/>
      <c r="F35"/>
      <c r="G35"/>
      <c r="H35"/>
      <c r="I35"/>
      <c r="J35"/>
      <c r="K35"/>
      <c r="L35"/>
      <c r="M35"/>
      <c r="N35"/>
      <c r="O35" s="75">
        <f t="shared" si="1"/>
        <v>0</v>
      </c>
      <c r="P35" s="75">
        <f t="shared" si="1"/>
        <v>0</v>
      </c>
      <c r="Q35" s="75">
        <f t="shared" si="1"/>
        <v>0</v>
      </c>
      <c r="R35" s="75">
        <f t="shared" si="2"/>
        <v>0</v>
      </c>
    </row>
    <row r="36" spans="1:18" x14ac:dyDescent="0.35">
      <c r="B36"/>
      <c r="C36"/>
      <c r="D36"/>
      <c r="E36"/>
      <c r="F36"/>
      <c r="G36"/>
      <c r="H36"/>
      <c r="I36"/>
      <c r="J36"/>
      <c r="K36"/>
      <c r="L36"/>
      <c r="M36"/>
      <c r="N36"/>
      <c r="O36" s="75">
        <f t="shared" si="1"/>
        <v>0</v>
      </c>
      <c r="P36" s="75">
        <f t="shared" si="1"/>
        <v>0</v>
      </c>
      <c r="Q36" s="75">
        <f t="shared" si="1"/>
        <v>0</v>
      </c>
      <c r="R36" s="75">
        <f t="shared" si="2"/>
        <v>0</v>
      </c>
    </row>
    <row r="37" spans="1:18" x14ac:dyDescent="0.35">
      <c r="B37"/>
      <c r="C37"/>
      <c r="D37"/>
      <c r="E37"/>
      <c r="F37"/>
      <c r="G37"/>
      <c r="H37"/>
      <c r="I37"/>
      <c r="J37"/>
      <c r="K37"/>
      <c r="L37"/>
      <c r="M37"/>
      <c r="N37"/>
      <c r="O37" s="75">
        <f t="shared" si="1"/>
        <v>0</v>
      </c>
      <c r="P37" s="75">
        <f t="shared" si="1"/>
        <v>0</v>
      </c>
      <c r="Q37" s="75">
        <f t="shared" si="1"/>
        <v>0</v>
      </c>
      <c r="R37" s="75">
        <f t="shared" si="2"/>
        <v>0</v>
      </c>
    </row>
    <row r="38" spans="1:18" x14ac:dyDescent="0.35">
      <c r="B38"/>
      <c r="C38"/>
      <c r="D38"/>
      <c r="E38"/>
      <c r="F38"/>
      <c r="G38"/>
      <c r="H38"/>
      <c r="I38"/>
      <c r="J38"/>
      <c r="K38"/>
      <c r="L38"/>
      <c r="M38"/>
      <c r="O38" s="75">
        <f t="shared" si="1"/>
        <v>0</v>
      </c>
      <c r="P38" s="75">
        <f t="shared" si="1"/>
        <v>0</v>
      </c>
      <c r="Q38" s="75">
        <f t="shared" si="1"/>
        <v>0</v>
      </c>
      <c r="R38" s="75">
        <f t="shared" si="2"/>
        <v>0</v>
      </c>
    </row>
    <row r="39" spans="1:18" x14ac:dyDescent="0.35">
      <c r="B39"/>
      <c r="C39"/>
      <c r="D39"/>
      <c r="E39"/>
      <c r="F39"/>
      <c r="G39"/>
      <c r="H39"/>
      <c r="I39"/>
      <c r="J39"/>
      <c r="K39"/>
      <c r="L39"/>
      <c r="M39"/>
      <c r="O39" s="75">
        <f t="shared" si="1"/>
        <v>0</v>
      </c>
      <c r="P39" s="75">
        <f t="shared" si="1"/>
        <v>0</v>
      </c>
      <c r="Q39" s="75">
        <f t="shared" si="1"/>
        <v>0</v>
      </c>
      <c r="R39" s="75">
        <f t="shared" si="2"/>
        <v>0</v>
      </c>
    </row>
    <row r="40" spans="1:18" x14ac:dyDescent="0.35">
      <c r="B40"/>
      <c r="C40"/>
      <c r="D40"/>
      <c r="E40"/>
      <c r="F40"/>
      <c r="G40"/>
      <c r="H40"/>
      <c r="I40"/>
      <c r="J40"/>
      <c r="K40"/>
      <c r="L40"/>
      <c r="M40"/>
      <c r="O40" s="74"/>
      <c r="P40" s="74"/>
      <c r="Q40" s="73"/>
      <c r="R40" s="73"/>
    </row>
    <row r="42" spans="1:18" x14ac:dyDescent="0.35">
      <c r="G42" s="7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rgb="FFFFFF00"/>
  </sheetPr>
  <dimension ref="A1:AC109"/>
  <sheetViews>
    <sheetView tabSelected="1" zoomScale="80" zoomScaleNormal="80" workbookViewId="0">
      <selection activeCell="G37" sqref="G37"/>
    </sheetView>
  </sheetViews>
  <sheetFormatPr defaultRowHeight="14.5" x14ac:dyDescent="0.35"/>
  <cols>
    <col min="1" max="1" width="25.08984375" bestFit="1" customWidth="1"/>
    <col min="2" max="2" width="17.1796875" bestFit="1" customWidth="1"/>
    <col min="3" max="3" width="24.26953125" bestFit="1" customWidth="1"/>
    <col min="4" max="4" width="25.1796875" bestFit="1" customWidth="1"/>
    <col min="5" max="5" width="15.7265625" bestFit="1" customWidth="1"/>
    <col min="6" max="6" width="17.08984375" bestFit="1" customWidth="1"/>
    <col min="7" max="7" width="18.90625" bestFit="1" customWidth="1"/>
    <col min="8" max="8" width="14" bestFit="1" customWidth="1"/>
    <col min="9" max="9" width="16.36328125" bestFit="1" customWidth="1"/>
    <col min="10" max="10" width="15.90625" bestFit="1" customWidth="1"/>
    <col min="11" max="11" width="11.1796875" bestFit="1" customWidth="1"/>
    <col min="12" max="13" width="12.453125" bestFit="1" customWidth="1"/>
    <col min="14" max="15" width="11.54296875" bestFit="1" customWidth="1"/>
    <col min="16" max="16" width="11.54296875" customWidth="1"/>
    <col min="17" max="17" width="26.26953125" bestFit="1" customWidth="1"/>
    <col min="18" max="18" width="7.1796875" customWidth="1"/>
    <col min="19" max="27" width="11.81640625" customWidth="1"/>
    <col min="28" max="28" width="11.54296875" bestFit="1" customWidth="1"/>
    <col min="29" max="29" width="17.453125" bestFit="1" customWidth="1"/>
    <col min="30" max="31" width="7.54296875" bestFit="1" customWidth="1"/>
    <col min="32" max="32" width="16.54296875" bestFit="1" customWidth="1"/>
    <col min="33" max="34" width="7.54296875" bestFit="1" customWidth="1"/>
    <col min="35" max="35" width="11.453125" bestFit="1" customWidth="1"/>
  </cols>
  <sheetData>
    <row r="1" spans="1:29" x14ac:dyDescent="0.35">
      <c r="A1" s="7" t="s">
        <v>19</v>
      </c>
      <c r="B1" t="s">
        <v>20</v>
      </c>
    </row>
    <row r="2" spans="1:29" x14ac:dyDescent="0.35">
      <c r="A2" s="7" t="s">
        <v>78</v>
      </c>
      <c r="B2" t="s">
        <v>794</v>
      </c>
      <c r="G2" s="68"/>
      <c r="H2" s="68"/>
      <c r="I2" s="68"/>
      <c r="J2" s="68"/>
      <c r="Q2" s="7" t="s">
        <v>19</v>
      </c>
      <c r="R2" t="s">
        <v>20</v>
      </c>
      <c r="W2" s="68"/>
      <c r="X2" s="68"/>
      <c r="Y2" s="68"/>
      <c r="Z2" s="68"/>
    </row>
    <row r="3" spans="1:29" x14ac:dyDescent="0.35">
      <c r="A3" s="7" t="s">
        <v>80</v>
      </c>
      <c r="B3" t="s">
        <v>656</v>
      </c>
      <c r="G3" s="68"/>
      <c r="H3" s="68"/>
      <c r="I3" s="68"/>
      <c r="J3" s="68"/>
      <c r="Q3" s="7" t="s">
        <v>78</v>
      </c>
      <c r="R3" t="s">
        <v>794</v>
      </c>
      <c r="W3" s="68"/>
      <c r="X3" s="68"/>
      <c r="Y3" s="68"/>
      <c r="Z3" s="68"/>
    </row>
    <row r="4" spans="1:29" x14ac:dyDescent="0.35">
      <c r="A4" s="7" t="s">
        <v>1088</v>
      </c>
      <c r="B4" t="s">
        <v>656</v>
      </c>
      <c r="G4" s="68"/>
      <c r="H4" s="68"/>
      <c r="I4" s="68"/>
      <c r="J4" s="68"/>
      <c r="Q4" s="7" t="s">
        <v>80</v>
      </c>
      <c r="R4" t="s">
        <v>656</v>
      </c>
      <c r="W4" s="68"/>
      <c r="X4" s="68"/>
      <c r="Y4" s="68"/>
      <c r="Z4" s="68"/>
    </row>
    <row r="5" spans="1:29" x14ac:dyDescent="0.35">
      <c r="A5" s="7" t="s">
        <v>72</v>
      </c>
      <c r="B5" t="s">
        <v>656</v>
      </c>
      <c r="G5" s="68"/>
      <c r="H5" s="68"/>
      <c r="I5" s="68"/>
      <c r="J5" s="68"/>
      <c r="Q5" s="7" t="s">
        <v>1088</v>
      </c>
      <c r="R5" t="s">
        <v>656</v>
      </c>
      <c r="W5" s="68"/>
      <c r="X5" s="68"/>
      <c r="Y5" s="68"/>
      <c r="Z5" s="68"/>
    </row>
    <row r="6" spans="1:29" x14ac:dyDescent="0.35">
      <c r="A6" s="68"/>
      <c r="B6" s="68"/>
      <c r="C6" s="68"/>
      <c r="D6" s="68"/>
      <c r="E6" s="68"/>
      <c r="F6" s="68"/>
      <c r="G6" s="68"/>
      <c r="H6" s="68"/>
      <c r="I6" s="68"/>
      <c r="J6" s="68"/>
      <c r="Q6" s="68"/>
      <c r="R6" s="68"/>
      <c r="S6" s="68"/>
      <c r="T6" s="68"/>
      <c r="U6" s="68"/>
      <c r="V6" s="68"/>
      <c r="W6" s="68"/>
      <c r="X6" s="68"/>
      <c r="Y6" s="68"/>
      <c r="Z6" s="68"/>
    </row>
    <row r="7" spans="1:29" x14ac:dyDescent="0.35">
      <c r="A7" s="7" t="s">
        <v>1530</v>
      </c>
      <c r="B7" s="7" t="s">
        <v>847</v>
      </c>
      <c r="Q7" s="7" t="s">
        <v>1530</v>
      </c>
      <c r="S7" s="7" t="s">
        <v>1196</v>
      </c>
    </row>
    <row r="8" spans="1:29" x14ac:dyDescent="0.35">
      <c r="B8" t="s">
        <v>1</v>
      </c>
      <c r="C8" t="s">
        <v>1126</v>
      </c>
      <c r="D8" t="s">
        <v>1127</v>
      </c>
      <c r="E8" t="s">
        <v>7</v>
      </c>
      <c r="F8" t="s">
        <v>130</v>
      </c>
      <c r="G8" t="s">
        <v>2496</v>
      </c>
      <c r="H8" t="s">
        <v>14</v>
      </c>
      <c r="I8" t="s">
        <v>1128</v>
      </c>
      <c r="J8" t="s">
        <v>42</v>
      </c>
      <c r="K8" t="s">
        <v>657</v>
      </c>
      <c r="Q8" s="7" t="s">
        <v>1407</v>
      </c>
      <c r="R8" s="7" t="s">
        <v>24</v>
      </c>
      <c r="S8" t="s">
        <v>1</v>
      </c>
      <c r="T8" t="s">
        <v>1126</v>
      </c>
      <c r="U8" t="s">
        <v>1127</v>
      </c>
      <c r="V8" t="s">
        <v>7</v>
      </c>
      <c r="W8" t="s">
        <v>130</v>
      </c>
      <c r="X8" t="s">
        <v>8</v>
      </c>
      <c r="Y8" t="s">
        <v>14</v>
      </c>
      <c r="Z8" t="s">
        <v>1128</v>
      </c>
      <c r="AA8" t="s">
        <v>42</v>
      </c>
      <c r="AB8" t="s">
        <v>2496</v>
      </c>
      <c r="AC8" t="s">
        <v>657</v>
      </c>
    </row>
    <row r="9" spans="1:29" x14ac:dyDescent="0.35">
      <c r="A9" s="7" t="s">
        <v>778</v>
      </c>
      <c r="Q9">
        <v>2008</v>
      </c>
      <c r="R9">
        <v>1</v>
      </c>
      <c r="S9" s="59"/>
      <c r="T9" s="59"/>
      <c r="U9" s="59"/>
      <c r="V9" s="59">
        <v>1214462.56</v>
      </c>
      <c r="W9" s="59"/>
      <c r="X9" s="59"/>
      <c r="Y9" s="59"/>
      <c r="Z9" s="59"/>
      <c r="AA9" s="59"/>
      <c r="AB9" s="59">
        <v>714454.26</v>
      </c>
      <c r="AC9" s="59">
        <v>1928916.82</v>
      </c>
    </row>
    <row r="10" spans="1:29" x14ac:dyDescent="0.35">
      <c r="A10" s="2">
        <v>2022</v>
      </c>
      <c r="B10" s="59">
        <v>0</v>
      </c>
      <c r="C10" s="59">
        <v>0</v>
      </c>
      <c r="D10" s="59">
        <v>0</v>
      </c>
      <c r="E10" s="59">
        <v>718002</v>
      </c>
      <c r="F10" s="59">
        <v>291512.84999999998</v>
      </c>
      <c r="G10" s="59">
        <v>0</v>
      </c>
      <c r="H10" s="59">
        <v>1880197.875</v>
      </c>
      <c r="I10" s="59">
        <v>0</v>
      </c>
      <c r="J10" s="59">
        <v>1246999</v>
      </c>
      <c r="K10" s="59">
        <v>4136711.7250000001</v>
      </c>
      <c r="P10" s="59"/>
      <c r="R10">
        <v>2</v>
      </c>
      <c r="S10" s="59"/>
      <c r="T10" s="59"/>
      <c r="U10" s="59"/>
      <c r="V10" s="59"/>
      <c r="W10" s="59"/>
      <c r="X10" s="59"/>
      <c r="Y10" s="59"/>
      <c r="Z10" s="59"/>
      <c r="AA10" s="59">
        <v>431108.96399999998</v>
      </c>
      <c r="AB10" s="59"/>
      <c r="AC10" s="59">
        <v>431108.96399999998</v>
      </c>
    </row>
    <row r="11" spans="1:29" x14ac:dyDescent="0.35">
      <c r="A11" s="2">
        <v>2023</v>
      </c>
      <c r="B11" s="59">
        <v>0</v>
      </c>
      <c r="C11" s="59">
        <v>0</v>
      </c>
      <c r="D11" s="59">
        <v>0</v>
      </c>
      <c r="E11" s="59">
        <v>0</v>
      </c>
      <c r="F11" s="59">
        <v>0</v>
      </c>
      <c r="G11" s="59">
        <v>0</v>
      </c>
      <c r="H11" s="59">
        <v>346226.65306408459</v>
      </c>
      <c r="I11" s="59">
        <v>1265376.75</v>
      </c>
      <c r="J11" s="59">
        <v>0</v>
      </c>
      <c r="K11" s="59">
        <v>1611603.4030640847</v>
      </c>
      <c r="M11" s="88"/>
      <c r="P11" s="59"/>
      <c r="R11">
        <v>3</v>
      </c>
      <c r="S11" s="59"/>
      <c r="T11" s="59"/>
      <c r="U11" s="59"/>
      <c r="V11" s="59"/>
      <c r="W11" s="59"/>
      <c r="X11" s="59"/>
      <c r="Y11" s="59">
        <v>2028181.6140000001</v>
      </c>
      <c r="Z11" s="59"/>
      <c r="AA11" s="59"/>
      <c r="AB11" s="59"/>
      <c r="AC11" s="59">
        <v>2028181.6140000001</v>
      </c>
    </row>
    <row r="12" spans="1:29" x14ac:dyDescent="0.35">
      <c r="A12" s="2">
        <v>2024</v>
      </c>
      <c r="B12" s="59">
        <v>752009.51</v>
      </c>
      <c r="C12" s="59">
        <v>0</v>
      </c>
      <c r="D12" s="59">
        <v>351511.44816749997</v>
      </c>
      <c r="E12" s="59">
        <v>0</v>
      </c>
      <c r="F12" s="59">
        <v>241267.41</v>
      </c>
      <c r="G12" s="59">
        <v>0</v>
      </c>
      <c r="H12" s="59">
        <v>211444.8</v>
      </c>
      <c r="I12" s="59">
        <v>0</v>
      </c>
      <c r="J12" s="59">
        <v>0</v>
      </c>
      <c r="K12" s="59">
        <v>1556233.1681674998</v>
      </c>
      <c r="P12" s="59"/>
      <c r="R12">
        <v>4</v>
      </c>
      <c r="S12" s="59"/>
      <c r="T12" s="59"/>
      <c r="U12" s="59"/>
      <c r="V12" s="59"/>
      <c r="W12" s="59"/>
      <c r="X12" s="59"/>
      <c r="Y12" s="59"/>
      <c r="Z12" s="59"/>
      <c r="AA12" s="59"/>
      <c r="AB12" s="59"/>
      <c r="AC12" s="59"/>
    </row>
    <row r="13" spans="1:29" x14ac:dyDescent="0.35">
      <c r="A13" s="2">
        <v>2025</v>
      </c>
      <c r="B13" s="59">
        <v>78036.800000000003</v>
      </c>
      <c r="C13" s="59">
        <v>122128.8</v>
      </c>
      <c r="D13" s="59">
        <v>466387.68</v>
      </c>
      <c r="E13" s="59">
        <v>0</v>
      </c>
      <c r="F13" s="59">
        <v>0</v>
      </c>
      <c r="G13" s="59">
        <v>1921374</v>
      </c>
      <c r="H13" s="59">
        <v>328053.53308000002</v>
      </c>
      <c r="I13" s="59">
        <v>0</v>
      </c>
      <c r="J13" s="59">
        <v>0</v>
      </c>
      <c r="K13" s="59">
        <v>2915980.8130800002</v>
      </c>
      <c r="P13" s="59"/>
      <c r="Q13">
        <v>2009</v>
      </c>
      <c r="R13">
        <v>1</v>
      </c>
      <c r="S13" s="59"/>
      <c r="T13" s="59"/>
      <c r="U13" s="59"/>
      <c r="V13" s="59"/>
      <c r="W13" s="59"/>
      <c r="X13" s="59"/>
      <c r="Y13" s="59"/>
      <c r="Z13" s="59">
        <v>165456.67319999999</v>
      </c>
      <c r="AA13" s="59"/>
      <c r="AB13" s="59">
        <v>607129.38</v>
      </c>
      <c r="AC13" s="59">
        <v>772586.05319999997</v>
      </c>
    </row>
    <row r="14" spans="1:29" x14ac:dyDescent="0.35">
      <c r="A14" s="2">
        <v>2026</v>
      </c>
      <c r="B14" s="59">
        <v>324000</v>
      </c>
      <c r="C14" s="59">
        <v>477416.54139750003</v>
      </c>
      <c r="D14" s="59">
        <v>752964</v>
      </c>
      <c r="E14" s="59">
        <v>0</v>
      </c>
      <c r="F14" s="59">
        <v>0</v>
      </c>
      <c r="G14" s="59">
        <v>0</v>
      </c>
      <c r="H14" s="59">
        <v>178329.60000000001</v>
      </c>
      <c r="I14" s="59">
        <v>0</v>
      </c>
      <c r="J14" s="59">
        <v>0</v>
      </c>
      <c r="K14" s="59">
        <v>1732710.1413975002</v>
      </c>
      <c r="P14" s="59"/>
      <c r="R14">
        <v>2</v>
      </c>
      <c r="S14" s="59"/>
      <c r="T14" s="59"/>
      <c r="U14" s="59"/>
      <c r="V14" s="59"/>
      <c r="W14" s="59"/>
      <c r="X14" s="59"/>
      <c r="Y14" s="59"/>
      <c r="Z14" s="59"/>
      <c r="AA14" s="59"/>
      <c r="AB14" s="59"/>
      <c r="AC14" s="59"/>
    </row>
    <row r="15" spans="1:29" x14ac:dyDescent="0.35">
      <c r="A15" s="2">
        <v>2027</v>
      </c>
      <c r="B15" s="59">
        <v>0</v>
      </c>
      <c r="C15" s="59">
        <v>135224.72292000003</v>
      </c>
      <c r="D15" s="59">
        <v>0</v>
      </c>
      <c r="E15" s="59">
        <v>105000</v>
      </c>
      <c r="F15" s="59">
        <v>0</v>
      </c>
      <c r="G15" s="59">
        <v>504033.07237499999</v>
      </c>
      <c r="H15" s="59">
        <v>0</v>
      </c>
      <c r="I15" s="59">
        <v>379486.40735250001</v>
      </c>
      <c r="J15" s="59">
        <v>431964</v>
      </c>
      <c r="K15" s="59">
        <v>1555708.2026475002</v>
      </c>
      <c r="P15" s="59"/>
      <c r="R15">
        <v>3</v>
      </c>
      <c r="S15" s="59"/>
      <c r="T15" s="59"/>
      <c r="U15" s="59"/>
      <c r="V15" s="59"/>
      <c r="W15" s="59"/>
      <c r="X15" s="59"/>
      <c r="Y15" s="59">
        <v>565418.65119999996</v>
      </c>
      <c r="Z15" s="59"/>
      <c r="AA15" s="59"/>
      <c r="AB15" s="59"/>
      <c r="AC15" s="59">
        <v>565418.65119999996</v>
      </c>
    </row>
    <row r="16" spans="1:29" x14ac:dyDescent="0.35">
      <c r="A16" s="2">
        <v>2028</v>
      </c>
      <c r="B16" s="59">
        <v>0</v>
      </c>
      <c r="C16" s="59">
        <v>0</v>
      </c>
      <c r="D16" s="59">
        <v>0</v>
      </c>
      <c r="E16" s="59">
        <v>0</v>
      </c>
      <c r="F16" s="59">
        <v>0</v>
      </c>
      <c r="G16" s="59">
        <v>0</v>
      </c>
      <c r="H16" s="59">
        <v>0</v>
      </c>
      <c r="I16" s="59">
        <v>242856.91475324996</v>
      </c>
      <c r="J16" s="59">
        <v>0</v>
      </c>
      <c r="K16" s="59">
        <v>242856.91475324996</v>
      </c>
      <c r="M16" s="109"/>
      <c r="R16">
        <v>4</v>
      </c>
      <c r="S16" s="59"/>
      <c r="T16" s="59"/>
      <c r="U16" s="59"/>
      <c r="V16" s="59"/>
      <c r="W16" s="59"/>
      <c r="X16" s="59"/>
      <c r="Y16" s="59">
        <v>233710.1208</v>
      </c>
      <c r="Z16" s="59"/>
      <c r="AA16" s="59"/>
      <c r="AB16" s="59"/>
      <c r="AC16" s="59">
        <v>233710.1208</v>
      </c>
    </row>
    <row r="17" spans="1:29" x14ac:dyDescent="0.35">
      <c r="A17" s="2">
        <v>2029</v>
      </c>
      <c r="B17" s="59">
        <v>0</v>
      </c>
      <c r="C17" s="59">
        <v>0</v>
      </c>
      <c r="D17" s="59">
        <v>0</v>
      </c>
      <c r="E17" s="59">
        <v>0</v>
      </c>
      <c r="F17" s="59">
        <v>0</v>
      </c>
      <c r="G17" s="59">
        <v>0</v>
      </c>
      <c r="H17" s="59">
        <v>0</v>
      </c>
      <c r="I17" s="59">
        <v>880056.79245000007</v>
      </c>
      <c r="J17" s="59">
        <v>0</v>
      </c>
      <c r="K17" s="59">
        <v>880056.79245000007</v>
      </c>
      <c r="Q17">
        <v>2010</v>
      </c>
      <c r="R17">
        <v>1</v>
      </c>
      <c r="S17" s="59"/>
      <c r="T17" s="59"/>
      <c r="U17" s="59"/>
      <c r="V17" s="59"/>
      <c r="W17" s="59"/>
      <c r="X17" s="59"/>
      <c r="Y17" s="59">
        <v>291505.5</v>
      </c>
      <c r="Z17" s="59"/>
      <c r="AA17" s="59"/>
      <c r="AB17" s="59"/>
      <c r="AC17" s="59">
        <v>291505.5</v>
      </c>
    </row>
    <row r="18" spans="1:29" x14ac:dyDescent="0.35">
      <c r="A18" s="2">
        <v>2030</v>
      </c>
      <c r="B18" s="59">
        <v>0</v>
      </c>
      <c r="C18" s="59">
        <v>0</v>
      </c>
      <c r="D18" s="59">
        <v>0</v>
      </c>
      <c r="E18" s="59">
        <v>701149.5</v>
      </c>
      <c r="F18" s="59">
        <v>0</v>
      </c>
      <c r="G18" s="59">
        <v>0</v>
      </c>
      <c r="H18" s="59">
        <v>0</v>
      </c>
      <c r="I18" s="59">
        <v>0</v>
      </c>
      <c r="J18" s="59">
        <v>266957.96399999998</v>
      </c>
      <c r="K18" s="59">
        <v>968107.46399999992</v>
      </c>
      <c r="R18">
        <v>2</v>
      </c>
      <c r="S18" s="59"/>
      <c r="T18" s="59"/>
      <c r="U18" s="59"/>
      <c r="V18" s="59"/>
      <c r="W18" s="59"/>
      <c r="X18" s="59"/>
      <c r="Y18" s="59"/>
      <c r="Z18" s="59"/>
      <c r="AA18" s="59"/>
      <c r="AB18" s="59">
        <v>465089.04000000004</v>
      </c>
      <c r="AC18" s="59">
        <v>465089.04000000004</v>
      </c>
    </row>
    <row r="19" spans="1:29" x14ac:dyDescent="0.35">
      <c r="A19" s="2">
        <v>2032</v>
      </c>
      <c r="B19" s="59">
        <v>297000</v>
      </c>
      <c r="C19" s="59">
        <v>0</v>
      </c>
      <c r="D19" s="59">
        <v>0</v>
      </c>
      <c r="E19" s="59">
        <v>0</v>
      </c>
      <c r="F19" s="59">
        <v>0</v>
      </c>
      <c r="G19" s="59">
        <v>0</v>
      </c>
      <c r="H19" s="59">
        <v>0</v>
      </c>
      <c r="I19" s="59">
        <v>0</v>
      </c>
      <c r="J19" s="59">
        <v>0</v>
      </c>
      <c r="K19" s="59">
        <v>297000</v>
      </c>
      <c r="R19">
        <v>3</v>
      </c>
      <c r="S19" s="59"/>
      <c r="T19" s="59"/>
      <c r="U19" s="59"/>
      <c r="V19" s="59">
        <v>375913.75</v>
      </c>
      <c r="W19" s="59"/>
      <c r="X19" s="59"/>
      <c r="Y19" s="59"/>
      <c r="Z19" s="59"/>
      <c r="AA19" s="59"/>
      <c r="AB19" s="59"/>
      <c r="AC19" s="59">
        <v>375913.75</v>
      </c>
    </row>
    <row r="20" spans="1:29" x14ac:dyDescent="0.35">
      <c r="A20" s="2">
        <v>2033</v>
      </c>
      <c r="B20" s="59">
        <v>0</v>
      </c>
      <c r="C20" s="59">
        <v>0</v>
      </c>
      <c r="D20" s="59">
        <v>0</v>
      </c>
      <c r="E20" s="59">
        <v>0</v>
      </c>
      <c r="F20" s="59">
        <v>0</v>
      </c>
      <c r="G20" s="59">
        <v>0</v>
      </c>
      <c r="H20" s="59">
        <v>531682.84050000005</v>
      </c>
      <c r="I20" s="59">
        <v>0</v>
      </c>
      <c r="J20" s="59">
        <v>0</v>
      </c>
      <c r="K20" s="59">
        <v>531682.84050000005</v>
      </c>
      <c r="R20">
        <v>4</v>
      </c>
      <c r="S20" s="59"/>
      <c r="T20" s="59"/>
      <c r="U20" s="59"/>
      <c r="V20" s="59"/>
      <c r="W20" s="59"/>
      <c r="X20" s="59"/>
      <c r="Y20" s="59"/>
      <c r="Z20" s="59"/>
      <c r="AA20" s="59"/>
      <c r="AB20" s="59"/>
      <c r="AC20" s="59"/>
    </row>
    <row r="21" spans="1:29" x14ac:dyDescent="0.35">
      <c r="A21" s="2" t="s">
        <v>657</v>
      </c>
      <c r="B21" s="59">
        <v>1451046.31</v>
      </c>
      <c r="C21" s="59">
        <v>734770.06431749999</v>
      </c>
      <c r="D21" s="59">
        <v>1570863.1281675</v>
      </c>
      <c r="E21" s="59">
        <v>1524151.5</v>
      </c>
      <c r="F21" s="59">
        <v>532780.26</v>
      </c>
      <c r="G21" s="59">
        <v>2425407.072375</v>
      </c>
      <c r="H21" s="59">
        <v>3475935.3016440845</v>
      </c>
      <c r="I21" s="59">
        <v>2767776.86455575</v>
      </c>
      <c r="J21" s="59">
        <v>1945920.9639999999</v>
      </c>
      <c r="K21" s="59">
        <v>16428651.465059835</v>
      </c>
      <c r="Q21">
        <v>2011</v>
      </c>
      <c r="R21">
        <v>1</v>
      </c>
      <c r="S21" s="59">
        <v>122648.27</v>
      </c>
      <c r="T21" s="59"/>
      <c r="U21" s="59"/>
      <c r="V21" s="59"/>
      <c r="W21" s="59">
        <v>491537.15299999999</v>
      </c>
      <c r="X21" s="59"/>
      <c r="Y21" s="59">
        <v>314640</v>
      </c>
      <c r="Z21" s="59"/>
      <c r="AA21" s="59"/>
      <c r="AB21" s="59"/>
      <c r="AC21" s="59">
        <v>928825.42299999995</v>
      </c>
    </row>
    <row r="22" spans="1:29" x14ac:dyDescent="0.35">
      <c r="R22">
        <v>2</v>
      </c>
      <c r="S22" s="59"/>
      <c r="T22" s="59"/>
      <c r="U22" s="59"/>
      <c r="V22" s="59"/>
      <c r="W22" s="59"/>
      <c r="X22" s="59"/>
      <c r="Y22" s="59">
        <v>447279</v>
      </c>
      <c r="Z22" s="59"/>
      <c r="AA22" s="59"/>
      <c r="AB22" s="59"/>
      <c r="AC22" s="59">
        <v>447279</v>
      </c>
    </row>
    <row r="23" spans="1:29" x14ac:dyDescent="0.35">
      <c r="R23">
        <v>3</v>
      </c>
      <c r="S23" s="59"/>
      <c r="T23" s="59"/>
      <c r="U23" s="59"/>
      <c r="V23" s="59"/>
      <c r="W23" s="59"/>
      <c r="X23" s="59"/>
      <c r="Y23" s="59"/>
      <c r="Z23" s="59"/>
      <c r="AA23" s="59"/>
      <c r="AB23" s="59"/>
      <c r="AC23" s="59"/>
    </row>
    <row r="24" spans="1:29" x14ac:dyDescent="0.35">
      <c r="R24">
        <v>4</v>
      </c>
      <c r="S24" s="59">
        <v>215391.01919999998</v>
      </c>
      <c r="T24" s="59"/>
      <c r="U24" s="59"/>
      <c r="V24" s="59"/>
      <c r="W24" s="59"/>
      <c r="X24" s="59"/>
      <c r="Y24" s="59"/>
      <c r="Z24" s="59"/>
      <c r="AA24" s="59"/>
      <c r="AB24" s="59"/>
      <c r="AC24" s="59">
        <v>215391.01919999998</v>
      </c>
    </row>
    <row r="25" spans="1:29" x14ac:dyDescent="0.35">
      <c r="B25" s="112"/>
      <c r="C25" s="109"/>
      <c r="Q25">
        <v>2012</v>
      </c>
      <c r="R25">
        <v>1</v>
      </c>
      <c r="S25" s="59"/>
      <c r="T25" s="59"/>
      <c r="U25" s="59">
        <v>222653.5344</v>
      </c>
      <c r="V25" s="59"/>
      <c r="W25" s="59"/>
      <c r="X25" s="59"/>
      <c r="Y25" s="59">
        <v>227618.25</v>
      </c>
      <c r="Z25" s="59"/>
      <c r="AA25" s="59"/>
      <c r="AB25" s="59"/>
      <c r="AC25" s="59">
        <v>450271.7844</v>
      </c>
    </row>
    <row r="26" spans="1:29" x14ac:dyDescent="0.35">
      <c r="B26" s="112"/>
      <c r="E26" s="112"/>
      <c r="R26">
        <v>2</v>
      </c>
      <c r="S26" s="59"/>
      <c r="T26" s="59"/>
      <c r="U26" s="59"/>
      <c r="V26" s="59"/>
      <c r="W26" s="59"/>
      <c r="X26" s="59"/>
      <c r="Y26" s="59"/>
      <c r="Z26" s="59"/>
      <c r="AA26" s="59"/>
      <c r="AB26" s="59"/>
      <c r="AC26" s="59"/>
    </row>
    <row r="27" spans="1:29" x14ac:dyDescent="0.35">
      <c r="A27" s="112"/>
      <c r="R27">
        <v>3</v>
      </c>
      <c r="S27" s="59"/>
      <c r="T27" s="59"/>
      <c r="U27" s="59">
        <v>105603</v>
      </c>
      <c r="V27" s="59"/>
      <c r="W27" s="59"/>
      <c r="X27" s="59"/>
      <c r="Y27" s="59">
        <v>191442.75</v>
      </c>
      <c r="Z27" s="59"/>
      <c r="AA27" s="59"/>
      <c r="AB27" s="59"/>
      <c r="AC27" s="59">
        <v>297045.75</v>
      </c>
    </row>
    <row r="28" spans="1:29" x14ac:dyDescent="0.35">
      <c r="R28">
        <v>4</v>
      </c>
      <c r="S28" s="59">
        <v>151474.23719999997</v>
      </c>
      <c r="T28" s="59"/>
      <c r="U28" s="59"/>
      <c r="V28" s="59"/>
      <c r="W28" s="59"/>
      <c r="X28" s="59"/>
      <c r="Y28" s="59"/>
      <c r="Z28" s="59"/>
      <c r="AA28" s="59">
        <v>442530.75</v>
      </c>
      <c r="AB28" s="59"/>
      <c r="AC28" s="59">
        <v>594004.98719999997</v>
      </c>
    </row>
    <row r="29" spans="1:29" x14ac:dyDescent="0.35">
      <c r="Q29">
        <v>2013</v>
      </c>
      <c r="R29">
        <v>1</v>
      </c>
      <c r="S29" s="59"/>
      <c r="T29" s="59"/>
      <c r="U29" s="59"/>
      <c r="V29" s="59"/>
      <c r="W29" s="59"/>
      <c r="X29" s="59"/>
      <c r="Y29" s="59"/>
      <c r="Z29" s="59"/>
      <c r="AA29" s="59"/>
      <c r="AB29" s="59"/>
      <c r="AC29" s="59"/>
    </row>
    <row r="30" spans="1:29" x14ac:dyDescent="0.35">
      <c r="R30">
        <v>2</v>
      </c>
      <c r="S30" s="59"/>
      <c r="T30" s="59"/>
      <c r="U30" s="59"/>
      <c r="V30" s="59"/>
      <c r="W30" s="59">
        <v>137894.39999999999</v>
      </c>
      <c r="X30" s="59"/>
      <c r="Y30" s="59"/>
      <c r="Z30" s="59"/>
      <c r="AA30" s="59"/>
      <c r="AB30" s="59"/>
      <c r="AC30" s="59">
        <v>137894.39999999999</v>
      </c>
    </row>
    <row r="31" spans="1:29" x14ac:dyDescent="0.35">
      <c r="A31" s="7" t="s">
        <v>19</v>
      </c>
      <c r="B31" t="s">
        <v>20</v>
      </c>
      <c r="G31" s="68"/>
      <c r="R31">
        <v>3</v>
      </c>
      <c r="S31" s="59"/>
      <c r="T31" s="59"/>
      <c r="U31" s="59"/>
      <c r="V31" s="59"/>
      <c r="W31" s="59"/>
      <c r="X31" s="59"/>
      <c r="Y31" s="59">
        <v>714699.41</v>
      </c>
      <c r="Z31" s="59"/>
      <c r="AA31" s="59"/>
      <c r="AB31" s="59"/>
      <c r="AC31" s="59">
        <v>714699.41</v>
      </c>
    </row>
    <row r="32" spans="1:29" x14ac:dyDescent="0.35">
      <c r="A32" s="7" t="s">
        <v>78</v>
      </c>
      <c r="B32" t="s">
        <v>794</v>
      </c>
      <c r="G32" s="68"/>
      <c r="R32">
        <v>4</v>
      </c>
      <c r="S32" s="59">
        <v>50000</v>
      </c>
      <c r="T32" s="59"/>
      <c r="U32" s="59"/>
      <c r="V32" s="59"/>
      <c r="W32" s="59">
        <v>193064.25</v>
      </c>
      <c r="X32" s="59"/>
      <c r="Y32" s="59"/>
      <c r="Z32" s="59"/>
      <c r="AA32" s="59"/>
      <c r="AB32" s="59"/>
      <c r="AC32" s="59">
        <v>243064.25</v>
      </c>
    </row>
    <row r="33" spans="1:29" x14ac:dyDescent="0.35">
      <c r="A33" s="7" t="s">
        <v>80</v>
      </c>
      <c r="B33" t="s">
        <v>656</v>
      </c>
      <c r="G33" s="68"/>
      <c r="Q33">
        <v>2014</v>
      </c>
      <c r="R33">
        <v>1</v>
      </c>
      <c r="S33" s="59">
        <v>51630</v>
      </c>
      <c r="T33" s="59"/>
      <c r="U33" s="59"/>
      <c r="V33" s="59"/>
      <c r="W33" s="59"/>
      <c r="X33" s="59"/>
      <c r="Y33" s="59"/>
      <c r="Z33" s="59">
        <v>160988.5368</v>
      </c>
      <c r="AA33" s="59"/>
      <c r="AB33" s="59"/>
      <c r="AC33" s="59">
        <v>212618.5368</v>
      </c>
    </row>
    <row r="34" spans="1:29" x14ac:dyDescent="0.35">
      <c r="A34" s="7" t="s">
        <v>1088</v>
      </c>
      <c r="B34" t="s">
        <v>656</v>
      </c>
      <c r="G34" s="68"/>
      <c r="R34">
        <v>2</v>
      </c>
      <c r="S34" s="59"/>
      <c r="T34" s="59"/>
      <c r="U34" s="59"/>
      <c r="V34" s="59"/>
      <c r="W34" s="59"/>
      <c r="X34" s="59"/>
      <c r="Y34" s="59"/>
      <c r="Z34" s="59"/>
      <c r="AA34" s="59"/>
      <c r="AB34" s="59"/>
      <c r="AC34" s="59"/>
    </row>
    <row r="35" spans="1:29" x14ac:dyDescent="0.35">
      <c r="A35" s="68"/>
      <c r="B35" s="68"/>
      <c r="C35" s="68"/>
      <c r="D35" s="68"/>
      <c r="E35" s="68"/>
      <c r="F35" s="68"/>
      <c r="G35" s="68"/>
      <c r="R35">
        <v>3</v>
      </c>
      <c r="S35" s="59"/>
      <c r="T35" s="59"/>
      <c r="U35" s="59"/>
      <c r="V35" s="59"/>
      <c r="W35" s="59"/>
      <c r="X35" s="59"/>
      <c r="Y35" s="59"/>
      <c r="Z35" s="59"/>
      <c r="AA35" s="59">
        <v>293429.24</v>
      </c>
      <c r="AB35" s="59"/>
      <c r="AC35" s="59">
        <v>293429.24</v>
      </c>
    </row>
    <row r="36" spans="1:29" x14ac:dyDescent="0.35">
      <c r="A36" s="7" t="s">
        <v>1530</v>
      </c>
      <c r="B36" s="7" t="s">
        <v>847</v>
      </c>
      <c r="R36">
        <v>4</v>
      </c>
      <c r="S36" s="59"/>
      <c r="T36" s="59"/>
      <c r="U36" s="59"/>
      <c r="V36" s="59"/>
      <c r="W36" s="59"/>
      <c r="X36" s="59"/>
      <c r="Y36" s="59">
        <v>132741</v>
      </c>
      <c r="Z36" s="59"/>
      <c r="AA36" s="59"/>
      <c r="AB36" s="59"/>
      <c r="AC36" s="59">
        <v>132741</v>
      </c>
    </row>
    <row r="37" spans="1:29" x14ac:dyDescent="0.35">
      <c r="A37" s="7" t="s">
        <v>778</v>
      </c>
      <c r="B37" t="s">
        <v>40</v>
      </c>
      <c r="C37" t="s">
        <v>41</v>
      </c>
      <c r="D37" t="s">
        <v>42</v>
      </c>
      <c r="E37" t="s">
        <v>657</v>
      </c>
      <c r="G37" t="s">
        <v>1487</v>
      </c>
      <c r="Q37">
        <v>2015</v>
      </c>
      <c r="R37">
        <v>1</v>
      </c>
      <c r="S37" s="59"/>
      <c r="T37" s="59"/>
      <c r="U37" s="59"/>
      <c r="V37" s="59"/>
      <c r="W37" s="59"/>
      <c r="X37" s="59"/>
      <c r="Y37" s="59">
        <v>395916.04759999999</v>
      </c>
      <c r="Z37" s="59">
        <v>115286</v>
      </c>
      <c r="AA37" s="59"/>
      <c r="AB37" s="59"/>
      <c r="AC37" s="59">
        <v>511202.04759999999</v>
      </c>
    </row>
    <row r="38" spans="1:29" x14ac:dyDescent="0.35">
      <c r="A38" s="2">
        <v>2022</v>
      </c>
      <c r="B38" s="59">
        <v>1009514.85</v>
      </c>
      <c r="C38" s="59">
        <v>1880197.875</v>
      </c>
      <c r="D38" s="59">
        <v>1246999</v>
      </c>
      <c r="E38" s="59">
        <v>4136711.7250000001</v>
      </c>
      <c r="G38" s="59">
        <f t="shared" ref="G38:G44" si="0">+C38+D38</f>
        <v>3127196.875</v>
      </c>
      <c r="J38" s="109"/>
      <c r="R38">
        <v>2</v>
      </c>
      <c r="S38" s="59"/>
      <c r="T38" s="59"/>
      <c r="U38" s="59"/>
      <c r="V38" s="59"/>
      <c r="W38" s="59">
        <v>82390</v>
      </c>
      <c r="X38" s="59">
        <v>60889.499999999993</v>
      </c>
      <c r="Y38" s="59">
        <v>694424.39039999992</v>
      </c>
      <c r="Z38" s="59"/>
      <c r="AA38" s="59"/>
      <c r="AB38" s="59"/>
      <c r="AC38" s="59">
        <v>837703.89039999992</v>
      </c>
    </row>
    <row r="39" spans="1:29" x14ac:dyDescent="0.35">
      <c r="A39" s="2">
        <v>2023</v>
      </c>
      <c r="B39" s="59"/>
      <c r="C39" s="59">
        <v>1611603.4030640845</v>
      </c>
      <c r="D39" s="59"/>
      <c r="E39" s="59">
        <v>1611603.4030640845</v>
      </c>
      <c r="F39">
        <v>1422396.1561300999</v>
      </c>
      <c r="G39" s="59">
        <f t="shared" si="0"/>
        <v>1611603.4030640845</v>
      </c>
      <c r="J39" s="109"/>
      <c r="L39" s="59"/>
      <c r="M39" s="59"/>
      <c r="R39">
        <v>3</v>
      </c>
      <c r="S39" s="59"/>
      <c r="T39" s="59"/>
      <c r="U39" s="59">
        <v>128331.7</v>
      </c>
      <c r="V39" s="59"/>
      <c r="W39" s="59"/>
      <c r="X39" s="59"/>
      <c r="Y39" s="59"/>
      <c r="Z39" s="59"/>
      <c r="AA39" s="59"/>
      <c r="AB39" s="59"/>
      <c r="AC39" s="59">
        <v>128331.7</v>
      </c>
    </row>
    <row r="40" spans="1:29" x14ac:dyDescent="0.35">
      <c r="A40" s="2">
        <v>2024</v>
      </c>
      <c r="B40" s="59">
        <v>1344788.3681675</v>
      </c>
      <c r="C40" s="59">
        <v>211444.8</v>
      </c>
      <c r="D40" s="59"/>
      <c r="E40" s="59">
        <v>1556233.1681675001</v>
      </c>
      <c r="F40">
        <v>381637.68906</v>
      </c>
      <c r="G40" s="59">
        <f t="shared" si="0"/>
        <v>211444.8</v>
      </c>
      <c r="J40" s="109"/>
      <c r="L40" s="59"/>
      <c r="M40" s="59"/>
      <c r="R40">
        <v>4</v>
      </c>
      <c r="S40" s="59"/>
      <c r="T40" s="59"/>
      <c r="U40" s="59"/>
      <c r="V40" s="59"/>
      <c r="W40" s="59">
        <v>351215.80000000005</v>
      </c>
      <c r="X40" s="59"/>
      <c r="Y40" s="59"/>
      <c r="Z40" s="59"/>
      <c r="AA40" s="59">
        <v>170281</v>
      </c>
      <c r="AB40" s="59"/>
      <c r="AC40" s="59">
        <v>521496.80000000005</v>
      </c>
    </row>
    <row r="41" spans="1:29" x14ac:dyDescent="0.35">
      <c r="A41" s="2">
        <v>2025</v>
      </c>
      <c r="B41" s="59">
        <v>666553.28</v>
      </c>
      <c r="C41" s="59">
        <v>2249427.53308</v>
      </c>
      <c r="D41" s="59"/>
      <c r="E41" s="59">
        <v>2915980.8130799998</v>
      </c>
      <c r="F41">
        <v>886141.40399999998</v>
      </c>
      <c r="G41" s="59">
        <f t="shared" si="0"/>
        <v>2249427.53308</v>
      </c>
      <c r="J41" s="109"/>
      <c r="L41" s="59"/>
      <c r="M41" s="59"/>
      <c r="Q41">
        <v>2016</v>
      </c>
      <c r="R41">
        <v>1</v>
      </c>
      <c r="S41" s="59">
        <v>61882.799999999996</v>
      </c>
      <c r="T41" s="59"/>
      <c r="U41" s="59"/>
      <c r="V41" s="59"/>
      <c r="W41" s="59"/>
      <c r="X41" s="59"/>
      <c r="Y41" s="59"/>
      <c r="Z41" s="59">
        <v>446760</v>
      </c>
      <c r="AA41" s="59"/>
      <c r="AB41" s="59"/>
      <c r="AC41" s="59">
        <v>508642.8</v>
      </c>
    </row>
    <row r="42" spans="1:29" x14ac:dyDescent="0.35">
      <c r="A42" s="2">
        <v>2026</v>
      </c>
      <c r="B42" s="59">
        <v>1554380.5413975001</v>
      </c>
      <c r="C42" s="59">
        <v>178329.60000000001</v>
      </c>
      <c r="D42" s="59"/>
      <c r="E42" s="59">
        <v>1732710.1413975002</v>
      </c>
      <c r="F42">
        <v>1014563.25</v>
      </c>
      <c r="G42" s="59">
        <f t="shared" si="0"/>
        <v>178329.60000000001</v>
      </c>
      <c r="J42" s="109"/>
      <c r="L42" s="59"/>
      <c r="M42" s="59"/>
      <c r="R42">
        <v>2</v>
      </c>
      <c r="S42" s="59"/>
      <c r="T42" s="59"/>
      <c r="U42" s="59"/>
      <c r="V42" s="59"/>
      <c r="W42" s="59"/>
      <c r="X42" s="59"/>
      <c r="Y42" s="59"/>
      <c r="Z42" s="59">
        <v>208870</v>
      </c>
      <c r="AA42" s="59">
        <v>215457</v>
      </c>
      <c r="AB42" s="59"/>
      <c r="AC42" s="59">
        <v>424327</v>
      </c>
    </row>
    <row r="43" spans="1:29" x14ac:dyDescent="0.35">
      <c r="A43" s="2">
        <v>2027</v>
      </c>
      <c r="B43" s="59">
        <v>240224.72292000003</v>
      </c>
      <c r="C43" s="59">
        <v>883519.4797275</v>
      </c>
      <c r="D43" s="59">
        <v>431964</v>
      </c>
      <c r="E43" s="59">
        <v>1555708.2026475</v>
      </c>
      <c r="G43" s="59">
        <f t="shared" si="0"/>
        <v>1315483.4797275001</v>
      </c>
      <c r="J43" s="109"/>
      <c r="L43" s="59"/>
      <c r="M43" s="59"/>
      <c r="R43">
        <v>3</v>
      </c>
      <c r="S43" s="59"/>
      <c r="T43" s="59"/>
      <c r="U43" s="59"/>
      <c r="V43" s="59"/>
      <c r="W43" s="59"/>
      <c r="X43" s="59"/>
      <c r="Y43" s="59"/>
      <c r="Z43" s="59"/>
      <c r="AA43" s="59"/>
      <c r="AB43" s="59"/>
      <c r="AC43" s="59"/>
    </row>
    <row r="44" spans="1:29" x14ac:dyDescent="0.35">
      <c r="A44" s="2">
        <v>2028</v>
      </c>
      <c r="B44" s="59"/>
      <c r="C44" s="59">
        <v>242856.91475324996</v>
      </c>
      <c r="D44" s="59"/>
      <c r="E44" s="59">
        <v>242856.91475324996</v>
      </c>
      <c r="F44">
        <v>701149.5</v>
      </c>
      <c r="G44" s="59">
        <f t="shared" si="0"/>
        <v>242856.91475324996</v>
      </c>
      <c r="I44" s="59"/>
      <c r="J44" s="109"/>
      <c r="R44">
        <v>4</v>
      </c>
      <c r="S44" s="59"/>
      <c r="T44" s="59"/>
      <c r="U44" s="59"/>
      <c r="V44" s="59"/>
      <c r="W44" s="59"/>
      <c r="X44" s="59"/>
      <c r="Y44" s="59">
        <v>497439.15</v>
      </c>
      <c r="Z44" s="59"/>
      <c r="AA44" s="59"/>
      <c r="AB44" s="59"/>
      <c r="AC44" s="59">
        <v>497439.15</v>
      </c>
    </row>
    <row r="45" spans="1:29" x14ac:dyDescent="0.35">
      <c r="A45" s="2">
        <v>2029</v>
      </c>
      <c r="B45" s="59"/>
      <c r="C45" s="59">
        <v>880056.79245000007</v>
      </c>
      <c r="D45" s="59"/>
      <c r="E45" s="59">
        <v>880056.79245000007</v>
      </c>
      <c r="G45" s="59"/>
      <c r="J45" s="109"/>
      <c r="Q45">
        <v>2017</v>
      </c>
      <c r="R45">
        <v>1</v>
      </c>
      <c r="S45" s="59"/>
      <c r="T45" s="59"/>
      <c r="U45" s="59"/>
      <c r="V45" s="59"/>
      <c r="W45" s="59">
        <v>121612.5</v>
      </c>
      <c r="X45" s="59"/>
      <c r="Y45" s="59"/>
      <c r="Z45" s="59"/>
      <c r="AA45" s="59"/>
      <c r="AB45" s="59"/>
      <c r="AC45" s="59">
        <v>121612.5</v>
      </c>
    </row>
    <row r="46" spans="1:29" x14ac:dyDescent="0.35">
      <c r="A46" s="2">
        <v>2030</v>
      </c>
      <c r="B46" s="59">
        <v>701149.5</v>
      </c>
      <c r="C46" s="59"/>
      <c r="D46" s="59">
        <v>266957.96399999998</v>
      </c>
      <c r="E46" s="59">
        <v>968107.46399999992</v>
      </c>
      <c r="G46" s="59"/>
      <c r="J46" s="109"/>
      <c r="R46">
        <v>2</v>
      </c>
      <c r="S46" s="59"/>
      <c r="T46" s="59"/>
      <c r="U46" s="59"/>
      <c r="V46" s="59"/>
      <c r="W46" s="59"/>
      <c r="X46" s="59"/>
      <c r="Y46" s="59"/>
      <c r="Z46" s="59"/>
      <c r="AA46" s="59"/>
      <c r="AB46" s="59"/>
      <c r="AC46" s="59"/>
    </row>
    <row r="47" spans="1:29" x14ac:dyDescent="0.35">
      <c r="A47" s="2">
        <v>2032</v>
      </c>
      <c r="B47" s="59">
        <v>297000</v>
      </c>
      <c r="C47" s="59"/>
      <c r="D47" s="59"/>
      <c r="E47" s="59">
        <v>297000</v>
      </c>
      <c r="J47" s="109"/>
      <c r="R47">
        <v>3</v>
      </c>
      <c r="S47" s="59"/>
      <c r="T47" s="59"/>
      <c r="U47" s="59"/>
      <c r="V47" s="59">
        <v>285650.10000000003</v>
      </c>
      <c r="W47" s="59"/>
      <c r="X47" s="59">
        <v>288571.5</v>
      </c>
      <c r="Y47" s="59">
        <v>342615.6</v>
      </c>
      <c r="Z47" s="59">
        <v>85794.14</v>
      </c>
      <c r="AA47" s="59"/>
      <c r="AB47" s="59"/>
      <c r="AC47" s="59">
        <v>1002631.3400000001</v>
      </c>
    </row>
    <row r="48" spans="1:29" x14ac:dyDescent="0.35">
      <c r="A48" s="2">
        <v>2033</v>
      </c>
      <c r="B48" s="59"/>
      <c r="C48" s="59">
        <v>531682.84050000005</v>
      </c>
      <c r="D48" s="59"/>
      <c r="E48" s="59">
        <v>531682.84050000005</v>
      </c>
      <c r="J48" s="109"/>
      <c r="R48">
        <v>4</v>
      </c>
      <c r="S48" s="59"/>
      <c r="T48" s="59"/>
      <c r="U48" s="59">
        <v>323901.76</v>
      </c>
      <c r="V48" s="59"/>
      <c r="W48" s="59"/>
      <c r="X48" s="59"/>
      <c r="Y48" s="59">
        <v>498429.60000000003</v>
      </c>
      <c r="Z48" s="59">
        <v>175602.88139057407</v>
      </c>
      <c r="AA48" s="59"/>
      <c r="AB48" s="59"/>
      <c r="AC48" s="59">
        <v>997934.24139057414</v>
      </c>
    </row>
    <row r="49" spans="1:29" x14ac:dyDescent="0.35">
      <c r="A49" s="2" t="s">
        <v>657</v>
      </c>
      <c r="B49" s="59">
        <v>5813611.2624849994</v>
      </c>
      <c r="C49" s="59">
        <v>8669119.2385748345</v>
      </c>
      <c r="D49" s="59">
        <v>1945920.9639999999</v>
      </c>
      <c r="E49" s="59">
        <v>16428651.465059835</v>
      </c>
      <c r="J49" s="109"/>
      <c r="Q49">
        <v>2018</v>
      </c>
      <c r="R49">
        <v>1</v>
      </c>
      <c r="S49" s="59"/>
      <c r="T49" s="59"/>
      <c r="U49" s="59"/>
      <c r="V49" s="59"/>
      <c r="W49" s="59"/>
      <c r="X49" s="59"/>
      <c r="Y49" s="59">
        <v>229736.88</v>
      </c>
      <c r="Z49" s="59">
        <v>128388.08</v>
      </c>
      <c r="AA49" s="59"/>
      <c r="AB49" s="59"/>
      <c r="AC49" s="59">
        <v>358124.96</v>
      </c>
    </row>
    <row r="50" spans="1:29" x14ac:dyDescent="0.35">
      <c r="J50" s="109"/>
      <c r="R50">
        <v>2</v>
      </c>
      <c r="S50" s="59"/>
      <c r="T50" s="59"/>
      <c r="U50" s="59"/>
      <c r="V50" s="59"/>
      <c r="W50" s="59"/>
      <c r="X50" s="59"/>
      <c r="Y50" s="59">
        <v>546802.4</v>
      </c>
      <c r="Z50" s="59"/>
      <c r="AA50" s="59"/>
      <c r="AB50" s="59"/>
      <c r="AC50" s="59">
        <v>546802.4</v>
      </c>
    </row>
    <row r="51" spans="1:29" x14ac:dyDescent="0.35">
      <c r="J51" s="109"/>
      <c r="R51">
        <v>3</v>
      </c>
      <c r="S51" s="59"/>
      <c r="T51" s="59"/>
      <c r="U51" s="59"/>
      <c r="V51" s="59">
        <v>792113.55</v>
      </c>
      <c r="W51" s="59">
        <v>317234.3</v>
      </c>
      <c r="X51" s="59"/>
      <c r="Y51" s="59"/>
      <c r="Z51" s="59"/>
      <c r="AA51" s="59"/>
      <c r="AB51" s="59"/>
      <c r="AC51" s="59">
        <v>1109347.8500000001</v>
      </c>
    </row>
    <row r="52" spans="1:29" x14ac:dyDescent="0.35">
      <c r="J52" s="109"/>
      <c r="R52">
        <v>4</v>
      </c>
      <c r="S52" s="59"/>
      <c r="T52" s="59"/>
      <c r="U52" s="59"/>
      <c r="V52" s="59"/>
      <c r="W52" s="59"/>
      <c r="X52" s="59"/>
      <c r="Y52" s="59"/>
      <c r="Z52" s="59"/>
      <c r="AA52" s="59"/>
      <c r="AB52" s="59"/>
      <c r="AC52" s="59"/>
    </row>
    <row r="53" spans="1:29" x14ac:dyDescent="0.35">
      <c r="J53" s="109"/>
      <c r="Q53">
        <v>2019</v>
      </c>
      <c r="R53">
        <v>1</v>
      </c>
      <c r="S53" s="59"/>
      <c r="T53" s="59"/>
      <c r="U53" s="59">
        <v>185806.5</v>
      </c>
      <c r="V53" s="59"/>
      <c r="W53" s="59"/>
      <c r="X53" s="59"/>
      <c r="Y53" s="59">
        <v>466830</v>
      </c>
      <c r="Z53" s="59"/>
      <c r="AA53" s="59"/>
      <c r="AB53" s="59"/>
      <c r="AC53" s="59">
        <v>652636.5</v>
      </c>
    </row>
    <row r="54" spans="1:29" x14ac:dyDescent="0.35">
      <c r="J54" s="109"/>
      <c r="R54">
        <v>2</v>
      </c>
      <c r="S54" s="59"/>
      <c r="T54" s="59"/>
      <c r="U54" s="59"/>
      <c r="V54" s="59">
        <v>384341.73062180064</v>
      </c>
      <c r="W54" s="59"/>
      <c r="X54" s="59"/>
      <c r="Y54" s="59">
        <v>1014783.95</v>
      </c>
      <c r="Z54" s="59"/>
      <c r="AA54" s="59"/>
      <c r="AB54" s="59"/>
      <c r="AC54" s="59">
        <v>1399125.6806218005</v>
      </c>
    </row>
    <row r="55" spans="1:29" x14ac:dyDescent="0.35">
      <c r="J55" s="109"/>
      <c r="R55">
        <v>3</v>
      </c>
      <c r="S55" s="59">
        <v>10373</v>
      </c>
      <c r="T55" s="59"/>
      <c r="U55" s="59"/>
      <c r="V55" s="59"/>
      <c r="W55" s="59"/>
      <c r="X55" s="59">
        <v>278124</v>
      </c>
      <c r="Y55" s="59"/>
      <c r="Z55" s="59"/>
      <c r="AA55" s="59"/>
      <c r="AB55" s="59"/>
      <c r="AC55" s="59">
        <v>288497</v>
      </c>
    </row>
    <row r="56" spans="1:29" x14ac:dyDescent="0.35">
      <c r="R56">
        <v>4</v>
      </c>
      <c r="S56" s="59"/>
      <c r="T56" s="59"/>
      <c r="U56" s="59"/>
      <c r="V56" s="59"/>
      <c r="W56" s="59"/>
      <c r="X56" s="59"/>
      <c r="Y56" s="59"/>
      <c r="Z56" s="59"/>
      <c r="AA56" s="59"/>
      <c r="AB56" s="59"/>
      <c r="AC56" s="59"/>
    </row>
    <row r="57" spans="1:29" x14ac:dyDescent="0.35">
      <c r="Q57">
        <v>2020</v>
      </c>
      <c r="R57">
        <v>1</v>
      </c>
      <c r="S57" s="59"/>
      <c r="T57" s="59"/>
      <c r="U57" s="59">
        <v>18689.600000000002</v>
      </c>
      <c r="V57" s="59"/>
      <c r="W57" s="59"/>
      <c r="X57" s="59"/>
      <c r="Y57" s="59"/>
      <c r="Z57" s="59"/>
      <c r="AA57" s="59"/>
      <c r="AB57" s="59"/>
      <c r="AC57" s="59">
        <v>18689.600000000002</v>
      </c>
    </row>
    <row r="58" spans="1:29" x14ac:dyDescent="0.35">
      <c r="R58">
        <v>2</v>
      </c>
      <c r="S58" s="59"/>
      <c r="T58" s="59"/>
      <c r="U58" s="59"/>
      <c r="V58" s="59"/>
      <c r="W58" s="59"/>
      <c r="X58" s="59"/>
      <c r="Y58" s="59"/>
      <c r="Z58" s="59"/>
      <c r="AA58" s="59">
        <v>279556.89999999997</v>
      </c>
      <c r="AB58" s="59"/>
      <c r="AC58" s="59">
        <v>279556.89999999997</v>
      </c>
    </row>
    <row r="59" spans="1:29" x14ac:dyDescent="0.35">
      <c r="R59">
        <v>3</v>
      </c>
      <c r="S59" s="59"/>
      <c r="T59" s="59"/>
      <c r="U59" s="59"/>
      <c r="V59" s="59"/>
      <c r="W59" s="59"/>
      <c r="X59" s="59"/>
      <c r="Y59" s="59"/>
      <c r="Z59" s="59"/>
      <c r="AA59" s="59"/>
      <c r="AB59" s="59"/>
      <c r="AC59" s="59"/>
    </row>
    <row r="60" spans="1:29" x14ac:dyDescent="0.35">
      <c r="R60">
        <v>4</v>
      </c>
      <c r="S60" s="59"/>
      <c r="T60" s="59"/>
      <c r="U60" s="59"/>
      <c r="V60" s="59"/>
      <c r="W60" s="59"/>
      <c r="X60" s="59"/>
      <c r="Y60" s="59"/>
      <c r="Z60" s="59"/>
      <c r="AA60" s="59"/>
      <c r="AB60" s="59"/>
      <c r="AC60" s="59"/>
    </row>
    <row r="61" spans="1:29" x14ac:dyDescent="0.35">
      <c r="Q61">
        <v>2021</v>
      </c>
      <c r="R61">
        <v>1</v>
      </c>
      <c r="S61" s="59"/>
      <c r="T61" s="59"/>
      <c r="U61" s="59"/>
      <c r="V61" s="59"/>
      <c r="W61" s="59"/>
      <c r="X61" s="59"/>
      <c r="Y61" s="59"/>
      <c r="Z61" s="59"/>
      <c r="AA61" s="59"/>
      <c r="AB61" s="59"/>
      <c r="AC61" s="59"/>
    </row>
    <row r="62" spans="1:29" x14ac:dyDescent="0.35">
      <c r="R62">
        <v>2</v>
      </c>
      <c r="S62" s="59"/>
      <c r="T62" s="59"/>
      <c r="U62" s="59"/>
      <c r="V62" s="59"/>
      <c r="W62" s="59"/>
      <c r="X62" s="59"/>
      <c r="Y62" s="59"/>
      <c r="Z62" s="59"/>
      <c r="AA62" s="59">
        <v>136120.04510785255</v>
      </c>
      <c r="AB62" s="59"/>
      <c r="AC62" s="59">
        <v>136120.04510785255</v>
      </c>
    </row>
    <row r="63" spans="1:29" x14ac:dyDescent="0.35">
      <c r="R63">
        <v>3</v>
      </c>
      <c r="S63" s="59"/>
      <c r="T63" s="59"/>
      <c r="U63" s="59"/>
      <c r="V63" s="59"/>
      <c r="W63" s="59"/>
      <c r="X63" s="59"/>
      <c r="Y63" s="59"/>
      <c r="Z63" s="59"/>
      <c r="AA63" s="59"/>
      <c r="AB63" s="59"/>
      <c r="AC63" s="59"/>
    </row>
    <row r="64" spans="1:29" x14ac:dyDescent="0.35">
      <c r="R64">
        <v>4</v>
      </c>
      <c r="S64" s="59"/>
      <c r="T64" s="59"/>
      <c r="U64" s="59"/>
      <c r="V64" s="59"/>
      <c r="W64" s="59"/>
      <c r="X64" s="59"/>
      <c r="Y64" s="59"/>
      <c r="Z64" s="59">
        <v>435501.75</v>
      </c>
      <c r="AA64" s="59"/>
      <c r="AB64" s="59"/>
      <c r="AC64" s="59">
        <v>435501.75</v>
      </c>
    </row>
    <row r="65" spans="17:29" x14ac:dyDescent="0.35">
      <c r="Q65">
        <v>2022</v>
      </c>
      <c r="R65">
        <v>1</v>
      </c>
      <c r="S65" s="59"/>
      <c r="T65" s="59"/>
      <c r="U65" s="59"/>
      <c r="V65" s="59"/>
      <c r="W65" s="59"/>
      <c r="X65" s="59"/>
      <c r="Y65" s="59"/>
      <c r="Z65" s="59"/>
      <c r="AA65" s="59">
        <v>539558</v>
      </c>
      <c r="AB65" s="59"/>
      <c r="AC65" s="59">
        <v>539558</v>
      </c>
    </row>
    <row r="66" spans="17:29" x14ac:dyDescent="0.35">
      <c r="R66">
        <v>2</v>
      </c>
      <c r="S66" s="59"/>
      <c r="T66" s="59"/>
      <c r="U66" s="59"/>
      <c r="V66" s="59"/>
      <c r="W66" s="59"/>
      <c r="X66" s="59"/>
      <c r="Y66" s="59">
        <v>201870.375</v>
      </c>
      <c r="Z66" s="59"/>
      <c r="AA66" s="59"/>
      <c r="AB66" s="59"/>
      <c r="AC66" s="59">
        <v>201870.375</v>
      </c>
    </row>
    <row r="67" spans="17:29" x14ac:dyDescent="0.35">
      <c r="R67">
        <v>3</v>
      </c>
      <c r="S67" s="59"/>
      <c r="T67" s="59"/>
      <c r="U67" s="59"/>
      <c r="V67" s="59">
        <v>718002</v>
      </c>
      <c r="W67" s="59">
        <v>169122.05000000002</v>
      </c>
      <c r="X67" s="59"/>
      <c r="Y67" s="59">
        <v>953120</v>
      </c>
      <c r="Z67" s="59"/>
      <c r="AA67" s="59">
        <v>373691</v>
      </c>
      <c r="AB67" s="59"/>
      <c r="AC67" s="59">
        <v>2213935.0499999998</v>
      </c>
    </row>
    <row r="68" spans="17:29" x14ac:dyDescent="0.35">
      <c r="R68">
        <v>4</v>
      </c>
      <c r="S68" s="59"/>
      <c r="T68" s="59"/>
      <c r="U68" s="59"/>
      <c r="V68" s="59"/>
      <c r="W68" s="59">
        <v>122390.79999999999</v>
      </c>
      <c r="X68" s="59"/>
      <c r="Y68" s="59">
        <v>725207.5</v>
      </c>
      <c r="Z68" s="59"/>
      <c r="AA68" s="59">
        <v>333750</v>
      </c>
      <c r="AB68" s="59"/>
      <c r="AC68" s="59">
        <v>1181348.3</v>
      </c>
    </row>
    <row r="69" spans="17:29" x14ac:dyDescent="0.35">
      <c r="Q69">
        <v>2023</v>
      </c>
      <c r="R69">
        <v>1</v>
      </c>
      <c r="S69" s="59"/>
      <c r="T69" s="59"/>
      <c r="U69" s="59"/>
      <c r="V69" s="59"/>
      <c r="W69" s="59"/>
      <c r="X69" s="59"/>
      <c r="Y69" s="59"/>
      <c r="Z69" s="59">
        <v>92617.5</v>
      </c>
      <c r="AA69" s="59"/>
      <c r="AB69" s="59"/>
      <c r="AC69" s="59">
        <v>92617.5</v>
      </c>
    </row>
    <row r="70" spans="17:29" x14ac:dyDescent="0.35">
      <c r="R70">
        <v>2</v>
      </c>
      <c r="S70" s="59"/>
      <c r="T70" s="59"/>
      <c r="U70" s="59"/>
      <c r="V70" s="59"/>
      <c r="W70" s="59"/>
      <c r="X70" s="59"/>
      <c r="Y70" s="59"/>
      <c r="Z70" s="59">
        <v>330606.75</v>
      </c>
      <c r="AA70" s="59"/>
      <c r="AB70" s="59"/>
      <c r="AC70" s="59">
        <v>330606.75</v>
      </c>
    </row>
    <row r="71" spans="17:29" x14ac:dyDescent="0.35">
      <c r="R71">
        <v>3</v>
      </c>
      <c r="S71" s="59"/>
      <c r="T71" s="59"/>
      <c r="U71" s="59"/>
      <c r="V71" s="59"/>
      <c r="W71" s="59"/>
      <c r="X71" s="59"/>
      <c r="Y71" s="59">
        <v>45000.418064084581</v>
      </c>
      <c r="Z71" s="59"/>
      <c r="AA71" s="59"/>
      <c r="AB71" s="59"/>
      <c r="AC71" s="59">
        <v>45000.418064084581</v>
      </c>
    </row>
    <row r="72" spans="17:29" x14ac:dyDescent="0.35">
      <c r="R72">
        <v>4</v>
      </c>
      <c r="S72" s="59"/>
      <c r="T72" s="59"/>
      <c r="U72" s="59"/>
      <c r="V72" s="59"/>
      <c r="W72" s="59"/>
      <c r="X72" s="59"/>
      <c r="Y72" s="59">
        <v>301226.23499999999</v>
      </c>
      <c r="Z72" s="59">
        <v>842152.5</v>
      </c>
      <c r="AA72" s="59"/>
      <c r="AB72" s="59"/>
      <c r="AC72" s="59">
        <v>1143378.7349999999</v>
      </c>
    </row>
    <row r="73" spans="17:29" x14ac:dyDescent="0.35">
      <c r="Q73">
        <v>2024</v>
      </c>
      <c r="R73">
        <v>1</v>
      </c>
      <c r="S73" s="59">
        <v>332392.23000000004</v>
      </c>
      <c r="T73" s="59"/>
      <c r="U73" s="59">
        <v>351511.44816749997</v>
      </c>
      <c r="V73" s="59"/>
      <c r="W73" s="59">
        <v>241267.41</v>
      </c>
      <c r="X73" s="59"/>
      <c r="Y73" s="59"/>
      <c r="Z73" s="59"/>
      <c r="AA73" s="59"/>
      <c r="AB73" s="59"/>
      <c r="AC73" s="59">
        <v>925171.0881675001</v>
      </c>
    </row>
    <row r="74" spans="17:29" x14ac:dyDescent="0.35">
      <c r="R74">
        <v>2</v>
      </c>
      <c r="S74" s="59">
        <v>419617.28000000003</v>
      </c>
      <c r="T74" s="59"/>
      <c r="U74" s="59"/>
      <c r="V74" s="59"/>
      <c r="W74" s="59"/>
      <c r="X74" s="59"/>
      <c r="Y74" s="59">
        <v>211444.8</v>
      </c>
      <c r="Z74" s="59"/>
      <c r="AA74" s="59"/>
      <c r="AB74" s="59"/>
      <c r="AC74" s="59">
        <v>631062.08000000007</v>
      </c>
    </row>
    <row r="75" spans="17:29" x14ac:dyDescent="0.35">
      <c r="R75">
        <v>3</v>
      </c>
      <c r="S75" s="59"/>
      <c r="T75" s="59"/>
      <c r="U75" s="59"/>
      <c r="V75" s="59"/>
      <c r="W75" s="59"/>
      <c r="X75" s="59"/>
      <c r="Y75" s="59"/>
      <c r="Z75" s="59"/>
      <c r="AA75" s="59"/>
      <c r="AB75" s="59"/>
      <c r="AC75" s="59"/>
    </row>
    <row r="76" spans="17:29" x14ac:dyDescent="0.35">
      <c r="R76">
        <v>4</v>
      </c>
      <c r="S76" s="59"/>
      <c r="T76" s="59"/>
      <c r="U76" s="59"/>
      <c r="V76" s="59"/>
      <c r="W76" s="59"/>
      <c r="X76" s="59"/>
      <c r="Y76" s="59"/>
      <c r="Z76" s="59"/>
      <c r="AA76" s="59"/>
      <c r="AB76" s="59"/>
      <c r="AC76" s="59"/>
    </row>
    <row r="77" spans="17:29" x14ac:dyDescent="0.35">
      <c r="Q77">
        <v>2025</v>
      </c>
      <c r="R77">
        <v>1</v>
      </c>
      <c r="S77" s="59"/>
      <c r="T77" s="59"/>
      <c r="U77" s="59"/>
      <c r="V77" s="59"/>
      <c r="W77" s="59"/>
      <c r="X77" s="59"/>
      <c r="Y77" s="59">
        <v>328053.53308000002</v>
      </c>
      <c r="Z77" s="59"/>
      <c r="AA77" s="59"/>
      <c r="AB77" s="59"/>
      <c r="AC77" s="59">
        <v>328053.53308000002</v>
      </c>
    </row>
    <row r="78" spans="17:29" x14ac:dyDescent="0.35">
      <c r="R78">
        <v>2</v>
      </c>
      <c r="S78" s="59"/>
      <c r="T78" s="59">
        <v>122128.8</v>
      </c>
      <c r="U78" s="59"/>
      <c r="V78" s="59"/>
      <c r="W78" s="59"/>
      <c r="X78" s="59"/>
      <c r="Y78" s="59"/>
      <c r="Z78" s="59"/>
      <c r="AA78" s="59"/>
      <c r="AB78" s="59"/>
      <c r="AC78" s="59">
        <v>122128.8</v>
      </c>
    </row>
    <row r="79" spans="17:29" x14ac:dyDescent="0.35">
      <c r="R79">
        <v>3</v>
      </c>
      <c r="S79" s="59"/>
      <c r="T79" s="59"/>
      <c r="U79" s="59">
        <v>466387.68</v>
      </c>
      <c r="V79" s="59"/>
      <c r="W79" s="59"/>
      <c r="X79" s="59"/>
      <c r="Y79" s="59"/>
      <c r="Z79" s="59"/>
      <c r="AA79" s="59"/>
      <c r="AB79" s="59"/>
      <c r="AC79" s="59">
        <v>466387.68</v>
      </c>
    </row>
    <row r="80" spans="17:29" x14ac:dyDescent="0.35">
      <c r="R80">
        <v>4</v>
      </c>
      <c r="S80" s="59">
        <v>78036.800000000003</v>
      </c>
      <c r="T80" s="59"/>
      <c r="U80" s="59"/>
      <c r="V80" s="59"/>
      <c r="W80" s="59"/>
      <c r="X80" s="59"/>
      <c r="Y80" s="59"/>
      <c r="Z80" s="59"/>
      <c r="AA80" s="59"/>
      <c r="AB80" s="59">
        <v>1921374</v>
      </c>
      <c r="AC80" s="59">
        <v>1999410.8</v>
      </c>
    </row>
    <row r="81" spans="17:29" x14ac:dyDescent="0.35">
      <c r="Q81">
        <v>2026</v>
      </c>
      <c r="R81">
        <v>1</v>
      </c>
      <c r="S81" s="59"/>
      <c r="T81" s="59"/>
      <c r="U81" s="59"/>
      <c r="V81" s="59"/>
      <c r="W81" s="59"/>
      <c r="X81" s="59"/>
      <c r="Y81" s="59"/>
      <c r="Z81" s="59"/>
      <c r="AA81" s="59"/>
      <c r="AB81" s="59"/>
      <c r="AC81" s="59"/>
    </row>
    <row r="82" spans="17:29" x14ac:dyDescent="0.35">
      <c r="R82">
        <v>2</v>
      </c>
      <c r="S82" s="59"/>
      <c r="T82" s="59"/>
      <c r="U82" s="59"/>
      <c r="V82" s="59"/>
      <c r="W82" s="59"/>
      <c r="X82" s="59"/>
      <c r="Y82" s="59"/>
      <c r="Z82" s="59"/>
      <c r="AA82" s="59"/>
      <c r="AB82" s="59"/>
      <c r="AC82" s="59"/>
    </row>
    <row r="83" spans="17:29" x14ac:dyDescent="0.35">
      <c r="R83">
        <v>3</v>
      </c>
      <c r="S83" s="59"/>
      <c r="T83" s="59"/>
      <c r="U83" s="59"/>
      <c r="V83" s="59"/>
      <c r="W83" s="59"/>
      <c r="X83" s="59"/>
      <c r="Y83" s="59">
        <v>178329.60000000001</v>
      </c>
      <c r="Z83" s="59"/>
      <c r="AA83" s="59"/>
      <c r="AB83" s="59"/>
      <c r="AC83" s="59">
        <v>178329.60000000001</v>
      </c>
    </row>
    <row r="84" spans="17:29" x14ac:dyDescent="0.35">
      <c r="R84">
        <v>4</v>
      </c>
      <c r="S84" s="59">
        <v>324000</v>
      </c>
      <c r="T84" s="59">
        <v>477416.54139750003</v>
      </c>
      <c r="U84" s="59">
        <v>752964</v>
      </c>
      <c r="V84" s="59"/>
      <c r="W84" s="59"/>
      <c r="X84" s="59"/>
      <c r="Y84" s="59"/>
      <c r="Z84" s="59"/>
      <c r="AA84" s="59"/>
      <c r="AB84" s="59"/>
      <c r="AC84" s="59">
        <v>1554380.5413975001</v>
      </c>
    </row>
    <row r="85" spans="17:29" x14ac:dyDescent="0.35">
      <c r="Q85">
        <v>2027</v>
      </c>
      <c r="R85">
        <v>1</v>
      </c>
      <c r="S85" s="59"/>
      <c r="T85" s="59"/>
      <c r="U85" s="59"/>
      <c r="V85" s="59"/>
      <c r="W85" s="59"/>
      <c r="X85" s="59"/>
      <c r="Y85" s="59"/>
      <c r="Z85" s="59"/>
      <c r="AA85" s="59"/>
      <c r="AB85" s="59">
        <v>504033.07237499999</v>
      </c>
      <c r="AC85" s="59">
        <v>504033.07237499999</v>
      </c>
    </row>
    <row r="86" spans="17:29" x14ac:dyDescent="0.35">
      <c r="R86">
        <v>2</v>
      </c>
      <c r="S86" s="59"/>
      <c r="T86" s="59"/>
      <c r="U86" s="59"/>
      <c r="V86" s="59"/>
      <c r="W86" s="59"/>
      <c r="X86" s="59"/>
      <c r="Y86" s="59"/>
      <c r="Z86" s="59">
        <v>379486.40735250001</v>
      </c>
      <c r="AA86" s="59"/>
      <c r="AB86" s="59"/>
      <c r="AC86" s="59">
        <v>379486.40735250001</v>
      </c>
    </row>
    <row r="87" spans="17:29" x14ac:dyDescent="0.35">
      <c r="R87">
        <v>3</v>
      </c>
      <c r="S87" s="59"/>
      <c r="T87" s="59"/>
      <c r="U87" s="59"/>
      <c r="V87" s="59"/>
      <c r="W87" s="59"/>
      <c r="X87" s="59"/>
      <c r="Y87" s="59"/>
      <c r="Z87" s="59"/>
      <c r="AA87" s="59"/>
      <c r="AB87" s="59"/>
      <c r="AC87" s="59"/>
    </row>
    <row r="88" spans="17:29" x14ac:dyDescent="0.35">
      <c r="R88">
        <v>4</v>
      </c>
      <c r="S88" s="59"/>
      <c r="T88" s="59">
        <v>135224.72292000003</v>
      </c>
      <c r="U88" s="59"/>
      <c r="V88" s="59">
        <v>105000</v>
      </c>
      <c r="W88" s="59"/>
      <c r="X88" s="59"/>
      <c r="Y88" s="59"/>
      <c r="Z88" s="59"/>
      <c r="AA88" s="59">
        <v>431964</v>
      </c>
      <c r="AB88" s="59"/>
      <c r="AC88" s="59">
        <v>672188.72292000009</v>
      </c>
    </row>
    <row r="89" spans="17:29" x14ac:dyDescent="0.35">
      <c r="Q89">
        <v>2028</v>
      </c>
      <c r="R89">
        <v>1</v>
      </c>
      <c r="S89" s="59"/>
      <c r="T89" s="59"/>
      <c r="U89" s="59"/>
      <c r="V89" s="59"/>
      <c r="W89" s="59"/>
      <c r="X89" s="59"/>
      <c r="Y89" s="59"/>
      <c r="Z89" s="59"/>
      <c r="AA89" s="59"/>
      <c r="AB89" s="59"/>
      <c r="AC89" s="59"/>
    </row>
    <row r="90" spans="17:29" x14ac:dyDescent="0.35">
      <c r="R90">
        <v>2</v>
      </c>
      <c r="S90" s="59"/>
      <c r="T90" s="59"/>
      <c r="U90" s="59"/>
      <c r="V90" s="59"/>
      <c r="W90" s="59"/>
      <c r="X90" s="59"/>
      <c r="Y90" s="59"/>
      <c r="Z90" s="59"/>
      <c r="AA90" s="59"/>
      <c r="AB90" s="59"/>
      <c r="AC90" s="59"/>
    </row>
    <row r="91" spans="17:29" x14ac:dyDescent="0.35">
      <c r="R91">
        <v>3</v>
      </c>
      <c r="S91" s="59"/>
      <c r="T91" s="59"/>
      <c r="U91" s="59"/>
      <c r="V91" s="59"/>
      <c r="W91" s="59"/>
      <c r="X91" s="59"/>
      <c r="Y91" s="59"/>
      <c r="Z91" s="59"/>
      <c r="AA91" s="59"/>
      <c r="AB91" s="59"/>
      <c r="AC91" s="59"/>
    </row>
    <row r="92" spans="17:29" x14ac:dyDescent="0.35">
      <c r="R92">
        <v>4</v>
      </c>
      <c r="S92" s="59"/>
      <c r="T92" s="59"/>
      <c r="U92" s="59"/>
      <c r="V92" s="59"/>
      <c r="W92" s="59"/>
      <c r="X92" s="59"/>
      <c r="Y92" s="59"/>
      <c r="Z92" s="59">
        <v>242856.91475324996</v>
      </c>
      <c r="AA92" s="59"/>
      <c r="AB92" s="59"/>
      <c r="AC92" s="59">
        <v>242856.91475324996</v>
      </c>
    </row>
    <row r="93" spans="17:29" x14ac:dyDescent="0.35">
      <c r="Q93">
        <v>2029</v>
      </c>
      <c r="R93">
        <v>1</v>
      </c>
      <c r="S93" s="59"/>
      <c r="T93" s="59"/>
      <c r="U93" s="59"/>
      <c r="V93" s="59"/>
      <c r="W93" s="59"/>
      <c r="X93" s="59"/>
      <c r="Y93" s="59"/>
      <c r="Z93" s="59"/>
      <c r="AA93" s="59"/>
      <c r="AB93" s="59"/>
      <c r="AC93" s="59"/>
    </row>
    <row r="94" spans="17:29" x14ac:dyDescent="0.35">
      <c r="R94">
        <v>2</v>
      </c>
      <c r="S94" s="59"/>
      <c r="T94" s="59"/>
      <c r="U94" s="59"/>
      <c r="V94" s="59"/>
      <c r="W94" s="59"/>
      <c r="X94" s="59"/>
      <c r="Y94" s="59"/>
      <c r="Z94" s="59"/>
      <c r="AA94" s="59"/>
      <c r="AB94" s="59"/>
      <c r="AC94" s="59"/>
    </row>
    <row r="95" spans="17:29" x14ac:dyDescent="0.35">
      <c r="R95">
        <v>3</v>
      </c>
      <c r="S95" s="59"/>
      <c r="T95" s="59"/>
      <c r="U95" s="59"/>
      <c r="V95" s="59"/>
      <c r="W95" s="59"/>
      <c r="X95" s="59"/>
      <c r="Y95" s="59"/>
      <c r="Z95" s="59"/>
      <c r="AA95" s="59"/>
      <c r="AB95" s="59"/>
      <c r="AC95" s="59"/>
    </row>
    <row r="96" spans="17:29" x14ac:dyDescent="0.35">
      <c r="R96">
        <v>4</v>
      </c>
      <c r="S96" s="59"/>
      <c r="T96" s="59"/>
      <c r="U96" s="59"/>
      <c r="V96" s="59"/>
      <c r="W96" s="59"/>
      <c r="X96" s="59"/>
      <c r="Y96" s="59"/>
      <c r="Z96" s="59">
        <v>880056.79245000007</v>
      </c>
      <c r="AA96" s="59"/>
      <c r="AB96" s="59"/>
      <c r="AC96" s="59">
        <v>880056.79245000007</v>
      </c>
    </row>
    <row r="97" spans="17:29" x14ac:dyDescent="0.35">
      <c r="Q97">
        <v>2030</v>
      </c>
      <c r="R97">
        <v>1</v>
      </c>
      <c r="S97" s="59"/>
      <c r="T97" s="59"/>
      <c r="U97" s="59"/>
      <c r="V97" s="59"/>
      <c r="W97" s="59"/>
      <c r="X97" s="59"/>
      <c r="Y97" s="59"/>
      <c r="Z97" s="59"/>
      <c r="AA97" s="59"/>
      <c r="AB97" s="59"/>
      <c r="AC97" s="59"/>
    </row>
    <row r="98" spans="17:29" x14ac:dyDescent="0.35">
      <c r="R98">
        <v>2</v>
      </c>
      <c r="S98" s="59"/>
      <c r="T98" s="59"/>
      <c r="U98" s="59"/>
      <c r="V98" s="59"/>
      <c r="W98" s="59"/>
      <c r="X98" s="59"/>
      <c r="Y98" s="59"/>
      <c r="Z98" s="59"/>
      <c r="AA98" s="59"/>
      <c r="AB98" s="59"/>
      <c r="AC98" s="59"/>
    </row>
    <row r="99" spans="17:29" x14ac:dyDescent="0.35">
      <c r="R99">
        <v>3</v>
      </c>
      <c r="S99" s="59"/>
      <c r="T99" s="59"/>
      <c r="U99" s="59"/>
      <c r="V99" s="59"/>
      <c r="W99" s="59"/>
      <c r="X99" s="59"/>
      <c r="Y99" s="59"/>
      <c r="Z99" s="59"/>
      <c r="AA99" s="59"/>
      <c r="AB99" s="59"/>
      <c r="AC99" s="59"/>
    </row>
    <row r="100" spans="17:29" x14ac:dyDescent="0.35">
      <c r="R100">
        <v>4</v>
      </c>
      <c r="S100" s="59"/>
      <c r="T100" s="59"/>
      <c r="U100" s="59"/>
      <c r="V100" s="59">
        <v>701149.5</v>
      </c>
      <c r="W100" s="59"/>
      <c r="X100" s="59"/>
      <c r="Y100" s="59"/>
      <c r="Z100" s="59"/>
      <c r="AA100" s="59"/>
      <c r="AB100" s="59"/>
      <c r="AC100" s="59">
        <v>701149.5</v>
      </c>
    </row>
    <row r="101" spans="17:29" x14ac:dyDescent="0.35">
      <c r="Q101">
        <v>2032</v>
      </c>
      <c r="R101">
        <v>1</v>
      </c>
      <c r="S101" s="59"/>
      <c r="T101" s="59"/>
      <c r="U101" s="59"/>
      <c r="V101" s="59"/>
      <c r="W101" s="59"/>
      <c r="X101" s="59"/>
      <c r="Y101" s="59"/>
      <c r="Z101" s="59"/>
      <c r="AA101" s="59"/>
      <c r="AB101" s="59"/>
      <c r="AC101" s="59"/>
    </row>
    <row r="102" spans="17:29" x14ac:dyDescent="0.35">
      <c r="R102">
        <v>2</v>
      </c>
      <c r="S102" s="59"/>
      <c r="T102" s="59"/>
      <c r="U102" s="59"/>
      <c r="V102" s="59"/>
      <c r="W102" s="59"/>
      <c r="X102" s="59"/>
      <c r="Y102" s="59"/>
      <c r="Z102" s="59"/>
      <c r="AA102" s="59"/>
      <c r="AB102" s="59"/>
      <c r="AC102" s="59"/>
    </row>
    <row r="103" spans="17:29" x14ac:dyDescent="0.35">
      <c r="R103">
        <v>3</v>
      </c>
      <c r="S103" s="59"/>
      <c r="T103" s="59"/>
      <c r="U103" s="59"/>
      <c r="V103" s="59"/>
      <c r="W103" s="59"/>
      <c r="X103" s="59"/>
      <c r="Y103" s="59"/>
      <c r="Z103" s="59"/>
      <c r="AA103" s="59"/>
      <c r="AB103" s="59"/>
      <c r="AC103" s="59"/>
    </row>
    <row r="104" spans="17:29" x14ac:dyDescent="0.35">
      <c r="R104">
        <v>4</v>
      </c>
      <c r="S104" s="59">
        <v>297000</v>
      </c>
      <c r="T104" s="59"/>
      <c r="U104" s="59"/>
      <c r="V104" s="59"/>
      <c r="W104" s="59"/>
      <c r="X104" s="59"/>
      <c r="Y104" s="59"/>
      <c r="Z104" s="59"/>
      <c r="AA104" s="59"/>
      <c r="AB104" s="59"/>
      <c r="AC104" s="59">
        <v>297000</v>
      </c>
    </row>
    <row r="105" spans="17:29" x14ac:dyDescent="0.35">
      <c r="Q105">
        <v>2033</v>
      </c>
      <c r="R105">
        <v>1</v>
      </c>
      <c r="S105" s="59"/>
      <c r="T105" s="59"/>
      <c r="U105" s="59"/>
      <c r="V105" s="59"/>
      <c r="W105" s="59"/>
      <c r="X105" s="59"/>
      <c r="Y105" s="59"/>
      <c r="Z105" s="59"/>
      <c r="AA105" s="59"/>
      <c r="AB105" s="59"/>
      <c r="AC105" s="59"/>
    </row>
    <row r="106" spans="17:29" x14ac:dyDescent="0.35">
      <c r="R106">
        <v>2</v>
      </c>
      <c r="S106" s="59"/>
      <c r="T106" s="59"/>
      <c r="U106" s="59"/>
      <c r="V106" s="59"/>
      <c r="W106" s="59"/>
      <c r="X106" s="59"/>
      <c r="Y106" s="59"/>
      <c r="Z106" s="59"/>
      <c r="AA106" s="59"/>
      <c r="AB106" s="59"/>
      <c r="AC106" s="59"/>
    </row>
    <row r="107" spans="17:29" x14ac:dyDescent="0.35">
      <c r="R107">
        <v>3</v>
      </c>
      <c r="S107" s="59"/>
      <c r="T107" s="59"/>
      <c r="U107" s="59"/>
      <c r="V107" s="59"/>
      <c r="W107" s="59"/>
      <c r="X107" s="59"/>
      <c r="Y107" s="59"/>
      <c r="Z107" s="59"/>
      <c r="AA107" s="59"/>
      <c r="AB107" s="59"/>
      <c r="AC107" s="59"/>
    </row>
    <row r="108" spans="17:29" x14ac:dyDescent="0.35">
      <c r="R108">
        <v>4</v>
      </c>
      <c r="S108" s="59"/>
      <c r="T108" s="59"/>
      <c r="U108" s="59"/>
      <c r="V108" s="59"/>
      <c r="W108" s="59"/>
      <c r="X108" s="59"/>
      <c r="Y108" s="59">
        <v>531682.84050000005</v>
      </c>
      <c r="Z108" s="59"/>
      <c r="AA108" s="59"/>
      <c r="AB108" s="59"/>
      <c r="AC108" s="59">
        <v>531682.84050000005</v>
      </c>
    </row>
    <row r="109" spans="17:29" x14ac:dyDescent="0.35">
      <c r="Q109" t="s">
        <v>657</v>
      </c>
      <c r="S109" s="59">
        <v>2114445.6364000002</v>
      </c>
      <c r="T109" s="59">
        <v>734770.06431749999</v>
      </c>
      <c r="U109" s="59">
        <v>2555849.2225674996</v>
      </c>
      <c r="V109" s="59">
        <v>4576633.1906218007</v>
      </c>
      <c r="W109" s="59">
        <v>2227728.6630000002</v>
      </c>
      <c r="X109" s="59">
        <v>627585</v>
      </c>
      <c r="Y109" s="59">
        <v>13310149.615644084</v>
      </c>
      <c r="Z109" s="59">
        <v>4690424.9259463241</v>
      </c>
      <c r="AA109" s="59">
        <v>3647446.8991078525</v>
      </c>
      <c r="AB109" s="59">
        <v>4212079.7523750002</v>
      </c>
      <c r="AC109" s="59">
        <v>38697112.969980069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C00000"/>
  </sheetPr>
  <dimension ref="A1:AV297"/>
  <sheetViews>
    <sheetView zoomScale="87" zoomScaleNormal="87" workbookViewId="0">
      <pane xSplit="2" ySplit="1" topLeftCell="C168" activePane="bottomRight" state="frozen"/>
      <selection activeCell="C175" sqref="C175"/>
      <selection pane="topRight" activeCell="C175" sqref="C175"/>
      <selection pane="bottomLeft" activeCell="C175" sqref="C175"/>
      <selection pane="bottomRight" activeCell="I264" sqref="I264"/>
    </sheetView>
  </sheetViews>
  <sheetFormatPr defaultColWidth="9.453125" defaultRowHeight="14.5" outlineLevelCol="1" x14ac:dyDescent="0.35"/>
  <cols>
    <col min="1" max="1" width="5.36328125" style="63" customWidth="1"/>
    <col min="2" max="2" width="39.7265625" style="61" customWidth="1"/>
    <col min="3" max="3" width="48.1796875" style="61" customWidth="1" outlineLevel="1"/>
    <col min="4" max="4" width="15.453125" style="61" customWidth="1" outlineLevel="1"/>
    <col min="5" max="5" width="23.453125" style="103" bestFit="1" customWidth="1"/>
    <col min="6" max="6" width="25.54296875" style="61" bestFit="1" customWidth="1"/>
    <col min="7" max="7" width="6.54296875" style="61" customWidth="1" outlineLevel="1"/>
    <col min="8" max="8" width="19.54296875" style="103" customWidth="1"/>
    <col min="9" max="9" width="14.54296875" style="61" customWidth="1"/>
    <col min="10" max="10" width="6.54296875" style="61" customWidth="1"/>
    <col min="11" max="11" width="12.54296875" style="64" customWidth="1"/>
    <col min="12" max="12" width="13.54296875" style="61" customWidth="1"/>
    <col min="13" max="13" width="12.453125" style="61" customWidth="1"/>
    <col min="14" max="14" width="10" style="61" customWidth="1"/>
    <col min="15" max="15" width="14.54296875" style="61" customWidth="1"/>
    <col min="16" max="16" width="14.453125" style="61" customWidth="1"/>
    <col min="17" max="17" width="12.54296875" style="62" customWidth="1"/>
    <col min="18" max="18" width="28" style="62" customWidth="1"/>
    <col min="19" max="19" width="14.54296875" style="66" customWidth="1"/>
    <col min="20" max="20" width="14.453125" style="66" customWidth="1" outlineLevel="1"/>
    <col min="21" max="21" width="14.453125" style="66" customWidth="1"/>
    <col min="22" max="22" width="14.453125" style="62" customWidth="1" outlineLevel="1"/>
    <col min="23" max="23" width="14.453125" style="62" customWidth="1"/>
    <col min="24" max="24" width="14.453125" style="62" customWidth="1" outlineLevel="1"/>
    <col min="25" max="25" width="14.453125" style="62" customWidth="1"/>
    <col min="26" max="26" width="11.1796875" style="62" customWidth="1"/>
    <col min="27" max="27" width="11.54296875" style="62" customWidth="1"/>
    <col min="28" max="28" width="11.7265625" style="62" customWidth="1"/>
    <col min="29" max="32" width="14.453125" style="62" customWidth="1"/>
    <col min="33" max="33" width="13.54296875" style="66" customWidth="1"/>
    <col min="34" max="34" width="15.54296875" style="66" customWidth="1"/>
    <col min="35" max="35" width="23.54296875" style="61" customWidth="1"/>
    <col min="36" max="36" width="14.54296875" style="67" customWidth="1"/>
    <col min="37" max="37" width="13.54296875" style="67" customWidth="1"/>
    <col min="38" max="38" width="15.54296875" style="65" customWidth="1"/>
    <col min="39" max="39" width="45.54296875" style="65" customWidth="1"/>
    <col min="40" max="40" width="16.453125" style="61" customWidth="1"/>
    <col min="41" max="41" width="14.54296875" style="61" customWidth="1"/>
    <col min="42" max="42" width="13.54296875" style="61" customWidth="1"/>
    <col min="43" max="43" width="54.54296875" style="61" customWidth="1"/>
    <col min="44" max="44" width="8.453125" style="61" customWidth="1"/>
    <col min="45" max="45" width="9.54296875" style="61" customWidth="1"/>
    <col min="46" max="46" width="10.453125" style="61" customWidth="1"/>
    <col min="47" max="47" width="9.453125" style="61" customWidth="1"/>
    <col min="48" max="16384" width="9.453125" style="61"/>
  </cols>
  <sheetData>
    <row r="1" spans="1:48" s="60" customFormat="1" ht="58.5" customHeight="1" x14ac:dyDescent="0.35">
      <c r="A1" s="78" t="s">
        <v>27</v>
      </c>
      <c r="B1" s="90" t="s">
        <v>28</v>
      </c>
      <c r="C1" s="90" t="s">
        <v>34</v>
      </c>
      <c r="D1" s="90" t="s">
        <v>36</v>
      </c>
      <c r="E1" s="90" t="s">
        <v>1124</v>
      </c>
      <c r="F1" s="90" t="s">
        <v>1196</v>
      </c>
      <c r="G1" s="90" t="s">
        <v>1643</v>
      </c>
      <c r="H1" s="90" t="s">
        <v>39</v>
      </c>
      <c r="I1" s="91" t="s">
        <v>1407</v>
      </c>
      <c r="J1" s="91" t="s">
        <v>24</v>
      </c>
      <c r="K1" s="91" t="s">
        <v>26</v>
      </c>
      <c r="L1" s="92" t="s">
        <v>19</v>
      </c>
      <c r="M1" s="92" t="s">
        <v>78</v>
      </c>
      <c r="N1" s="92" t="s">
        <v>60</v>
      </c>
      <c r="O1" s="92" t="s">
        <v>61</v>
      </c>
      <c r="P1" s="93" t="s">
        <v>1053</v>
      </c>
      <c r="Q1" s="94" t="s">
        <v>66</v>
      </c>
      <c r="R1" s="94" t="s">
        <v>845</v>
      </c>
      <c r="S1" s="93" t="s">
        <v>1088</v>
      </c>
      <c r="T1" s="95" t="s">
        <v>1469</v>
      </c>
      <c r="U1" s="96" t="s">
        <v>1470</v>
      </c>
      <c r="V1" s="95" t="s">
        <v>1062</v>
      </c>
      <c r="W1" s="96" t="s">
        <v>1063</v>
      </c>
      <c r="X1" s="95" t="s">
        <v>1528</v>
      </c>
      <c r="Y1" s="96" t="s">
        <v>1529</v>
      </c>
      <c r="Z1" s="97" t="s">
        <v>1064</v>
      </c>
      <c r="AA1" s="97" t="s">
        <v>1065</v>
      </c>
      <c r="AB1" s="97" t="s">
        <v>1066</v>
      </c>
      <c r="AC1" s="98" t="s">
        <v>691</v>
      </c>
      <c r="AD1" s="98" t="s">
        <v>1067</v>
      </c>
      <c r="AE1" s="98" t="s">
        <v>1069</v>
      </c>
      <c r="AF1" s="98" t="s">
        <v>1534</v>
      </c>
      <c r="AG1" s="99" t="s">
        <v>62</v>
      </c>
      <c r="AH1" s="99" t="s">
        <v>63</v>
      </c>
      <c r="AI1" s="99" t="s">
        <v>75</v>
      </c>
      <c r="AJ1" s="100" t="s">
        <v>76</v>
      </c>
      <c r="AK1" s="100" t="s">
        <v>77</v>
      </c>
      <c r="AL1" s="101" t="s">
        <v>64</v>
      </c>
      <c r="AM1" s="101" t="s">
        <v>71</v>
      </c>
      <c r="AN1" s="102" t="s">
        <v>72</v>
      </c>
      <c r="AO1" s="102" t="s">
        <v>703</v>
      </c>
      <c r="AP1" s="102" t="s">
        <v>80</v>
      </c>
      <c r="AQ1" s="101" t="s">
        <v>79</v>
      </c>
      <c r="AR1" s="101" t="s">
        <v>1705</v>
      </c>
      <c r="AS1" s="101" t="s">
        <v>1983</v>
      </c>
      <c r="AT1" s="101" t="s">
        <v>1935</v>
      </c>
      <c r="AU1" s="101" t="s">
        <v>1936</v>
      </c>
      <c r="AV1" s="101" t="s">
        <v>1969</v>
      </c>
    </row>
    <row r="2" spans="1:48" ht="15" hidden="1" customHeight="1" x14ac:dyDescent="0.35">
      <c r="A2" s="77" t="s">
        <v>358</v>
      </c>
      <c r="B2" s="77" t="s">
        <v>359</v>
      </c>
      <c r="C2" s="77" t="s">
        <v>1140</v>
      </c>
      <c r="D2" s="77"/>
      <c r="E2" s="79" t="s">
        <v>360</v>
      </c>
      <c r="F2" s="77" t="str">
        <f>VLOOKUP(Table1[[#This Row],[CBRE sub-markets]],Reference!$A$2:$B$31,2,FALSE)</f>
        <v>Hong Kong East</v>
      </c>
      <c r="G2" s="77">
        <f>VLOOKUP(Table1[[#This Row],[CBRE sub-markets]],Reference!$A$2:$D$31,3,FALSE)</f>
        <v>4</v>
      </c>
      <c r="H2" s="79" t="str">
        <f>VLOOKUP(Table1[[#This Row],[CBRE sub-markets]],Reference!$A$2:$D$31,4,FALSE)</f>
        <v>Hong Kong Island</v>
      </c>
      <c r="I2" s="80">
        <v>2008</v>
      </c>
      <c r="J2" s="80">
        <v>1</v>
      </c>
      <c r="K2" s="81" t="str">
        <f>IF(ISNUMBER(Table1[[#This Row],[Qtr]]),CONCATENATE(Table1[[#This Row],[Year]]," Q",Table1[[#This Row],[Qtr]]),CONCATENATE(Table1[[#This Row],[Year]],Table1[[#This Row],[Qtr]]))</f>
        <v>2008 Q1</v>
      </c>
      <c r="L2" s="80" t="s">
        <v>20</v>
      </c>
      <c r="M2" s="80" t="s">
        <v>84</v>
      </c>
      <c r="N2" s="80">
        <v>1</v>
      </c>
      <c r="O2" s="80" t="s">
        <v>361</v>
      </c>
      <c r="P2" s="80"/>
      <c r="Q2" s="82">
        <v>25000</v>
      </c>
      <c r="R2" s="82">
        <f t="shared" ref="R2:R21" si="0">Q2*(Y2/W2)</f>
        <v>23000</v>
      </c>
      <c r="S2" s="80" t="str">
        <f t="shared" ref="S2:S33" si="1">IF(AND(ISNUMBER(R2),R2&gt;=15000),"Yes",IF(R2="","Unknown","No"))</f>
        <v>Yes</v>
      </c>
      <c r="T2" s="82"/>
      <c r="U2" s="82"/>
      <c r="V2" s="82">
        <v>142791.79999999999</v>
      </c>
      <c r="W2" s="82">
        <v>1320068</v>
      </c>
      <c r="X2" s="82">
        <v>103258.9</v>
      </c>
      <c r="Y2" s="82">
        <v>1214462.56</v>
      </c>
      <c r="Z2" s="82"/>
      <c r="AA2" s="82"/>
      <c r="AB2" s="82"/>
      <c r="AC2" s="82">
        <f>IF(Table1[[#This Row],[For Sale or For Lease?]]="For Lease",Table1[[#This Row],[Office UFA (Net) (sf)]]-Table1[[#This Row],[Pre-leased space (Usable FA) (sf)]]-Table1[[#This Row],[Pre-sold (Usable FA) (sf)]]-Table1[[#This Row],[Self-use space (Usable FA) (sf)]],0)</f>
        <v>1214462.56</v>
      </c>
      <c r="AD2" s="82">
        <f>IF(Table1[[#This Row],[For Sale or For Lease?]]="For Sale",Table1[[#This Row],[Office UFA (Net) (sf)]]-Table1[[#This Row],[Pre-leased space (Usable FA) (sf)]]-Table1[[#This Row],[Pre-sold (Usable FA) (sf)]]-Table1[[#This Row],[Self-use space (Usable FA) (sf)]],0)</f>
        <v>0</v>
      </c>
      <c r="AE2" s="82">
        <f>IF(Table1[[#This Row],[For Sale or For Lease?]]="Uncertain",Table1[[#This Row],[Office UFA (Net) (sf)]]-Table1[[#This Row],[Pre-leased space (Usable FA) (sf)]]-Table1[[#This Row],[Pre-sold (Usable FA) (sf)]]-Table1[[#This Row],[Self-use space (Usable FA) (sf)]],0)</f>
        <v>0</v>
      </c>
      <c r="AF2" s="86">
        <f>1-SUM(Table1[[#This Row],[Space available for lease (Usable FA) (sf)]:[Space available uncertain of use (Usable FA) (sf)]])/Table1[[#This Row],[Office UFA (Net) (sf)]]</f>
        <v>0</v>
      </c>
      <c r="AG2" s="79" t="s">
        <v>89</v>
      </c>
      <c r="AH2" s="84" t="s">
        <v>103</v>
      </c>
      <c r="AI2" s="79" t="s">
        <v>92</v>
      </c>
      <c r="AJ2" s="83">
        <v>39508</v>
      </c>
      <c r="AK2" s="83">
        <v>40043</v>
      </c>
      <c r="AL2" s="85"/>
      <c r="AM2" s="85" t="s">
        <v>99</v>
      </c>
      <c r="AN2" s="79" t="s">
        <v>73</v>
      </c>
      <c r="AO2" s="77" t="s">
        <v>705</v>
      </c>
      <c r="AP2" s="77" t="s">
        <v>81</v>
      </c>
      <c r="AQ2" s="77" t="s">
        <v>362</v>
      </c>
      <c r="AR2" s="79" t="s">
        <v>2327</v>
      </c>
      <c r="AS2" s="79"/>
      <c r="AT2" s="80"/>
      <c r="AU2" s="80"/>
      <c r="AV2" s="77"/>
    </row>
    <row r="3" spans="1:48" ht="15" hidden="1" customHeight="1" x14ac:dyDescent="0.35">
      <c r="A3" s="77" t="s">
        <v>381</v>
      </c>
      <c r="B3" s="77" t="s">
        <v>382</v>
      </c>
      <c r="C3" s="77" t="s">
        <v>1141</v>
      </c>
      <c r="D3" s="77"/>
      <c r="E3" s="79" t="s">
        <v>2496</v>
      </c>
      <c r="F3" s="77" t="str">
        <f>VLOOKUP(Table1[[#This Row],[CBRE sub-markets]],Reference!$A$2:$B$31,2,FALSE)</f>
        <v>Tsim Sha Tsui West</v>
      </c>
      <c r="G3" s="77">
        <f>VLOOKUP(Table1[[#This Row],[CBRE sub-markets]],Reference!$A$2:$D$31,3,FALSE)</f>
        <v>6</v>
      </c>
      <c r="H3" s="79" t="str">
        <f>VLOOKUP(Table1[[#This Row],[CBRE sub-markets]],Reference!$A$2:$D$31,4,FALSE)</f>
        <v>Kowloon</v>
      </c>
      <c r="I3" s="80">
        <v>2008</v>
      </c>
      <c r="J3" s="80">
        <v>1</v>
      </c>
      <c r="K3" s="81" t="str">
        <f>IF(ISNUMBER(Table1[[#This Row],[Qtr]]),CONCATENATE(Table1[[#This Row],[Year]]," Q",Table1[[#This Row],[Qtr]]),CONCATENATE(Table1[[#This Row],[Year]],Table1[[#This Row],[Qtr]]))</f>
        <v>2008 Q1</v>
      </c>
      <c r="L3" s="80" t="s">
        <v>20</v>
      </c>
      <c r="M3" s="80" t="s">
        <v>84</v>
      </c>
      <c r="N3" s="80">
        <v>1</v>
      </c>
      <c r="O3" s="80" t="s">
        <v>383</v>
      </c>
      <c r="P3" s="80"/>
      <c r="Q3" s="82">
        <v>38000</v>
      </c>
      <c r="R3" s="82">
        <f t="shared" si="0"/>
        <v>29640</v>
      </c>
      <c r="S3" s="80" t="str">
        <f t="shared" si="1"/>
        <v>Yes</v>
      </c>
      <c r="T3" s="82"/>
      <c r="U3" s="82"/>
      <c r="V3" s="82">
        <f>W3/10.764</f>
        <v>85095.410628019323</v>
      </c>
      <c r="W3" s="82">
        <v>915967</v>
      </c>
      <c r="X3" s="82">
        <f>Y3/10.764</f>
        <v>66374.420289855072</v>
      </c>
      <c r="Y3" s="82">
        <v>714454.26</v>
      </c>
      <c r="Z3" s="82"/>
      <c r="AA3" s="82"/>
      <c r="AB3" s="82"/>
      <c r="AC3" s="82">
        <f>IF(Table1[[#This Row],[For Sale or For Lease?]]="For Lease",Table1[[#This Row],[Office UFA (Net) (sf)]]-Table1[[#This Row],[Pre-leased space (Usable FA) (sf)]]-Table1[[#This Row],[Pre-sold (Usable FA) (sf)]]-Table1[[#This Row],[Self-use space (Usable FA) (sf)]],0)</f>
        <v>714454.26</v>
      </c>
      <c r="AD3" s="82">
        <f>IF(Table1[[#This Row],[For Sale or For Lease?]]="For Sale",Table1[[#This Row],[Office UFA (Net) (sf)]]-Table1[[#This Row],[Pre-leased space (Usable FA) (sf)]]-Table1[[#This Row],[Pre-sold (Usable FA) (sf)]]-Table1[[#This Row],[Self-use space (Usable FA) (sf)]],0)</f>
        <v>0</v>
      </c>
      <c r="AE3" s="82">
        <f>IF(Table1[[#This Row],[For Sale or For Lease?]]="Uncertain",Table1[[#This Row],[Office UFA (Net) (sf)]]-Table1[[#This Row],[Pre-leased space (Usable FA) (sf)]]-Table1[[#This Row],[Pre-sold (Usable FA) (sf)]]-Table1[[#This Row],[Self-use space (Usable FA) (sf)]],0)</f>
        <v>0</v>
      </c>
      <c r="AF3" s="86">
        <f>1-SUM(Table1[[#This Row],[Space available for lease (Usable FA) (sf)]:[Space available uncertain of use (Usable FA) (sf)]])/Table1[[#This Row],[Office UFA (Net) (sf)]]</f>
        <v>0</v>
      </c>
      <c r="AG3" s="79" t="s">
        <v>355</v>
      </c>
      <c r="AH3" s="84" t="s">
        <v>384</v>
      </c>
      <c r="AI3" s="79" t="s">
        <v>133</v>
      </c>
      <c r="AJ3" s="83"/>
      <c r="AK3" s="83">
        <v>40043</v>
      </c>
      <c r="AL3" s="85" t="s">
        <v>29</v>
      </c>
      <c r="AM3" s="85" t="s">
        <v>114</v>
      </c>
      <c r="AN3" s="79" t="s">
        <v>73</v>
      </c>
      <c r="AO3" s="77" t="s">
        <v>705</v>
      </c>
      <c r="AP3" s="77" t="s">
        <v>81</v>
      </c>
      <c r="AQ3" s="77"/>
      <c r="AR3" s="79" t="s">
        <v>2328</v>
      </c>
      <c r="AS3" s="79"/>
      <c r="AT3" s="80"/>
      <c r="AU3" s="80"/>
      <c r="AV3" s="77"/>
    </row>
    <row r="4" spans="1:48" ht="15" hidden="1" customHeight="1" x14ac:dyDescent="0.35">
      <c r="A4" s="77" t="s">
        <v>412</v>
      </c>
      <c r="B4" s="77" t="s">
        <v>711</v>
      </c>
      <c r="C4" s="77" t="s">
        <v>1142</v>
      </c>
      <c r="D4" s="77"/>
      <c r="E4" s="79" t="s">
        <v>15</v>
      </c>
      <c r="F4" s="77" t="str">
        <f>VLOOKUP(Table1[[#This Row],[CBRE sub-markets]],Reference!$A$2:$B$31,2,FALSE)</f>
        <v>New Territories</v>
      </c>
      <c r="G4" s="77">
        <f>VLOOKUP(Table1[[#This Row],[CBRE sub-markets]],Reference!$A$2:$D$31,3,FALSE)</f>
        <v>9</v>
      </c>
      <c r="H4" s="79" t="str">
        <f>VLOOKUP(Table1[[#This Row],[CBRE sub-markets]],Reference!$A$2:$D$31,4,FALSE)</f>
        <v>New Territories</v>
      </c>
      <c r="I4" s="80">
        <v>2008</v>
      </c>
      <c r="J4" s="80">
        <v>2</v>
      </c>
      <c r="K4" s="81" t="str">
        <f>IF(ISNUMBER(Table1[[#This Row],[Qtr]]),CONCATENATE(Table1[[#This Row],[Year]]," Q",Table1[[#This Row],[Qtr]]),CONCATENATE(Table1[[#This Row],[Year]],Table1[[#This Row],[Qtr]]))</f>
        <v>2008 Q2</v>
      </c>
      <c r="L4" s="80" t="s">
        <v>20</v>
      </c>
      <c r="M4" s="80" t="s">
        <v>84</v>
      </c>
      <c r="N4" s="80">
        <v>1</v>
      </c>
      <c r="O4" s="80" t="s">
        <v>413</v>
      </c>
      <c r="P4" s="80"/>
      <c r="Q4" s="82">
        <f>W4/(26+7)</f>
        <v>17501.285454545454</v>
      </c>
      <c r="R4" s="82">
        <f t="shared" si="0"/>
        <v>13063.908000000001</v>
      </c>
      <c r="S4" s="80" t="str">
        <f t="shared" si="1"/>
        <v>No</v>
      </c>
      <c r="T4" s="82"/>
      <c r="U4" s="82"/>
      <c r="V4" s="82">
        <v>53655</v>
      </c>
      <c r="W4" s="82">
        <f>V4*10.764</f>
        <v>577542.41999999993</v>
      </c>
      <c r="X4" s="82">
        <v>40051</v>
      </c>
      <c r="Y4" s="82">
        <f>X4*10.764</f>
        <v>431108.96399999998</v>
      </c>
      <c r="Z4" s="82"/>
      <c r="AA4" s="82"/>
      <c r="AB4" s="82"/>
      <c r="AC4" s="82">
        <f>IF(Table1[[#This Row],[For Sale or For Lease?]]="For Lease",Table1[[#This Row],[Office UFA (Net) (sf)]]-Table1[[#This Row],[Pre-leased space (Usable FA) (sf)]]-Table1[[#This Row],[Pre-sold (Usable FA) (sf)]]-Table1[[#This Row],[Self-use space (Usable FA) (sf)]],0)</f>
        <v>431108.96399999998</v>
      </c>
      <c r="AD4" s="82">
        <f>IF(Table1[[#This Row],[For Sale or For Lease?]]="For Sale",Table1[[#This Row],[Office UFA (Net) (sf)]]-Table1[[#This Row],[Pre-leased space (Usable FA) (sf)]]-Table1[[#This Row],[Pre-sold (Usable FA) (sf)]]-Table1[[#This Row],[Self-use space (Usable FA) (sf)]],0)</f>
        <v>0</v>
      </c>
      <c r="AE4" s="82">
        <f>IF(Table1[[#This Row],[For Sale or For Lease?]]="Uncertain",Table1[[#This Row],[Office UFA (Net) (sf)]]-Table1[[#This Row],[Pre-leased space (Usable FA) (sf)]]-Table1[[#This Row],[Pre-sold (Usable FA) (sf)]]-Table1[[#This Row],[Self-use space (Usable FA) (sf)]],0)</f>
        <v>0</v>
      </c>
      <c r="AF4" s="86">
        <f>1-SUM(Table1[[#This Row],[Space available for lease (Usable FA) (sf)]:[Space available uncertain of use (Usable FA) (sf)]])/Table1[[#This Row],[Office UFA (Net) (sf)]]</f>
        <v>0</v>
      </c>
      <c r="AG4" s="79" t="s">
        <v>89</v>
      </c>
      <c r="AH4" s="84" t="s">
        <v>103</v>
      </c>
      <c r="AI4" s="79" t="s">
        <v>92</v>
      </c>
      <c r="AJ4" s="83">
        <v>39600</v>
      </c>
      <c r="AK4" s="83">
        <v>40043</v>
      </c>
      <c r="AL4" s="85"/>
      <c r="AM4" s="85" t="s">
        <v>114</v>
      </c>
      <c r="AN4" s="79" t="s">
        <v>73</v>
      </c>
      <c r="AO4" s="77" t="s">
        <v>705</v>
      </c>
      <c r="AP4" s="77" t="s">
        <v>81</v>
      </c>
      <c r="AQ4" s="77" t="s">
        <v>414</v>
      </c>
      <c r="AR4" s="79" t="s">
        <v>2412</v>
      </c>
      <c r="AS4" s="79"/>
      <c r="AT4" s="80"/>
      <c r="AU4" s="80"/>
      <c r="AV4" s="77"/>
    </row>
    <row r="5" spans="1:48" ht="15" hidden="1" customHeight="1" x14ac:dyDescent="0.35">
      <c r="A5" s="77" t="s">
        <v>398</v>
      </c>
      <c r="B5" s="77" t="s">
        <v>399</v>
      </c>
      <c r="C5" s="77" t="s">
        <v>1145</v>
      </c>
      <c r="D5" s="77"/>
      <c r="E5" s="79" t="s">
        <v>171</v>
      </c>
      <c r="F5" s="77" t="str">
        <f>VLOOKUP(Table1[[#This Row],[CBRE sub-markets]],Reference!$A$2:$B$31,2,FALSE)</f>
        <v>Kowloon East</v>
      </c>
      <c r="G5" s="77">
        <f>VLOOKUP(Table1[[#This Row],[CBRE sub-markets]],Reference!$A$2:$D$31,3,FALSE)</f>
        <v>7</v>
      </c>
      <c r="H5" s="79" t="str">
        <f>VLOOKUP(Table1[[#This Row],[CBRE sub-markets]],Reference!$A$2:$D$31,4,FALSE)</f>
        <v>Kowloon</v>
      </c>
      <c r="I5" s="80">
        <v>2008</v>
      </c>
      <c r="J5" s="80">
        <v>3</v>
      </c>
      <c r="K5" s="81" t="str">
        <f>IF(ISNUMBER(Table1[[#This Row],[Qtr]]),CONCATENATE(Table1[[#This Row],[Year]]," Q",Table1[[#This Row],[Qtr]]),CONCATENATE(Table1[[#This Row],[Year]],Table1[[#This Row],[Qtr]]))</f>
        <v>2008 Q3</v>
      </c>
      <c r="L5" s="80" t="s">
        <v>20</v>
      </c>
      <c r="M5" s="80" t="s">
        <v>84</v>
      </c>
      <c r="N5" s="80">
        <v>1</v>
      </c>
      <c r="O5" s="80" t="s">
        <v>400</v>
      </c>
      <c r="P5" s="80"/>
      <c r="Q5" s="82">
        <f>W5/28</f>
        <v>21750.930128571428</v>
      </c>
      <c r="R5" s="82">
        <f t="shared" si="0"/>
        <v>18503.315999999999</v>
      </c>
      <c r="S5" s="80" t="str">
        <f t="shared" si="1"/>
        <v>Yes</v>
      </c>
      <c r="T5" s="82"/>
      <c r="U5" s="82"/>
      <c r="V5" s="82">
        <v>56579.9</v>
      </c>
      <c r="W5" s="82">
        <f>V5*10.764</f>
        <v>609026.04359999998</v>
      </c>
      <c r="X5" s="82">
        <v>48132</v>
      </c>
      <c r="Y5" s="82">
        <f>X5*10.764</f>
        <v>518092.84799999994</v>
      </c>
      <c r="Z5" s="82"/>
      <c r="AA5" s="82"/>
      <c r="AB5" s="82"/>
      <c r="AC5" s="82">
        <f>IF(Table1[[#This Row],[For Sale or For Lease?]]="For Lease",Table1[[#This Row],[Office UFA (Net) (sf)]]-Table1[[#This Row],[Pre-leased space (Usable FA) (sf)]]-Table1[[#This Row],[Pre-sold (Usable FA) (sf)]]-Table1[[#This Row],[Self-use space (Usable FA) (sf)]],0)</f>
        <v>518092.84799999994</v>
      </c>
      <c r="AD5" s="82">
        <f>IF(Table1[[#This Row],[For Sale or For Lease?]]="For Sale",Table1[[#This Row],[Office UFA (Net) (sf)]]-Table1[[#This Row],[Pre-leased space (Usable FA) (sf)]]-Table1[[#This Row],[Pre-sold (Usable FA) (sf)]]-Table1[[#This Row],[Self-use space (Usable FA) (sf)]],0)</f>
        <v>0</v>
      </c>
      <c r="AE5" s="82">
        <f>IF(Table1[[#This Row],[For Sale or For Lease?]]="Uncertain",Table1[[#This Row],[Office UFA (Net) (sf)]]-Table1[[#This Row],[Pre-leased space (Usable FA) (sf)]]-Table1[[#This Row],[Pre-sold (Usable FA) (sf)]]-Table1[[#This Row],[Self-use space (Usable FA) (sf)]],0)</f>
        <v>0</v>
      </c>
      <c r="AF5" s="86">
        <f>1-SUM(Table1[[#This Row],[Space available for lease (Usable FA) (sf)]:[Space available uncertain of use (Usable FA) (sf)]])/Table1[[#This Row],[Office UFA (Net) (sf)]]</f>
        <v>0</v>
      </c>
      <c r="AG5" s="79" t="s">
        <v>89</v>
      </c>
      <c r="AH5" s="84" t="s">
        <v>103</v>
      </c>
      <c r="AI5" s="79" t="s">
        <v>92</v>
      </c>
      <c r="AJ5" s="83">
        <v>39692</v>
      </c>
      <c r="AK5" s="83">
        <v>40043</v>
      </c>
      <c r="AL5" s="85"/>
      <c r="AM5" s="85" t="s">
        <v>272</v>
      </c>
      <c r="AN5" s="79" t="s">
        <v>73</v>
      </c>
      <c r="AO5" s="77" t="s">
        <v>705</v>
      </c>
      <c r="AP5" s="77" t="s">
        <v>81</v>
      </c>
      <c r="AQ5" s="77" t="s">
        <v>401</v>
      </c>
      <c r="AR5" s="79" t="s">
        <v>2330</v>
      </c>
      <c r="AS5" s="79"/>
      <c r="AT5" s="80"/>
      <c r="AU5" s="80"/>
      <c r="AV5" s="77"/>
    </row>
    <row r="6" spans="1:48" ht="15" hidden="1" customHeight="1" x14ac:dyDescent="0.35">
      <c r="A6" s="77"/>
      <c r="B6" s="77" t="s">
        <v>389</v>
      </c>
      <c r="C6" s="77" t="s">
        <v>1144</v>
      </c>
      <c r="D6" s="77"/>
      <c r="E6" s="79" t="s">
        <v>171</v>
      </c>
      <c r="F6" s="77" t="str">
        <f>VLOOKUP(Table1[[#This Row],[CBRE sub-markets]],Reference!$A$2:$B$31,2,FALSE)</f>
        <v>Kowloon East</v>
      </c>
      <c r="G6" s="77">
        <f>VLOOKUP(Table1[[#This Row],[CBRE sub-markets]],Reference!$A$2:$D$31,3,FALSE)</f>
        <v>7</v>
      </c>
      <c r="H6" s="79" t="str">
        <f>VLOOKUP(Table1[[#This Row],[CBRE sub-markets]],Reference!$A$2:$D$31,4,FALSE)</f>
        <v>Kowloon</v>
      </c>
      <c r="I6" s="80">
        <v>2008</v>
      </c>
      <c r="J6" s="80">
        <v>3</v>
      </c>
      <c r="K6" s="81" t="str">
        <f>IF(ISNUMBER(Table1[[#This Row],[Qtr]]),CONCATENATE(Table1[[#This Row],[Year]]," Q",Table1[[#This Row],[Qtr]]),CONCATENATE(Table1[[#This Row],[Year]],Table1[[#This Row],[Qtr]]))</f>
        <v>2008 Q3</v>
      </c>
      <c r="L6" s="80" t="s">
        <v>20</v>
      </c>
      <c r="M6" s="80" t="s">
        <v>84</v>
      </c>
      <c r="N6" s="80">
        <v>1</v>
      </c>
      <c r="O6" s="80">
        <v>41</v>
      </c>
      <c r="P6" s="80"/>
      <c r="Q6" s="82">
        <f>W6/O6</f>
        <v>17256.739785365855</v>
      </c>
      <c r="R6" s="82">
        <f t="shared" si="0"/>
        <v>13805.268292682927</v>
      </c>
      <c r="S6" s="80" t="str">
        <f t="shared" si="1"/>
        <v>No</v>
      </c>
      <c r="T6" s="82"/>
      <c r="U6" s="82"/>
      <c r="V6" s="82">
        <v>65730.8</v>
      </c>
      <c r="W6" s="82">
        <f>V6*10.764</f>
        <v>707526.33120000002</v>
      </c>
      <c r="X6" s="82">
        <v>51142.5</v>
      </c>
      <c r="Y6" s="82">
        <v>566016</v>
      </c>
      <c r="Z6" s="82"/>
      <c r="AA6" s="82"/>
      <c r="AB6" s="82"/>
      <c r="AC6" s="82">
        <f>IF(Table1[[#This Row],[For Sale or For Lease?]]="For Lease",Table1[[#This Row],[Office UFA (Net) (sf)]]-Table1[[#This Row],[Pre-leased space (Usable FA) (sf)]]-Table1[[#This Row],[Pre-sold (Usable FA) (sf)]]-Table1[[#This Row],[Self-use space (Usable FA) (sf)]],0)</f>
        <v>566016</v>
      </c>
      <c r="AD6" s="82">
        <f>IF(Table1[[#This Row],[For Sale or For Lease?]]="For Sale",Table1[[#This Row],[Office UFA (Net) (sf)]]-Table1[[#This Row],[Pre-leased space (Usable FA) (sf)]]-Table1[[#This Row],[Pre-sold (Usable FA) (sf)]]-Table1[[#This Row],[Self-use space (Usable FA) (sf)]],0)</f>
        <v>0</v>
      </c>
      <c r="AE6" s="82">
        <f>IF(Table1[[#This Row],[For Sale or For Lease?]]="Uncertain",Table1[[#This Row],[Office UFA (Net) (sf)]]-Table1[[#This Row],[Pre-leased space (Usable FA) (sf)]]-Table1[[#This Row],[Pre-sold (Usable FA) (sf)]]-Table1[[#This Row],[Self-use space (Usable FA) (sf)]],0)</f>
        <v>0</v>
      </c>
      <c r="AF6" s="86">
        <f>1-SUM(Table1[[#This Row],[Space available for lease (Usable FA) (sf)]:[Space available uncertain of use (Usable FA) (sf)]])/Table1[[#This Row],[Office UFA (Net) (sf)]]</f>
        <v>0</v>
      </c>
      <c r="AG6" s="79" t="s">
        <v>89</v>
      </c>
      <c r="AH6" s="84" t="s">
        <v>103</v>
      </c>
      <c r="AI6" s="79" t="s">
        <v>92</v>
      </c>
      <c r="AJ6" s="83">
        <v>39661</v>
      </c>
      <c r="AK6" s="83">
        <v>40043</v>
      </c>
      <c r="AL6" s="85"/>
      <c r="AM6" s="85" t="s">
        <v>390</v>
      </c>
      <c r="AN6" s="79" t="s">
        <v>73</v>
      </c>
      <c r="AO6" s="77" t="s">
        <v>705</v>
      </c>
      <c r="AP6" s="77" t="s">
        <v>81</v>
      </c>
      <c r="AQ6" s="77" t="s">
        <v>391</v>
      </c>
      <c r="AR6" s="79" t="s">
        <v>2329</v>
      </c>
      <c r="AS6" s="79"/>
      <c r="AT6" s="80"/>
      <c r="AU6" s="80"/>
      <c r="AV6" s="77"/>
    </row>
    <row r="7" spans="1:48" ht="15" hidden="1" customHeight="1" x14ac:dyDescent="0.35">
      <c r="A7" s="77" t="s">
        <v>364</v>
      </c>
      <c r="B7" s="77" t="s">
        <v>365</v>
      </c>
      <c r="C7" s="77" t="s">
        <v>1143</v>
      </c>
      <c r="D7" s="77"/>
      <c r="E7" s="79" t="s">
        <v>50</v>
      </c>
      <c r="F7" s="77" t="str">
        <f>VLOOKUP(Table1[[#This Row],[CBRE sub-markets]],Reference!$A$2:$B$31,2,FALSE)</f>
        <v>Kowloon East</v>
      </c>
      <c r="G7" s="77">
        <f>VLOOKUP(Table1[[#This Row],[CBRE sub-markets]],Reference!$A$2:$D$31,3,FALSE)</f>
        <v>7</v>
      </c>
      <c r="H7" s="79" t="str">
        <f>VLOOKUP(Table1[[#This Row],[CBRE sub-markets]],Reference!$A$2:$D$31,4,FALSE)</f>
        <v>Kowloon</v>
      </c>
      <c r="I7" s="80">
        <v>2008</v>
      </c>
      <c r="J7" s="80">
        <v>3</v>
      </c>
      <c r="K7" s="81" t="str">
        <f>IF(ISNUMBER(Table1[[#This Row],[Qtr]]),CONCATENATE(Table1[[#This Row],[Year]]," Q",Table1[[#This Row],[Qtr]]),CONCATENATE(Table1[[#This Row],[Year]],Table1[[#This Row],[Qtr]]))</f>
        <v>2008 Q3</v>
      </c>
      <c r="L7" s="80" t="s">
        <v>20</v>
      </c>
      <c r="M7" s="80" t="s">
        <v>84</v>
      </c>
      <c r="N7" s="80">
        <v>2</v>
      </c>
      <c r="O7" s="80" t="s">
        <v>366</v>
      </c>
      <c r="P7" s="80"/>
      <c r="Q7" s="82">
        <f>W7/42/2</f>
        <v>14315.633057142855</v>
      </c>
      <c r="R7" s="82">
        <f t="shared" si="0"/>
        <v>11238.961499999999</v>
      </c>
      <c r="S7" s="80" t="str">
        <f t="shared" si="1"/>
        <v>No</v>
      </c>
      <c r="T7" s="82"/>
      <c r="U7" s="82"/>
      <c r="V7" s="82">
        <v>111716.2</v>
      </c>
      <c r="W7" s="82">
        <f>V7*10.764</f>
        <v>1202513.1767999998</v>
      </c>
      <c r="X7" s="82">
        <v>87706.5</v>
      </c>
      <c r="Y7" s="82">
        <f>X7*10.764</f>
        <v>944072.76599999995</v>
      </c>
      <c r="Z7" s="82"/>
      <c r="AA7" s="82"/>
      <c r="AB7" s="82"/>
      <c r="AC7" s="82">
        <f>IF(Table1[[#This Row],[For Sale or For Lease?]]="For Lease",Table1[[#This Row],[Office UFA (Net) (sf)]]-Table1[[#This Row],[Pre-leased space (Usable FA) (sf)]]-Table1[[#This Row],[Pre-sold (Usable FA) (sf)]]-Table1[[#This Row],[Self-use space (Usable FA) (sf)]],0)</f>
        <v>944072.76599999995</v>
      </c>
      <c r="AD7" s="82">
        <f>IF(Table1[[#This Row],[For Sale or For Lease?]]="For Sale",Table1[[#This Row],[Office UFA (Net) (sf)]]-Table1[[#This Row],[Pre-leased space (Usable FA) (sf)]]-Table1[[#This Row],[Pre-sold (Usable FA) (sf)]]-Table1[[#This Row],[Self-use space (Usable FA) (sf)]],0)</f>
        <v>0</v>
      </c>
      <c r="AE7" s="82">
        <f>IF(Table1[[#This Row],[For Sale or For Lease?]]="Uncertain",Table1[[#This Row],[Office UFA (Net) (sf)]]-Table1[[#This Row],[Pre-leased space (Usable FA) (sf)]]-Table1[[#This Row],[Pre-sold (Usable FA) (sf)]]-Table1[[#This Row],[Self-use space (Usable FA) (sf)]],0)</f>
        <v>0</v>
      </c>
      <c r="AF7" s="86">
        <f>1-SUM(Table1[[#This Row],[Space available for lease (Usable FA) (sf)]:[Space available uncertain of use (Usable FA) (sf)]])/Table1[[#This Row],[Office UFA (Net) (sf)]]</f>
        <v>0</v>
      </c>
      <c r="AG7" s="79" t="s">
        <v>89</v>
      </c>
      <c r="AH7" s="84" t="s">
        <v>103</v>
      </c>
      <c r="AI7" s="79" t="s">
        <v>92</v>
      </c>
      <c r="AJ7" s="83">
        <v>39692</v>
      </c>
      <c r="AK7" s="83">
        <v>40043</v>
      </c>
      <c r="AL7" s="85"/>
      <c r="AM7" s="85" t="s">
        <v>367</v>
      </c>
      <c r="AN7" s="79" t="s">
        <v>73</v>
      </c>
      <c r="AO7" s="77" t="s">
        <v>705</v>
      </c>
      <c r="AP7" s="77" t="s">
        <v>81</v>
      </c>
      <c r="AQ7" s="77"/>
      <c r="AR7" s="79" t="s">
        <v>2411</v>
      </c>
      <c r="AS7" s="79"/>
      <c r="AT7" s="80"/>
      <c r="AU7" s="80"/>
      <c r="AV7" s="77"/>
    </row>
    <row r="8" spans="1:48" ht="15" hidden="1" customHeight="1" x14ac:dyDescent="0.35">
      <c r="A8" s="77" t="s">
        <v>457</v>
      </c>
      <c r="B8" s="77" t="s">
        <v>458</v>
      </c>
      <c r="C8" s="77" t="s">
        <v>1146</v>
      </c>
      <c r="D8" s="77"/>
      <c r="E8" s="79" t="s">
        <v>11</v>
      </c>
      <c r="F8" s="77" t="str">
        <f>VLOOKUP(Table1[[#This Row],[CBRE sub-markets]],Reference!$A$2:$B$31,2,FALSE)</f>
        <v>Kowloon Others</v>
      </c>
      <c r="G8" s="77">
        <f>VLOOKUP(Table1[[#This Row],[CBRE sub-markets]],Reference!$A$2:$D$31,3,FALSE)</f>
        <v>8</v>
      </c>
      <c r="H8" s="79" t="str">
        <f>VLOOKUP(Table1[[#This Row],[CBRE sub-markets]],Reference!$A$2:$D$31,4,FALSE)</f>
        <v>Kowloon</v>
      </c>
      <c r="I8" s="80">
        <v>2009</v>
      </c>
      <c r="J8" s="80">
        <v>1</v>
      </c>
      <c r="K8" s="81" t="str">
        <f>IF(ISNUMBER(Table1[[#This Row],[Qtr]]),CONCATENATE(Table1[[#This Row],[Year]]," Q",Table1[[#This Row],[Qtr]]),CONCATENATE(Table1[[#This Row],[Year]],Table1[[#This Row],[Qtr]]))</f>
        <v>2009 Q1</v>
      </c>
      <c r="L8" s="80" t="s">
        <v>20</v>
      </c>
      <c r="M8" s="80" t="s">
        <v>84</v>
      </c>
      <c r="N8" s="80">
        <v>1</v>
      </c>
      <c r="O8" s="80">
        <v>27</v>
      </c>
      <c r="P8" s="80"/>
      <c r="Q8" s="82">
        <f>+W8/O8</f>
        <v>8021.9706666666661</v>
      </c>
      <c r="R8" s="82">
        <f t="shared" si="0"/>
        <v>6128.0249333333331</v>
      </c>
      <c r="S8" s="80" t="str">
        <f t="shared" si="1"/>
        <v>No</v>
      </c>
      <c r="T8" s="82"/>
      <c r="U8" s="82"/>
      <c r="V8" s="82">
        <v>20122</v>
      </c>
      <c r="W8" s="82">
        <f>V8*10.764</f>
        <v>216593.20799999998</v>
      </c>
      <c r="X8" s="82">
        <v>15371.3</v>
      </c>
      <c r="Y8" s="82">
        <f>X8*10.764</f>
        <v>165456.67319999999</v>
      </c>
      <c r="Z8" s="82"/>
      <c r="AA8" s="82"/>
      <c r="AB8" s="82"/>
      <c r="AC8" s="82">
        <f>IF(Table1[[#This Row],[For Sale or For Lease?]]="For Lease",Table1[[#This Row],[Office UFA (Net) (sf)]]-Table1[[#This Row],[Pre-leased space (Usable FA) (sf)]]-Table1[[#This Row],[Pre-sold (Usable FA) (sf)]]-Table1[[#This Row],[Self-use space (Usable FA) (sf)]],0)</f>
        <v>165456.67319999999</v>
      </c>
      <c r="AD8" s="82">
        <f>IF(Table1[[#This Row],[For Sale or For Lease?]]="For Sale",Table1[[#This Row],[Office UFA (Net) (sf)]]-Table1[[#This Row],[Pre-leased space (Usable FA) (sf)]]-Table1[[#This Row],[Pre-sold (Usable FA) (sf)]]-Table1[[#This Row],[Self-use space (Usable FA) (sf)]],0)</f>
        <v>0</v>
      </c>
      <c r="AE8" s="82">
        <f>IF(Table1[[#This Row],[For Sale or For Lease?]]="Uncertain",Table1[[#This Row],[Office UFA (Net) (sf)]]-Table1[[#This Row],[Pre-leased space (Usable FA) (sf)]]-Table1[[#This Row],[Pre-sold (Usable FA) (sf)]]-Table1[[#This Row],[Self-use space (Usable FA) (sf)]],0)</f>
        <v>0</v>
      </c>
      <c r="AF8" s="86">
        <f>1-SUM(Table1[[#This Row],[Space available for lease (Usable FA) (sf)]:[Space available uncertain of use (Usable FA) (sf)]])/Table1[[#This Row],[Office UFA (Net) (sf)]]</f>
        <v>0</v>
      </c>
      <c r="AG8" s="79" t="s">
        <v>89</v>
      </c>
      <c r="AH8" s="84" t="s">
        <v>103</v>
      </c>
      <c r="AI8" s="79" t="s">
        <v>92</v>
      </c>
      <c r="AJ8" s="83">
        <v>39814</v>
      </c>
      <c r="AK8" s="83">
        <v>40043</v>
      </c>
      <c r="AL8" s="85"/>
      <c r="AM8" s="85" t="s">
        <v>434</v>
      </c>
      <c r="AN8" s="79" t="s">
        <v>73</v>
      </c>
      <c r="AO8" s="77" t="s">
        <v>705</v>
      </c>
      <c r="AP8" s="77" t="s">
        <v>81</v>
      </c>
      <c r="AQ8" s="77"/>
      <c r="AR8" s="79" t="s">
        <v>2332</v>
      </c>
      <c r="AS8" s="79"/>
      <c r="AT8" s="80"/>
      <c r="AU8" s="80"/>
      <c r="AV8" s="77"/>
    </row>
    <row r="9" spans="1:48" ht="15" hidden="1" customHeight="1" x14ac:dyDescent="0.35">
      <c r="A9" s="77" t="s">
        <v>385</v>
      </c>
      <c r="B9" s="77" t="s">
        <v>386</v>
      </c>
      <c r="C9" s="77" t="s">
        <v>1141</v>
      </c>
      <c r="D9" s="77"/>
      <c r="E9" s="79" t="s">
        <v>2496</v>
      </c>
      <c r="F9" s="77" t="str">
        <f>VLOOKUP(Table1[[#This Row],[CBRE sub-markets]],Reference!$A$2:$B$31,2,FALSE)</f>
        <v>Tsim Sha Tsui West</v>
      </c>
      <c r="G9" s="77">
        <f>VLOOKUP(Table1[[#This Row],[CBRE sub-markets]],Reference!$A$2:$D$31,3,FALSE)</f>
        <v>6</v>
      </c>
      <c r="H9" s="79" t="str">
        <f>VLOOKUP(Table1[[#This Row],[CBRE sub-markets]],Reference!$A$2:$D$31,4,FALSE)</f>
        <v>Kowloon</v>
      </c>
      <c r="I9" s="80">
        <v>2009</v>
      </c>
      <c r="J9" s="80">
        <v>1</v>
      </c>
      <c r="K9" s="81" t="str">
        <f>IF(ISNUMBER(Table1[[#This Row],[Qtr]]),CONCATENATE(Table1[[#This Row],[Year]]," Q",Table1[[#This Row],[Qtr]]),CONCATENATE(Table1[[#This Row],[Year]],Table1[[#This Row],[Qtr]]))</f>
        <v>2009 Q1</v>
      </c>
      <c r="L9" s="80" t="s">
        <v>20</v>
      </c>
      <c r="M9" s="80" t="s">
        <v>84</v>
      </c>
      <c r="N9" s="80">
        <v>1</v>
      </c>
      <c r="O9" s="80" t="s">
        <v>387</v>
      </c>
      <c r="P9" s="80"/>
      <c r="Q9" s="82">
        <v>35000</v>
      </c>
      <c r="R9" s="82">
        <f t="shared" si="0"/>
        <v>27300</v>
      </c>
      <c r="S9" s="80" t="str">
        <f t="shared" si="1"/>
        <v>Yes</v>
      </c>
      <c r="T9" s="82"/>
      <c r="U9" s="82"/>
      <c r="V9" s="82">
        <f>W9/10.764</f>
        <v>72312.430323299894</v>
      </c>
      <c r="W9" s="82">
        <v>778371</v>
      </c>
      <c r="X9" s="82">
        <f>Y9/10.764</f>
        <v>56403.695652173919</v>
      </c>
      <c r="Y9" s="82">
        <f>W9*0.78</f>
        <v>607129.38</v>
      </c>
      <c r="Z9" s="82"/>
      <c r="AA9" s="82"/>
      <c r="AB9" s="82"/>
      <c r="AC9" s="82">
        <f>IF(Table1[[#This Row],[For Sale or For Lease?]]="For Lease",Table1[[#This Row],[Office UFA (Net) (sf)]]-Table1[[#This Row],[Pre-leased space (Usable FA) (sf)]]-Table1[[#This Row],[Pre-sold (Usable FA) (sf)]]-Table1[[#This Row],[Self-use space (Usable FA) (sf)]],0)</f>
        <v>607129.38</v>
      </c>
      <c r="AD9" s="82">
        <f>IF(Table1[[#This Row],[For Sale or For Lease?]]="For Sale",Table1[[#This Row],[Office UFA (Net) (sf)]]-Table1[[#This Row],[Pre-leased space (Usable FA) (sf)]]-Table1[[#This Row],[Pre-sold (Usable FA) (sf)]]-Table1[[#This Row],[Self-use space (Usable FA) (sf)]],0)</f>
        <v>0</v>
      </c>
      <c r="AE9" s="82">
        <f>IF(Table1[[#This Row],[For Sale or For Lease?]]="Uncertain",Table1[[#This Row],[Office UFA (Net) (sf)]]-Table1[[#This Row],[Pre-leased space (Usable FA) (sf)]]-Table1[[#This Row],[Pre-sold (Usable FA) (sf)]]-Table1[[#This Row],[Self-use space (Usable FA) (sf)]],0)</f>
        <v>0</v>
      </c>
      <c r="AF9" s="86">
        <f>1-SUM(Table1[[#This Row],[Space available for lease (Usable FA) (sf)]:[Space available uncertain of use (Usable FA) (sf)]])/Table1[[#This Row],[Office UFA (Net) (sf)]]</f>
        <v>0</v>
      </c>
      <c r="AG9" s="79" t="s">
        <v>355</v>
      </c>
      <c r="AH9" s="84" t="s">
        <v>384</v>
      </c>
      <c r="AI9" s="79" t="s">
        <v>133</v>
      </c>
      <c r="AJ9" s="83"/>
      <c r="AK9" s="83">
        <v>40043</v>
      </c>
      <c r="AL9" s="85" t="s">
        <v>29</v>
      </c>
      <c r="AM9" s="85" t="s">
        <v>114</v>
      </c>
      <c r="AN9" s="79" t="s">
        <v>73</v>
      </c>
      <c r="AO9" s="77" t="s">
        <v>705</v>
      </c>
      <c r="AP9" s="77" t="s">
        <v>81</v>
      </c>
      <c r="AQ9" s="77" t="s">
        <v>388</v>
      </c>
      <c r="AR9" s="79" t="s">
        <v>2328</v>
      </c>
      <c r="AS9" s="79"/>
      <c r="AT9" s="80"/>
      <c r="AU9" s="80"/>
      <c r="AV9" s="77"/>
    </row>
    <row r="10" spans="1:48" ht="15" hidden="1" customHeight="1" x14ac:dyDescent="0.35">
      <c r="A10" s="77" t="s">
        <v>406</v>
      </c>
      <c r="B10" s="77" t="s">
        <v>407</v>
      </c>
      <c r="C10" s="77" t="s">
        <v>1147</v>
      </c>
      <c r="D10" s="77"/>
      <c r="E10" s="79" t="s">
        <v>171</v>
      </c>
      <c r="F10" s="77" t="str">
        <f>VLOOKUP(Table1[[#This Row],[CBRE sub-markets]],Reference!$A$2:$B$31,2,FALSE)</f>
        <v>Kowloon East</v>
      </c>
      <c r="G10" s="77">
        <f>VLOOKUP(Table1[[#This Row],[CBRE sub-markets]],Reference!$A$2:$D$31,3,FALSE)</f>
        <v>7</v>
      </c>
      <c r="H10" s="79" t="str">
        <f>VLOOKUP(Table1[[#This Row],[CBRE sub-markets]],Reference!$A$2:$D$31,4,FALSE)</f>
        <v>Kowloon</v>
      </c>
      <c r="I10" s="80">
        <v>2009</v>
      </c>
      <c r="J10" s="80">
        <v>3</v>
      </c>
      <c r="K10" s="81" t="str">
        <f>IF(ISNUMBER(Table1[[#This Row],[Qtr]]),CONCATENATE(Table1[[#This Row],[Year]]," Q",Table1[[#This Row],[Qtr]]),CONCATENATE(Table1[[#This Row],[Year]],Table1[[#This Row],[Qtr]]))</f>
        <v>2009 Q3</v>
      </c>
      <c r="L10" s="80" t="s">
        <v>20</v>
      </c>
      <c r="M10" s="80" t="s">
        <v>84</v>
      </c>
      <c r="N10" s="80">
        <v>1</v>
      </c>
      <c r="O10" s="80">
        <v>31</v>
      </c>
      <c r="P10" s="80"/>
      <c r="Q10" s="82">
        <v>27000</v>
      </c>
      <c r="R10" s="82">
        <f t="shared" si="0"/>
        <v>23151.879987385582</v>
      </c>
      <c r="S10" s="80" t="str">
        <f t="shared" si="1"/>
        <v>Yes</v>
      </c>
      <c r="T10" s="82"/>
      <c r="U10" s="82"/>
      <c r="V10" s="82">
        <v>50101.4</v>
      </c>
      <c r="W10" s="82">
        <f>V10*10.764</f>
        <v>539291.46959999995</v>
      </c>
      <c r="X10" s="82">
        <v>42960.800000000003</v>
      </c>
      <c r="Y10" s="82">
        <f>+X10*10.764</f>
        <v>462430.05119999999</v>
      </c>
      <c r="Z10" s="82"/>
      <c r="AA10" s="82"/>
      <c r="AB10" s="82"/>
      <c r="AC10" s="82">
        <f>IF(Table1[[#This Row],[For Sale or For Lease?]]="For Lease",Table1[[#This Row],[Office UFA (Net) (sf)]]-Table1[[#This Row],[Pre-leased space (Usable FA) (sf)]]-Table1[[#This Row],[Pre-sold (Usable FA) (sf)]]-Table1[[#This Row],[Self-use space (Usable FA) (sf)]],0)</f>
        <v>0</v>
      </c>
      <c r="AD10" s="82">
        <f>IF(Table1[[#This Row],[For Sale or For Lease?]]="For Sale",Table1[[#This Row],[Office UFA (Net) (sf)]]-Table1[[#This Row],[Pre-leased space (Usable FA) (sf)]]-Table1[[#This Row],[Pre-sold (Usable FA) (sf)]]-Table1[[#This Row],[Self-use space (Usable FA) (sf)]],0)</f>
        <v>462430.05119999999</v>
      </c>
      <c r="AE10" s="82">
        <f>IF(Table1[[#This Row],[For Sale or For Lease?]]="Uncertain",Table1[[#This Row],[Office UFA (Net) (sf)]]-Table1[[#This Row],[Pre-leased space (Usable FA) (sf)]]-Table1[[#This Row],[Pre-sold (Usable FA) (sf)]]-Table1[[#This Row],[Self-use space (Usable FA) (sf)]],0)</f>
        <v>0</v>
      </c>
      <c r="AF10" s="86">
        <f>1-SUM(Table1[[#This Row],[Space available for lease (Usable FA) (sf)]:[Space available uncertain of use (Usable FA) (sf)]])/Table1[[#This Row],[Office UFA (Net) (sf)]]</f>
        <v>0</v>
      </c>
      <c r="AG10" s="79" t="s">
        <v>89</v>
      </c>
      <c r="AH10" s="84" t="s">
        <v>103</v>
      </c>
      <c r="AI10" s="79" t="s">
        <v>92</v>
      </c>
      <c r="AJ10" s="83">
        <v>40026</v>
      </c>
      <c r="AK10" s="83">
        <v>40092</v>
      </c>
      <c r="AL10" s="85" t="s">
        <v>30</v>
      </c>
      <c r="AM10" s="85" t="s">
        <v>501</v>
      </c>
      <c r="AN10" s="79" t="s">
        <v>73</v>
      </c>
      <c r="AO10" s="77" t="s">
        <v>704</v>
      </c>
      <c r="AP10" s="77" t="s">
        <v>82</v>
      </c>
      <c r="AQ10" s="77" t="s">
        <v>408</v>
      </c>
      <c r="AR10" s="79" t="s">
        <v>2331</v>
      </c>
      <c r="AS10" s="79"/>
      <c r="AT10" s="80"/>
      <c r="AU10" s="80"/>
      <c r="AV10" s="77"/>
    </row>
    <row r="11" spans="1:48" ht="15" hidden="1" customHeight="1" x14ac:dyDescent="0.35">
      <c r="A11" s="77" t="s">
        <v>480</v>
      </c>
      <c r="B11" s="77" t="s">
        <v>481</v>
      </c>
      <c r="C11" s="77" t="s">
        <v>1148</v>
      </c>
      <c r="D11" s="77"/>
      <c r="E11" s="79" t="s">
        <v>50</v>
      </c>
      <c r="F11" s="77" t="str">
        <f>VLOOKUP(Table1[[#This Row],[CBRE sub-markets]],Reference!$A$2:$B$31,2,FALSE)</f>
        <v>Kowloon East</v>
      </c>
      <c r="G11" s="77">
        <f>VLOOKUP(Table1[[#This Row],[CBRE sub-markets]],Reference!$A$2:$D$31,3,FALSE)</f>
        <v>7</v>
      </c>
      <c r="H11" s="79" t="str">
        <f>VLOOKUP(Table1[[#This Row],[CBRE sub-markets]],Reference!$A$2:$D$31,4,FALSE)</f>
        <v>Kowloon</v>
      </c>
      <c r="I11" s="80">
        <v>2009</v>
      </c>
      <c r="J11" s="80">
        <v>3</v>
      </c>
      <c r="K11" s="81" t="str">
        <f>IF(ISNUMBER(Table1[[#This Row],[Qtr]]),CONCATENATE(Table1[[#This Row],[Year]]," Q",Table1[[#This Row],[Qtr]]),CONCATENATE(Table1[[#This Row],[Year]],Table1[[#This Row],[Qtr]]))</f>
        <v>2009 Q3</v>
      </c>
      <c r="L11" s="80" t="s">
        <v>20</v>
      </c>
      <c r="M11" s="80" t="s">
        <v>84</v>
      </c>
      <c r="N11" s="80">
        <v>1</v>
      </c>
      <c r="O11" s="80" t="s">
        <v>482</v>
      </c>
      <c r="P11" s="80"/>
      <c r="Q11" s="82">
        <v>11080</v>
      </c>
      <c r="R11" s="82">
        <f t="shared" si="0"/>
        <v>7922.199999999998</v>
      </c>
      <c r="S11" s="80" t="str">
        <f t="shared" si="1"/>
        <v>No</v>
      </c>
      <c r="T11" s="82"/>
      <c r="U11" s="82"/>
      <c r="V11" s="82">
        <f>W11/10.764</f>
        <v>13381.642512077295</v>
      </c>
      <c r="W11" s="82">
        <f>11080*(25-10-2)</f>
        <v>144040</v>
      </c>
      <c r="X11" s="82">
        <f>V11*0.715</f>
        <v>9567.8743961352648</v>
      </c>
      <c r="Y11" s="82">
        <f>X11*10.764</f>
        <v>102988.59999999998</v>
      </c>
      <c r="Z11" s="82"/>
      <c r="AA11" s="82"/>
      <c r="AB11" s="82"/>
      <c r="AC11" s="82">
        <f>IF(Table1[[#This Row],[For Sale or For Lease?]]="For Lease",Table1[[#This Row],[Office UFA (Net) (sf)]]-Table1[[#This Row],[Pre-leased space (Usable FA) (sf)]]-Table1[[#This Row],[Pre-sold (Usable FA) (sf)]]-Table1[[#This Row],[Self-use space (Usable FA) (sf)]],0)</f>
        <v>102988.59999999998</v>
      </c>
      <c r="AD11" s="82">
        <f>IF(Table1[[#This Row],[For Sale or For Lease?]]="For Sale",Table1[[#This Row],[Office UFA (Net) (sf)]]-Table1[[#This Row],[Pre-leased space (Usable FA) (sf)]]-Table1[[#This Row],[Pre-sold (Usable FA) (sf)]]-Table1[[#This Row],[Self-use space (Usable FA) (sf)]],0)</f>
        <v>0</v>
      </c>
      <c r="AE11" s="82">
        <f>IF(Table1[[#This Row],[For Sale or For Lease?]]="Uncertain",Table1[[#This Row],[Office UFA (Net) (sf)]]-Table1[[#This Row],[Pre-leased space (Usable FA) (sf)]]-Table1[[#This Row],[Pre-sold (Usable FA) (sf)]]-Table1[[#This Row],[Self-use space (Usable FA) (sf)]],0)</f>
        <v>0</v>
      </c>
      <c r="AF11" s="86">
        <f>1-SUM(Table1[[#This Row],[Space available for lease (Usable FA) (sf)]:[Space available uncertain of use (Usable FA) (sf)]])/Table1[[#This Row],[Office UFA (Net) (sf)]]</f>
        <v>0</v>
      </c>
      <c r="AG11" s="79" t="s">
        <v>89</v>
      </c>
      <c r="AH11" s="84" t="s">
        <v>103</v>
      </c>
      <c r="AI11" s="79" t="s">
        <v>92</v>
      </c>
      <c r="AJ11" s="83">
        <v>40057</v>
      </c>
      <c r="AK11" s="83">
        <v>40122</v>
      </c>
      <c r="AL11" s="85"/>
      <c r="AM11" s="85" t="s">
        <v>483</v>
      </c>
      <c r="AN11" s="79" t="s">
        <v>73</v>
      </c>
      <c r="AO11" s="77" t="s">
        <v>705</v>
      </c>
      <c r="AP11" s="77" t="s">
        <v>81</v>
      </c>
      <c r="AQ11" s="77" t="s">
        <v>484</v>
      </c>
      <c r="AR11" s="79" t="s">
        <v>2414</v>
      </c>
      <c r="AS11" s="79"/>
      <c r="AT11" s="80"/>
      <c r="AU11" s="80"/>
      <c r="AV11" s="77"/>
    </row>
    <row r="12" spans="1:48" ht="15" hidden="1" customHeight="1" x14ac:dyDescent="0.35">
      <c r="A12" s="77" t="s">
        <v>445</v>
      </c>
      <c r="B12" s="77" t="s">
        <v>446</v>
      </c>
      <c r="C12" s="77" t="s">
        <v>1149</v>
      </c>
      <c r="D12" s="77"/>
      <c r="E12" s="79" t="s">
        <v>50</v>
      </c>
      <c r="F12" s="77" t="str">
        <f>VLOOKUP(Table1[[#This Row],[CBRE sub-markets]],Reference!$A$2:$B$31,2,FALSE)</f>
        <v>Kowloon East</v>
      </c>
      <c r="G12" s="77">
        <f>VLOOKUP(Table1[[#This Row],[CBRE sub-markets]],Reference!$A$2:$D$31,3,FALSE)</f>
        <v>7</v>
      </c>
      <c r="H12" s="79" t="str">
        <f>VLOOKUP(Table1[[#This Row],[CBRE sub-markets]],Reference!$A$2:$D$31,4,FALSE)</f>
        <v>Kowloon</v>
      </c>
      <c r="I12" s="80">
        <v>2009</v>
      </c>
      <c r="J12" s="80">
        <v>4</v>
      </c>
      <c r="K12" s="81" t="str">
        <f>IF(ISNUMBER(Table1[[#This Row],[Qtr]]),CONCATENATE(Table1[[#This Row],[Year]]," Q",Table1[[#This Row],[Qtr]]),CONCATENATE(Table1[[#This Row],[Year]],Table1[[#This Row],[Qtr]]))</f>
        <v>2009 Q4</v>
      </c>
      <c r="L12" s="80" t="s">
        <v>20</v>
      </c>
      <c r="M12" s="80" t="s">
        <v>84</v>
      </c>
      <c r="N12" s="80">
        <v>1</v>
      </c>
      <c r="O12" s="80" t="s">
        <v>160</v>
      </c>
      <c r="P12" s="80"/>
      <c r="Q12" s="82">
        <f>W12/25</f>
        <v>11697.195744000001</v>
      </c>
      <c r="R12" s="82">
        <f t="shared" si="0"/>
        <v>9348.4048320000002</v>
      </c>
      <c r="S12" s="80" t="str">
        <f t="shared" si="1"/>
        <v>No</v>
      </c>
      <c r="T12" s="82"/>
      <c r="U12" s="82"/>
      <c r="V12" s="82">
        <v>27167.4</v>
      </c>
      <c r="W12" s="82">
        <f>+V12*10.764</f>
        <v>292429.89360000001</v>
      </c>
      <c r="X12" s="82">
        <v>21712.2</v>
      </c>
      <c r="Y12" s="82">
        <f>+X12*10.764</f>
        <v>233710.1208</v>
      </c>
      <c r="Z12" s="82"/>
      <c r="AA12" s="82"/>
      <c r="AB12" s="82"/>
      <c r="AC12" s="82">
        <f>IF(Table1[[#This Row],[For Sale or For Lease?]]="For Lease",Table1[[#This Row],[Office UFA (Net) (sf)]]-Table1[[#This Row],[Pre-leased space (Usable FA) (sf)]]-Table1[[#This Row],[Pre-sold (Usable FA) (sf)]]-Table1[[#This Row],[Self-use space (Usable FA) (sf)]],0)</f>
        <v>233710.1208</v>
      </c>
      <c r="AD12" s="82">
        <f>IF(Table1[[#This Row],[For Sale or For Lease?]]="For Sale",Table1[[#This Row],[Office UFA (Net) (sf)]]-Table1[[#This Row],[Pre-leased space (Usable FA) (sf)]]-Table1[[#This Row],[Pre-sold (Usable FA) (sf)]]-Table1[[#This Row],[Self-use space (Usable FA) (sf)]],0)</f>
        <v>0</v>
      </c>
      <c r="AE12" s="82">
        <f>IF(Table1[[#This Row],[For Sale or For Lease?]]="Uncertain",Table1[[#This Row],[Office UFA (Net) (sf)]]-Table1[[#This Row],[Pre-leased space (Usable FA) (sf)]]-Table1[[#This Row],[Pre-sold (Usable FA) (sf)]]-Table1[[#This Row],[Self-use space (Usable FA) (sf)]],0)</f>
        <v>0</v>
      </c>
      <c r="AF12" s="86">
        <f>1-SUM(Table1[[#This Row],[Space available for lease (Usable FA) (sf)]:[Space available uncertain of use (Usable FA) (sf)]])/Table1[[#This Row],[Office UFA (Net) (sf)]]</f>
        <v>0</v>
      </c>
      <c r="AG12" s="79" t="s">
        <v>89</v>
      </c>
      <c r="AH12" s="84" t="s">
        <v>103</v>
      </c>
      <c r="AI12" s="79" t="s">
        <v>92</v>
      </c>
      <c r="AJ12" s="83">
        <v>40148</v>
      </c>
      <c r="AK12" s="83">
        <v>40212</v>
      </c>
      <c r="AL12" s="85" t="s">
        <v>30</v>
      </c>
      <c r="AM12" s="85" t="s">
        <v>114</v>
      </c>
      <c r="AN12" s="79" t="s">
        <v>73</v>
      </c>
      <c r="AO12" s="77" t="s">
        <v>705</v>
      </c>
      <c r="AP12" s="77" t="s">
        <v>82</v>
      </c>
      <c r="AQ12" s="77" t="s">
        <v>447</v>
      </c>
      <c r="AR12" s="79" t="s">
        <v>2413</v>
      </c>
      <c r="AS12" s="79"/>
      <c r="AT12" s="80"/>
      <c r="AU12" s="80"/>
      <c r="AV12" s="77"/>
    </row>
    <row r="13" spans="1:48" ht="15" hidden="1" customHeight="1" x14ac:dyDescent="0.35">
      <c r="A13" s="77"/>
      <c r="B13" s="77" t="s">
        <v>502</v>
      </c>
      <c r="C13" s="77" t="s">
        <v>1150</v>
      </c>
      <c r="D13" s="77"/>
      <c r="E13" s="79" t="s">
        <v>8</v>
      </c>
      <c r="F13" s="77" t="str">
        <f>VLOOKUP(Table1[[#This Row],[CBRE sub-markets]],Reference!$A$2:$B$31,2,FALSE)</f>
        <v>Tsim Sha Tsui</v>
      </c>
      <c r="G13" s="77">
        <f>VLOOKUP(Table1[[#This Row],[CBRE sub-markets]],Reference!$A$2:$D$31,3,FALSE)</f>
        <v>6</v>
      </c>
      <c r="H13" s="79" t="str">
        <f>VLOOKUP(Table1[[#This Row],[CBRE sub-markets]],Reference!$A$2:$D$31,4,FALSE)</f>
        <v>Kowloon</v>
      </c>
      <c r="I13" s="80">
        <v>2009</v>
      </c>
      <c r="J13" s="80">
        <v>4</v>
      </c>
      <c r="K13" s="81" t="str">
        <f>IF(ISNUMBER(Table1[[#This Row],[Qtr]]),CONCATENATE(Table1[[#This Row],[Year]]," Q",Table1[[#This Row],[Qtr]]),CONCATENATE(Table1[[#This Row],[Year]],Table1[[#This Row],[Qtr]]))</f>
        <v>2009 Q4</v>
      </c>
      <c r="L13" s="80" t="s">
        <v>21</v>
      </c>
      <c r="M13" s="80" t="s">
        <v>84</v>
      </c>
      <c r="N13" s="80">
        <v>1</v>
      </c>
      <c r="O13" s="80">
        <v>25</v>
      </c>
      <c r="P13" s="80"/>
      <c r="Q13" s="82">
        <v>4000</v>
      </c>
      <c r="R13" s="82">
        <f t="shared" si="0"/>
        <v>2297.3704195936966</v>
      </c>
      <c r="S13" s="80" t="str">
        <f t="shared" si="1"/>
        <v>No</v>
      </c>
      <c r="T13" s="82"/>
      <c r="U13" s="82"/>
      <c r="V13" s="82">
        <v>8427.2000000000007</v>
      </c>
      <c r="W13" s="82">
        <v>90710.380799999999</v>
      </c>
      <c r="X13" s="82">
        <v>4840.1000000000004</v>
      </c>
      <c r="Y13" s="82">
        <v>52098.8364</v>
      </c>
      <c r="Z13" s="82"/>
      <c r="AA13" s="82"/>
      <c r="AB13" s="82"/>
      <c r="AC13" s="82">
        <f>IF(Table1[[#This Row],[For Sale or For Lease?]]="For Lease",Table1[[#This Row],[Office UFA (Net) (sf)]]-Table1[[#This Row],[Pre-leased space (Usable FA) (sf)]]-Table1[[#This Row],[Pre-sold (Usable FA) (sf)]]-Table1[[#This Row],[Self-use space (Usable FA) (sf)]],0)</f>
        <v>52098.8364</v>
      </c>
      <c r="AD13" s="82">
        <f>IF(Table1[[#This Row],[For Sale or For Lease?]]="For Sale",Table1[[#This Row],[Office UFA (Net) (sf)]]-Table1[[#This Row],[Pre-leased space (Usable FA) (sf)]]-Table1[[#This Row],[Pre-sold (Usable FA) (sf)]]-Table1[[#This Row],[Self-use space (Usable FA) (sf)]],0)</f>
        <v>0</v>
      </c>
      <c r="AE13" s="82">
        <f>IF(Table1[[#This Row],[For Sale or For Lease?]]="Uncertain",Table1[[#This Row],[Office UFA (Net) (sf)]]-Table1[[#This Row],[Pre-leased space (Usable FA) (sf)]]-Table1[[#This Row],[Pre-sold (Usable FA) (sf)]]-Table1[[#This Row],[Self-use space (Usable FA) (sf)]],0)</f>
        <v>0</v>
      </c>
      <c r="AF13" s="86">
        <f>1-SUM(Table1[[#This Row],[Space available for lease (Usable FA) (sf)]:[Space available uncertain of use (Usable FA) (sf)]])/Table1[[#This Row],[Office UFA (Net) (sf)]]</f>
        <v>0</v>
      </c>
      <c r="AG13" s="79" t="s">
        <v>89</v>
      </c>
      <c r="AH13" s="84" t="s">
        <v>103</v>
      </c>
      <c r="AI13" s="79" t="s">
        <v>92</v>
      </c>
      <c r="AJ13" s="83">
        <v>40087</v>
      </c>
      <c r="AK13" s="83">
        <v>40147</v>
      </c>
      <c r="AL13" s="85"/>
      <c r="AM13" s="85" t="s">
        <v>503</v>
      </c>
      <c r="AN13" s="79" t="s">
        <v>73</v>
      </c>
      <c r="AO13" s="77" t="s">
        <v>705</v>
      </c>
      <c r="AP13" s="77" t="s">
        <v>81</v>
      </c>
      <c r="AQ13" s="77" t="s">
        <v>504</v>
      </c>
      <c r="AR13" s="79" t="s">
        <v>2389</v>
      </c>
      <c r="AS13" s="79"/>
      <c r="AT13" s="80"/>
      <c r="AU13" s="80"/>
      <c r="AV13" s="77" t="s">
        <v>2190</v>
      </c>
    </row>
    <row r="14" spans="1:48" ht="15" hidden="1" customHeight="1" x14ac:dyDescent="0.35">
      <c r="A14" s="77" t="s">
        <v>427</v>
      </c>
      <c r="B14" s="77" t="s">
        <v>428</v>
      </c>
      <c r="C14" s="77" t="s">
        <v>1151</v>
      </c>
      <c r="D14" s="77"/>
      <c r="E14" s="79" t="s">
        <v>50</v>
      </c>
      <c r="F14" s="77" t="str">
        <f>VLOOKUP(Table1[[#This Row],[CBRE sub-markets]],Reference!$A$2:$B$31,2,FALSE)</f>
        <v>Kowloon East</v>
      </c>
      <c r="G14" s="77">
        <f>VLOOKUP(Table1[[#This Row],[CBRE sub-markets]],Reference!$A$2:$D$31,3,FALSE)</f>
        <v>7</v>
      </c>
      <c r="H14" s="79" t="str">
        <f>VLOOKUP(Table1[[#This Row],[CBRE sub-markets]],Reference!$A$2:$D$31,4,FALSE)</f>
        <v>Kowloon</v>
      </c>
      <c r="I14" s="80">
        <v>2010</v>
      </c>
      <c r="J14" s="80">
        <v>1</v>
      </c>
      <c r="K14" s="81" t="str">
        <f>IF(ISNUMBER(Table1[[#This Row],[Qtr]]),CONCATENATE(Table1[[#This Row],[Year]]," Q",Table1[[#This Row],[Qtr]]),CONCATENATE(Table1[[#This Row],[Year]],Table1[[#This Row],[Qtr]]))</f>
        <v>2010 Q1</v>
      </c>
      <c r="L14" s="80" t="s">
        <v>20</v>
      </c>
      <c r="M14" s="80" t="s">
        <v>84</v>
      </c>
      <c r="N14" s="80">
        <v>1</v>
      </c>
      <c r="O14" s="80">
        <v>32</v>
      </c>
      <c r="P14" s="80"/>
      <c r="Q14" s="82">
        <v>18500</v>
      </c>
      <c r="R14" s="82">
        <f t="shared" si="0"/>
        <v>13875</v>
      </c>
      <c r="S14" s="80" t="str">
        <f t="shared" si="1"/>
        <v>No</v>
      </c>
      <c r="T14" s="82"/>
      <c r="U14" s="82"/>
      <c r="V14" s="82">
        <f>Table1[[#This Row],[Office GFA (sf)]]/10.7639</f>
        <v>36109.031113258206</v>
      </c>
      <c r="W14" s="82">
        <v>388674</v>
      </c>
      <c r="X14" s="82">
        <f>Table1[[#This Row],[Office UFA (Net) (sf)]]/10.7639</f>
        <v>27081.773334943657</v>
      </c>
      <c r="Y14" s="82">
        <v>291505.5</v>
      </c>
      <c r="Z14" s="82"/>
      <c r="AA14" s="82"/>
      <c r="AB14" s="82"/>
      <c r="AC14" s="82">
        <f>IF(Table1[[#This Row],[For Sale or For Lease?]]="For Lease",Table1[[#This Row],[Office UFA (Net) (sf)]]-Table1[[#This Row],[Pre-leased space (Usable FA) (sf)]]-Table1[[#This Row],[Pre-sold (Usable FA) (sf)]]-Table1[[#This Row],[Self-use space (Usable FA) (sf)]],0)</f>
        <v>0</v>
      </c>
      <c r="AD14" s="82">
        <f>IF(Table1[[#This Row],[For Sale or For Lease?]]="For Sale",Table1[[#This Row],[Office UFA (Net) (sf)]]-Table1[[#This Row],[Pre-leased space (Usable FA) (sf)]]-Table1[[#This Row],[Pre-sold (Usable FA) (sf)]]-Table1[[#This Row],[Self-use space (Usable FA) (sf)]],0)</f>
        <v>291505.5</v>
      </c>
      <c r="AE14" s="82">
        <f>IF(Table1[[#This Row],[For Sale or For Lease?]]="Uncertain",Table1[[#This Row],[Office UFA (Net) (sf)]]-Table1[[#This Row],[Pre-leased space (Usable FA) (sf)]]-Table1[[#This Row],[Pre-sold (Usable FA) (sf)]]-Table1[[#This Row],[Self-use space (Usable FA) (sf)]],0)</f>
        <v>0</v>
      </c>
      <c r="AF14" s="86">
        <f>1-SUM(Table1[[#This Row],[Space available for lease (Usable FA) (sf)]:[Space available uncertain of use (Usable FA) (sf)]])/Table1[[#This Row],[Office UFA (Net) (sf)]]</f>
        <v>0</v>
      </c>
      <c r="AG14" s="79" t="s">
        <v>89</v>
      </c>
      <c r="AH14" s="84" t="s">
        <v>103</v>
      </c>
      <c r="AI14" s="79" t="s">
        <v>92</v>
      </c>
      <c r="AJ14" s="83">
        <v>40179</v>
      </c>
      <c r="AK14" s="83">
        <v>40246</v>
      </c>
      <c r="AL14" s="85"/>
      <c r="AM14" s="85" t="s">
        <v>501</v>
      </c>
      <c r="AN14" s="79" t="s">
        <v>73</v>
      </c>
      <c r="AO14" s="77" t="s">
        <v>704</v>
      </c>
      <c r="AP14" s="77" t="s">
        <v>82</v>
      </c>
      <c r="AQ14" s="77"/>
      <c r="AR14" s="79" t="s">
        <v>2334</v>
      </c>
      <c r="AS14" s="79"/>
      <c r="AT14" s="80"/>
      <c r="AU14" s="80"/>
      <c r="AV14" s="77"/>
    </row>
    <row r="15" spans="1:48" ht="15" hidden="1" customHeight="1" x14ac:dyDescent="0.35">
      <c r="A15" s="77" t="s">
        <v>351</v>
      </c>
      <c r="B15" s="77" t="s">
        <v>352</v>
      </c>
      <c r="C15" s="77" t="s">
        <v>1141</v>
      </c>
      <c r="D15" s="77" t="s">
        <v>353</v>
      </c>
      <c r="E15" s="79" t="s">
        <v>2496</v>
      </c>
      <c r="F15" s="77" t="str">
        <f>VLOOKUP(Table1[[#This Row],[CBRE sub-markets]],Reference!$A$2:$B$31,2,FALSE)</f>
        <v>Tsim Sha Tsui West</v>
      </c>
      <c r="G15" s="77">
        <f>VLOOKUP(Table1[[#This Row],[CBRE sub-markets]],Reference!$A$2:$D$31,3,FALSE)</f>
        <v>6</v>
      </c>
      <c r="H15" s="79" t="str">
        <f>VLOOKUP(Table1[[#This Row],[CBRE sub-markets]],Reference!$A$2:$D$31,4,FALSE)</f>
        <v>Kowloon</v>
      </c>
      <c r="I15" s="80">
        <v>2010</v>
      </c>
      <c r="J15" s="80">
        <v>2</v>
      </c>
      <c r="K15" s="81" t="str">
        <f>IF(ISNUMBER(Table1[[#This Row],[Qtr]]),CONCATENATE(Table1[[#This Row],[Year]]," Q",Table1[[#This Row],[Qtr]]),CONCATENATE(Table1[[#This Row],[Year]],Table1[[#This Row],[Qtr]]))</f>
        <v>2010 Q2</v>
      </c>
      <c r="L15" s="80" t="s">
        <v>20</v>
      </c>
      <c r="M15" s="80" t="s">
        <v>84</v>
      </c>
      <c r="N15" s="80">
        <v>1</v>
      </c>
      <c r="O15" s="80" t="s">
        <v>354</v>
      </c>
      <c r="P15" s="80"/>
      <c r="Q15" s="82">
        <v>33000</v>
      </c>
      <c r="R15" s="82">
        <f t="shared" si="0"/>
        <v>25740</v>
      </c>
      <c r="S15" s="80" t="str">
        <f t="shared" si="1"/>
        <v>Yes</v>
      </c>
      <c r="T15" s="82"/>
      <c r="U15" s="82"/>
      <c r="V15" s="82">
        <f>W15/10.764</f>
        <v>55394.64882943144</v>
      </c>
      <c r="W15" s="82">
        <f>2290606-778371-915967</f>
        <v>596268</v>
      </c>
      <c r="X15" s="82">
        <f>Y15/10.764</f>
        <v>43207.826086956527</v>
      </c>
      <c r="Y15" s="82">
        <f>W15*0.78</f>
        <v>465089.04000000004</v>
      </c>
      <c r="Z15" s="82"/>
      <c r="AA15" s="82"/>
      <c r="AB15" s="82"/>
      <c r="AC15" s="82">
        <f>IF(Table1[[#This Row],[For Sale or For Lease?]]="For Lease",Table1[[#This Row],[Office UFA (Net) (sf)]]-Table1[[#This Row],[Pre-leased space (Usable FA) (sf)]]-Table1[[#This Row],[Pre-sold (Usable FA) (sf)]]-Table1[[#This Row],[Self-use space (Usable FA) (sf)]],0)</f>
        <v>465089.04000000004</v>
      </c>
      <c r="AD15" s="82">
        <f>IF(Table1[[#This Row],[For Sale or For Lease?]]="For Sale",Table1[[#This Row],[Office UFA (Net) (sf)]]-Table1[[#This Row],[Pre-leased space (Usable FA) (sf)]]-Table1[[#This Row],[Pre-sold (Usable FA) (sf)]]-Table1[[#This Row],[Self-use space (Usable FA) (sf)]],0)</f>
        <v>0</v>
      </c>
      <c r="AE15" s="82">
        <f>IF(Table1[[#This Row],[For Sale or For Lease?]]="Uncertain",Table1[[#This Row],[Office UFA (Net) (sf)]]-Table1[[#This Row],[Pre-leased space (Usable FA) (sf)]]-Table1[[#This Row],[Pre-sold (Usable FA) (sf)]]-Table1[[#This Row],[Self-use space (Usable FA) (sf)]],0)</f>
        <v>0</v>
      </c>
      <c r="AF15" s="86">
        <f>1-SUM(Table1[[#This Row],[Space available for lease (Usable FA) (sf)]:[Space available uncertain of use (Usable FA) (sf)]])/Table1[[#This Row],[Office UFA (Net) (sf)]]</f>
        <v>0</v>
      </c>
      <c r="AG15" s="79" t="s">
        <v>355</v>
      </c>
      <c r="AH15" s="84" t="s">
        <v>103</v>
      </c>
      <c r="AI15" s="79" t="s">
        <v>356</v>
      </c>
      <c r="AJ15" s="83">
        <v>40305</v>
      </c>
      <c r="AK15" s="83">
        <v>40045</v>
      </c>
      <c r="AL15" s="85" t="s">
        <v>29</v>
      </c>
      <c r="AM15" s="85" t="s">
        <v>114</v>
      </c>
      <c r="AN15" s="79" t="s">
        <v>73</v>
      </c>
      <c r="AO15" s="77" t="s">
        <v>705</v>
      </c>
      <c r="AP15" s="77" t="s">
        <v>81</v>
      </c>
      <c r="AQ15" s="77" t="s">
        <v>357</v>
      </c>
      <c r="AR15" s="79" t="s">
        <v>2328</v>
      </c>
      <c r="AS15" s="79"/>
      <c r="AT15" s="80"/>
      <c r="AU15" s="80"/>
      <c r="AV15" s="77"/>
    </row>
    <row r="16" spans="1:48" ht="15" hidden="1" customHeight="1" x14ac:dyDescent="0.35">
      <c r="A16" s="77" t="s">
        <v>417</v>
      </c>
      <c r="B16" s="77" t="s">
        <v>418</v>
      </c>
      <c r="C16" s="77" t="s">
        <v>1152</v>
      </c>
      <c r="D16" s="77"/>
      <c r="E16" s="79" t="s">
        <v>360</v>
      </c>
      <c r="F16" s="77" t="str">
        <f>VLOOKUP(Table1[[#This Row],[CBRE sub-markets]],Reference!$A$2:$B$31,2,FALSE)</f>
        <v>Hong Kong East</v>
      </c>
      <c r="G16" s="77">
        <f>VLOOKUP(Table1[[#This Row],[CBRE sub-markets]],Reference!$A$2:$D$31,3,FALSE)</f>
        <v>4</v>
      </c>
      <c r="H16" s="79" t="str">
        <f>VLOOKUP(Table1[[#This Row],[CBRE sub-markets]],Reference!$A$2:$D$31,4,FALSE)</f>
        <v>Hong Kong Island</v>
      </c>
      <c r="I16" s="80">
        <v>2010</v>
      </c>
      <c r="J16" s="80">
        <v>3</v>
      </c>
      <c r="K16" s="81" t="str">
        <f>IF(ISNUMBER(Table1[[#This Row],[Qtr]]),CONCATENATE(Table1[[#This Row],[Year]]," Q",Table1[[#This Row],[Qtr]]),CONCATENATE(Table1[[#This Row],[Year]],Table1[[#This Row],[Qtr]]))</f>
        <v>2010 Q3</v>
      </c>
      <c r="L16" s="80" t="s">
        <v>20</v>
      </c>
      <c r="M16" s="80" t="s">
        <v>84</v>
      </c>
      <c r="N16" s="80">
        <v>1</v>
      </c>
      <c r="O16" s="80" t="s">
        <v>100</v>
      </c>
      <c r="P16" s="80"/>
      <c r="Q16" s="82">
        <f>W16/29</f>
        <v>14564.655172413793</v>
      </c>
      <c r="R16" s="82">
        <f t="shared" si="0"/>
        <v>12962.543103448277</v>
      </c>
      <c r="S16" s="80" t="str">
        <f t="shared" si="1"/>
        <v>No</v>
      </c>
      <c r="T16" s="82"/>
      <c r="U16" s="82"/>
      <c r="V16" s="82">
        <f>Table1[[#This Row],[Office GFA (sf)]]/10.7639</f>
        <v>39239.959494235365</v>
      </c>
      <c r="W16" s="82">
        <v>422375</v>
      </c>
      <c r="X16" s="82">
        <f>Table1[[#This Row],[Office UFA (Net) (sf)]]/10.7639</f>
        <v>34923.563949869473</v>
      </c>
      <c r="Y16" s="82">
        <v>375913.75</v>
      </c>
      <c r="Z16" s="82"/>
      <c r="AA16" s="82"/>
      <c r="AB16" s="82"/>
      <c r="AC16" s="82">
        <f>IF(Table1[[#This Row],[For Sale or For Lease?]]="For Lease",Table1[[#This Row],[Office UFA (Net) (sf)]]-Table1[[#This Row],[Pre-leased space (Usable FA) (sf)]]-Table1[[#This Row],[Pre-sold (Usable FA) (sf)]]-Table1[[#This Row],[Self-use space (Usable FA) (sf)]],0)</f>
        <v>375913.75</v>
      </c>
      <c r="AD16" s="82">
        <f>IF(Table1[[#This Row],[For Sale or For Lease?]]="For Sale",Table1[[#This Row],[Office UFA (Net) (sf)]]-Table1[[#This Row],[Pre-leased space (Usable FA) (sf)]]-Table1[[#This Row],[Pre-sold (Usable FA) (sf)]]-Table1[[#This Row],[Self-use space (Usable FA) (sf)]],0)</f>
        <v>0</v>
      </c>
      <c r="AE16" s="82">
        <f>IF(Table1[[#This Row],[For Sale or For Lease?]]="Uncertain",Table1[[#This Row],[Office UFA (Net) (sf)]]-Table1[[#This Row],[Pre-leased space (Usable FA) (sf)]]-Table1[[#This Row],[Pre-sold (Usable FA) (sf)]]-Table1[[#This Row],[Self-use space (Usable FA) (sf)]],0)</f>
        <v>0</v>
      </c>
      <c r="AF16" s="86">
        <f>1-SUM(Table1[[#This Row],[Space available for lease (Usable FA) (sf)]:[Space available uncertain of use (Usable FA) (sf)]])/Table1[[#This Row],[Office UFA (Net) (sf)]]</f>
        <v>0</v>
      </c>
      <c r="AG16" s="79" t="s">
        <v>89</v>
      </c>
      <c r="AH16" s="84" t="s">
        <v>103</v>
      </c>
      <c r="AI16" s="79" t="s">
        <v>92</v>
      </c>
      <c r="AJ16" s="83">
        <v>40422</v>
      </c>
      <c r="AK16" s="83">
        <v>40534</v>
      </c>
      <c r="AL16" s="85"/>
      <c r="AM16" s="85" t="s">
        <v>419</v>
      </c>
      <c r="AN16" s="79" t="s">
        <v>73</v>
      </c>
      <c r="AO16" s="77" t="s">
        <v>705</v>
      </c>
      <c r="AP16" s="77" t="s">
        <v>81</v>
      </c>
      <c r="AQ16" s="77" t="s">
        <v>420</v>
      </c>
      <c r="AR16" s="79" t="s">
        <v>2333</v>
      </c>
      <c r="AS16" s="79"/>
      <c r="AT16" s="80"/>
      <c r="AU16" s="80"/>
      <c r="AV16" s="77"/>
    </row>
    <row r="17" spans="1:48" ht="15" hidden="1" customHeight="1" x14ac:dyDescent="0.35">
      <c r="A17" s="77" t="s">
        <v>496</v>
      </c>
      <c r="B17" s="77" t="s">
        <v>497</v>
      </c>
      <c r="C17" s="77" t="s">
        <v>1153</v>
      </c>
      <c r="D17" s="77"/>
      <c r="E17" s="79" t="s">
        <v>12</v>
      </c>
      <c r="F17" s="77" t="str">
        <f>VLOOKUP(Table1[[#This Row],[CBRE sub-markets]],Reference!$A$2:$B$31,2,FALSE)</f>
        <v>Kowloon Others</v>
      </c>
      <c r="G17" s="77">
        <f>VLOOKUP(Table1[[#This Row],[CBRE sub-markets]],Reference!$A$2:$D$31,3,FALSE)</f>
        <v>8</v>
      </c>
      <c r="H17" s="79" t="str">
        <f>VLOOKUP(Table1[[#This Row],[CBRE sub-markets]],Reference!$A$2:$D$31,4,FALSE)</f>
        <v>Kowloon</v>
      </c>
      <c r="I17" s="80">
        <v>2010</v>
      </c>
      <c r="J17" s="80">
        <v>4</v>
      </c>
      <c r="K17" s="81" t="str">
        <f>IF(ISNUMBER(Table1[[#This Row],[Qtr]]),CONCATENATE(Table1[[#This Row],[Year]]," Q",Table1[[#This Row],[Qtr]]),CONCATENATE(Table1[[#This Row],[Year]],Table1[[#This Row],[Qtr]]))</f>
        <v>2010 Q4</v>
      </c>
      <c r="L17" s="80" t="s">
        <v>21</v>
      </c>
      <c r="M17" s="80" t="s">
        <v>84</v>
      </c>
      <c r="N17" s="80">
        <v>1</v>
      </c>
      <c r="O17" s="80">
        <v>32</v>
      </c>
      <c r="P17" s="80"/>
      <c r="Q17" s="82">
        <v>5961</v>
      </c>
      <c r="R17" s="82">
        <f t="shared" si="0"/>
        <v>4253.4981572481574</v>
      </c>
      <c r="S17" s="80" t="str">
        <f t="shared" si="1"/>
        <v>No</v>
      </c>
      <c r="T17" s="82"/>
      <c r="U17" s="82"/>
      <c r="V17" s="82">
        <v>9768</v>
      </c>
      <c r="W17" s="82">
        <f>+V17*10.764</f>
        <v>105142.75199999999</v>
      </c>
      <c r="X17" s="82">
        <v>6970</v>
      </c>
      <c r="Y17" s="82">
        <f>+X17*10.764</f>
        <v>75025.08</v>
      </c>
      <c r="Z17" s="82"/>
      <c r="AA17" s="82"/>
      <c r="AB17" s="82"/>
      <c r="AC17" s="82">
        <f>IF(Table1[[#This Row],[For Sale or For Lease?]]="For Lease",Table1[[#This Row],[Office UFA (Net) (sf)]]-Table1[[#This Row],[Pre-leased space (Usable FA) (sf)]]-Table1[[#This Row],[Pre-sold (Usable FA) (sf)]]-Table1[[#This Row],[Self-use space (Usable FA) (sf)]],0)</f>
        <v>75025.08</v>
      </c>
      <c r="AD17" s="82">
        <f>IF(Table1[[#This Row],[For Sale or For Lease?]]="For Sale",Table1[[#This Row],[Office UFA (Net) (sf)]]-Table1[[#This Row],[Pre-leased space (Usable FA) (sf)]]-Table1[[#This Row],[Pre-sold (Usable FA) (sf)]]-Table1[[#This Row],[Self-use space (Usable FA) (sf)]],0)</f>
        <v>0</v>
      </c>
      <c r="AE17" s="82">
        <f>IF(Table1[[#This Row],[For Sale or For Lease?]]="Uncertain",Table1[[#This Row],[Office UFA (Net) (sf)]]-Table1[[#This Row],[Pre-leased space (Usable FA) (sf)]]-Table1[[#This Row],[Pre-sold (Usable FA) (sf)]]-Table1[[#This Row],[Self-use space (Usable FA) (sf)]],0)</f>
        <v>0</v>
      </c>
      <c r="AF17" s="86">
        <f>1-SUM(Table1[[#This Row],[Space available for lease (Usable FA) (sf)]:[Space available uncertain of use (Usable FA) (sf)]])/Table1[[#This Row],[Office UFA (Net) (sf)]]</f>
        <v>0</v>
      </c>
      <c r="AG17" s="79" t="s">
        <v>89</v>
      </c>
      <c r="AH17" s="84" t="s">
        <v>103</v>
      </c>
      <c r="AI17" s="79" t="s">
        <v>92</v>
      </c>
      <c r="AJ17" s="83">
        <v>40513</v>
      </c>
      <c r="AK17" s="83">
        <v>40682</v>
      </c>
      <c r="AL17" s="85" t="s">
        <v>30</v>
      </c>
      <c r="AM17" s="85" t="s">
        <v>114</v>
      </c>
      <c r="AN17" s="79" t="s">
        <v>73</v>
      </c>
      <c r="AO17" s="77" t="s">
        <v>705</v>
      </c>
      <c r="AP17" s="77" t="s">
        <v>81</v>
      </c>
      <c r="AQ17" s="77" t="s">
        <v>499</v>
      </c>
      <c r="AR17" s="79" t="s">
        <v>1706</v>
      </c>
      <c r="AS17" s="79"/>
      <c r="AT17" s="80"/>
      <c r="AU17" s="80"/>
      <c r="AV17" s="77" t="s">
        <v>2191</v>
      </c>
    </row>
    <row r="18" spans="1:48" ht="15" hidden="1" customHeight="1" x14ac:dyDescent="0.35">
      <c r="A18" s="77"/>
      <c r="B18" s="77" t="s">
        <v>638</v>
      </c>
      <c r="C18" s="77" t="s">
        <v>638</v>
      </c>
      <c r="D18" s="77"/>
      <c r="E18" s="79" t="s">
        <v>1</v>
      </c>
      <c r="F18" s="77" t="str">
        <f>VLOOKUP(Table1[[#This Row],[CBRE sub-markets]],Reference!$A$2:$B$31,2,FALSE)</f>
        <v>Central</v>
      </c>
      <c r="G18" s="77">
        <f>VLOOKUP(Table1[[#This Row],[CBRE sub-markets]],Reference!$A$2:$D$31,3,FALSE)</f>
        <v>1</v>
      </c>
      <c r="H18" s="79" t="str">
        <f>VLOOKUP(Table1[[#This Row],[CBRE sub-markets]],Reference!$A$2:$D$31,4,FALSE)</f>
        <v>Hong Kong Island</v>
      </c>
      <c r="I18" s="80">
        <v>2011</v>
      </c>
      <c r="J18" s="80">
        <v>1</v>
      </c>
      <c r="K18" s="81" t="str">
        <f>IF(ISNUMBER(Table1[[#This Row],[Qtr]]),CONCATENATE(Table1[[#This Row],[Year]]," Q",Table1[[#This Row],[Qtr]]),CONCATENATE(Table1[[#This Row],[Year]],Table1[[#This Row],[Qtr]]))</f>
        <v>2011 Q1</v>
      </c>
      <c r="L18" s="80" t="s">
        <v>20</v>
      </c>
      <c r="M18" s="80" t="s">
        <v>84</v>
      </c>
      <c r="N18" s="80">
        <v>1</v>
      </c>
      <c r="O18" s="80">
        <v>28</v>
      </c>
      <c r="P18" s="80"/>
      <c r="Q18" s="82">
        <f>W18/O18</f>
        <v>5277.4642857142853</v>
      </c>
      <c r="R18" s="82">
        <f t="shared" si="0"/>
        <v>4380.295357142857</v>
      </c>
      <c r="S18" s="80" t="str">
        <f t="shared" si="1"/>
        <v>No</v>
      </c>
      <c r="T18" s="82"/>
      <c r="U18" s="82"/>
      <c r="V18" s="82">
        <f>Table1[[#This Row],[Office GFA (sf)]]/10.7639</f>
        <v>13728.202603145701</v>
      </c>
      <c r="W18" s="82">
        <v>147769</v>
      </c>
      <c r="X18" s="82">
        <f>Table1[[#This Row],[Office UFA (Net) (sf)]]/10.7639</f>
        <v>11394.408160610932</v>
      </c>
      <c r="Y18" s="82">
        <v>122648.27</v>
      </c>
      <c r="Z18" s="82"/>
      <c r="AA18" s="82"/>
      <c r="AB18" s="82"/>
      <c r="AC18" s="82">
        <f>IF(Table1[[#This Row],[For Sale or For Lease?]]="For Lease",Table1[[#This Row],[Office UFA (Net) (sf)]]-Table1[[#This Row],[Pre-leased space (Usable FA) (sf)]]-Table1[[#This Row],[Pre-sold (Usable FA) (sf)]]-Table1[[#This Row],[Self-use space (Usable FA) (sf)]],0)</f>
        <v>122648.27</v>
      </c>
      <c r="AD18" s="82">
        <f>IF(Table1[[#This Row],[For Sale or For Lease?]]="For Sale",Table1[[#This Row],[Office UFA (Net) (sf)]]-Table1[[#This Row],[Pre-leased space (Usable FA) (sf)]]-Table1[[#This Row],[Pre-sold (Usable FA) (sf)]]-Table1[[#This Row],[Self-use space (Usable FA) (sf)]],0)</f>
        <v>0</v>
      </c>
      <c r="AE18" s="82">
        <f>IF(Table1[[#This Row],[For Sale or For Lease?]]="Uncertain",Table1[[#This Row],[Office UFA (Net) (sf)]]-Table1[[#This Row],[Pre-leased space (Usable FA) (sf)]]-Table1[[#This Row],[Pre-sold (Usable FA) (sf)]]-Table1[[#This Row],[Self-use space (Usable FA) (sf)]],0)</f>
        <v>0</v>
      </c>
      <c r="AF18" s="86">
        <f>1-SUM(Table1[[#This Row],[Space available for lease (Usable FA) (sf)]:[Space available uncertain of use (Usable FA) (sf)]])/Table1[[#This Row],[Office UFA (Net) (sf)]]</f>
        <v>0</v>
      </c>
      <c r="AG18" s="79" t="s">
        <v>89</v>
      </c>
      <c r="AH18" s="84" t="s">
        <v>103</v>
      </c>
      <c r="AI18" s="79" t="s">
        <v>92</v>
      </c>
      <c r="AJ18" s="83">
        <v>40575</v>
      </c>
      <c r="AK18" s="83">
        <v>40675</v>
      </c>
      <c r="AL18" s="85" t="s">
        <v>30</v>
      </c>
      <c r="AM18" s="85" t="s">
        <v>105</v>
      </c>
      <c r="AN18" s="79" t="s">
        <v>73</v>
      </c>
      <c r="AO18" s="77" t="s">
        <v>705</v>
      </c>
      <c r="AP18" s="77" t="s">
        <v>81</v>
      </c>
      <c r="AQ18" s="77" t="s">
        <v>639</v>
      </c>
      <c r="AR18" s="79" t="s">
        <v>2415</v>
      </c>
      <c r="AS18" s="79"/>
      <c r="AT18" s="80"/>
      <c r="AU18" s="80"/>
      <c r="AV18" s="77"/>
    </row>
    <row r="19" spans="1:48" ht="15" hidden="1" customHeight="1" x14ac:dyDescent="0.35">
      <c r="A19" s="77"/>
      <c r="B19" s="77" t="s">
        <v>368</v>
      </c>
      <c r="C19" s="77" t="s">
        <v>1154</v>
      </c>
      <c r="D19" s="77"/>
      <c r="E19" s="79" t="s">
        <v>130</v>
      </c>
      <c r="F19" s="77" t="str">
        <f>VLOOKUP(Table1[[#This Row],[CBRE sub-markets]],Reference!$A$2:$B$31,2,FALSE)</f>
        <v>Wong Chuk Hang</v>
      </c>
      <c r="G19" s="77">
        <f>VLOOKUP(Table1[[#This Row],[CBRE sub-markets]],Reference!$A$2:$D$31,3,FALSE)</f>
        <v>5</v>
      </c>
      <c r="H19" s="79" t="str">
        <f>VLOOKUP(Table1[[#This Row],[CBRE sub-markets]],Reference!$A$2:$D$31,4,FALSE)</f>
        <v>Hong Kong Island</v>
      </c>
      <c r="I19" s="80">
        <v>2011</v>
      </c>
      <c r="J19" s="80">
        <v>1</v>
      </c>
      <c r="K19" s="81" t="str">
        <f>IF(ISNUMBER(Table1[[#This Row],[Qtr]]),CONCATENATE(Table1[[#This Row],[Year]]," Q",Table1[[#This Row],[Qtr]]),CONCATENATE(Table1[[#This Row],[Year]],Table1[[#This Row],[Qtr]]))</f>
        <v>2011 Q1</v>
      </c>
      <c r="L19" s="80" t="s">
        <v>20</v>
      </c>
      <c r="M19" s="80" t="s">
        <v>84</v>
      </c>
      <c r="N19" s="80">
        <v>1</v>
      </c>
      <c r="O19" s="80">
        <v>31</v>
      </c>
      <c r="P19" s="80"/>
      <c r="Q19" s="82">
        <f>W19/O19</f>
        <v>20200.354838709678</v>
      </c>
      <c r="R19" s="82">
        <f t="shared" si="0"/>
        <v>15856.037193548387</v>
      </c>
      <c r="S19" s="80" t="str">
        <f t="shared" si="1"/>
        <v>Yes</v>
      </c>
      <c r="T19" s="82"/>
      <c r="U19" s="82"/>
      <c r="V19" s="82">
        <f>Table1[[#This Row],[Office GFA (sf)]]/10.7639</f>
        <v>58176.961881845804</v>
      </c>
      <c r="W19" s="82">
        <v>626211</v>
      </c>
      <c r="X19" s="82">
        <f>Table1[[#This Row],[Office UFA (Net) (sf)]]/10.7639</f>
        <v>45665.339979003897</v>
      </c>
      <c r="Y19" s="82">
        <v>491537.15299999999</v>
      </c>
      <c r="Z19" s="82"/>
      <c r="AA19" s="82"/>
      <c r="AB19" s="82"/>
      <c r="AC19" s="82">
        <f>IF(Table1[[#This Row],[For Sale or For Lease?]]="For Lease",Table1[[#This Row],[Office UFA (Net) (sf)]]-Table1[[#This Row],[Pre-leased space (Usable FA) (sf)]]-Table1[[#This Row],[Pre-sold (Usable FA) (sf)]]-Table1[[#This Row],[Self-use space (Usable FA) (sf)]],0)</f>
        <v>0</v>
      </c>
      <c r="AD19" s="82">
        <f>IF(Table1[[#This Row],[For Sale or For Lease?]]="For Sale",Table1[[#This Row],[Office UFA (Net) (sf)]]-Table1[[#This Row],[Pre-leased space (Usable FA) (sf)]]-Table1[[#This Row],[Pre-sold (Usable FA) (sf)]]-Table1[[#This Row],[Self-use space (Usable FA) (sf)]],0)</f>
        <v>491537.15299999999</v>
      </c>
      <c r="AE19" s="82">
        <f>IF(Table1[[#This Row],[For Sale or For Lease?]]="Uncertain",Table1[[#This Row],[Office UFA (Net) (sf)]]-Table1[[#This Row],[Pre-leased space (Usable FA) (sf)]]-Table1[[#This Row],[Pre-sold (Usable FA) (sf)]]-Table1[[#This Row],[Self-use space (Usable FA) (sf)]],0)</f>
        <v>0</v>
      </c>
      <c r="AF19" s="86">
        <f>1-SUM(Table1[[#This Row],[Space available for lease (Usable FA) (sf)]:[Space available uncertain of use (Usable FA) (sf)]])/Table1[[#This Row],[Office UFA (Net) (sf)]]</f>
        <v>0</v>
      </c>
      <c r="AG19" s="79" t="s">
        <v>89</v>
      </c>
      <c r="AH19" s="84" t="s">
        <v>103</v>
      </c>
      <c r="AI19" s="79" t="s">
        <v>92</v>
      </c>
      <c r="AJ19" s="83">
        <v>40575</v>
      </c>
      <c r="AK19" s="83">
        <v>40675</v>
      </c>
      <c r="AL19" s="85" t="s">
        <v>30</v>
      </c>
      <c r="AM19" s="85" t="s">
        <v>369</v>
      </c>
      <c r="AN19" s="79" t="s">
        <v>73</v>
      </c>
      <c r="AO19" s="77" t="s">
        <v>704</v>
      </c>
      <c r="AP19" s="77" t="s">
        <v>82</v>
      </c>
      <c r="AQ19" s="77" t="s">
        <v>370</v>
      </c>
      <c r="AR19" s="79" t="s">
        <v>2336</v>
      </c>
      <c r="AS19" s="79"/>
      <c r="AT19" s="80"/>
      <c r="AU19" s="80"/>
      <c r="AV19" s="77"/>
    </row>
    <row r="20" spans="1:48" ht="15" hidden="1" customHeight="1" x14ac:dyDescent="0.35">
      <c r="A20" s="77"/>
      <c r="B20" s="77" t="s">
        <v>271</v>
      </c>
      <c r="C20" s="77" t="s">
        <v>2417</v>
      </c>
      <c r="D20" s="77"/>
      <c r="E20" s="79" t="s">
        <v>171</v>
      </c>
      <c r="F20" s="77" t="str">
        <f>VLOOKUP(Table1[[#This Row],[CBRE sub-markets]],Reference!$A$2:$B$31,2,FALSE)</f>
        <v>Kowloon East</v>
      </c>
      <c r="G20" s="77">
        <f>VLOOKUP(Table1[[#This Row],[CBRE sub-markets]],Reference!$A$2:$D$31,3,FALSE)</f>
        <v>7</v>
      </c>
      <c r="H20" s="79" t="str">
        <f>VLOOKUP(Table1[[#This Row],[CBRE sub-markets]],Reference!$A$2:$D$31,4,FALSE)</f>
        <v>Kowloon</v>
      </c>
      <c r="I20" s="80">
        <v>2011</v>
      </c>
      <c r="J20" s="80">
        <v>1</v>
      </c>
      <c r="K20" s="81" t="str">
        <f>IF(ISNUMBER(Table1[[#This Row],[Qtr]]),CONCATENATE(Table1[[#This Row],[Year]]," Q",Table1[[#This Row],[Qtr]]),CONCATENATE(Table1[[#This Row],[Year]],Table1[[#This Row],[Qtr]]))</f>
        <v>2011 Q1</v>
      </c>
      <c r="L20" s="80" t="s">
        <v>20</v>
      </c>
      <c r="M20" s="80" t="s">
        <v>84</v>
      </c>
      <c r="N20" s="80">
        <v>1</v>
      </c>
      <c r="O20" s="80">
        <v>27</v>
      </c>
      <c r="P20" s="80"/>
      <c r="Q20" s="82">
        <v>22000</v>
      </c>
      <c r="R20" s="82">
        <f t="shared" si="0"/>
        <v>16720</v>
      </c>
      <c r="S20" s="80" t="str">
        <f t="shared" si="1"/>
        <v>Yes</v>
      </c>
      <c r="T20" s="82"/>
      <c r="U20" s="82"/>
      <c r="V20" s="82">
        <f>Table1[[#This Row],[Office GFA (sf)]]/10.7639</f>
        <v>38461.895781268875</v>
      </c>
      <c r="W20" s="82">
        <v>414000</v>
      </c>
      <c r="X20" s="82">
        <f>Table1[[#This Row],[Office UFA (Net) (sf)]]/10.7639</f>
        <v>29231.040793764343</v>
      </c>
      <c r="Y20" s="82">
        <v>314640</v>
      </c>
      <c r="Z20" s="82"/>
      <c r="AA20" s="82"/>
      <c r="AB20" s="82"/>
      <c r="AC20" s="82">
        <f>IF(Table1[[#This Row],[For Sale or For Lease?]]="For Lease",Table1[[#This Row],[Office UFA (Net) (sf)]]-Table1[[#This Row],[Pre-leased space (Usable FA) (sf)]]-Table1[[#This Row],[Pre-sold (Usable FA) (sf)]]-Table1[[#This Row],[Self-use space (Usable FA) (sf)]],0)</f>
        <v>314640</v>
      </c>
      <c r="AD20" s="82">
        <f>IF(Table1[[#This Row],[For Sale or For Lease?]]="For Sale",Table1[[#This Row],[Office UFA (Net) (sf)]]-Table1[[#This Row],[Pre-leased space (Usable FA) (sf)]]-Table1[[#This Row],[Pre-sold (Usable FA) (sf)]]-Table1[[#This Row],[Self-use space (Usable FA) (sf)]],0)</f>
        <v>0</v>
      </c>
      <c r="AE20" s="82">
        <f>IF(Table1[[#This Row],[For Sale or For Lease?]]="Uncertain",Table1[[#This Row],[Office UFA (Net) (sf)]]-Table1[[#This Row],[Pre-leased space (Usable FA) (sf)]]-Table1[[#This Row],[Pre-sold (Usable FA) (sf)]]-Table1[[#This Row],[Self-use space (Usable FA) (sf)]],0)</f>
        <v>0</v>
      </c>
      <c r="AF20" s="86">
        <f>1-SUM(Table1[[#This Row],[Space available for lease (Usable FA) (sf)]:[Space available uncertain of use (Usable FA) (sf)]])/Table1[[#This Row],[Office UFA (Net) (sf)]]</f>
        <v>0</v>
      </c>
      <c r="AG20" s="79" t="s">
        <v>89</v>
      </c>
      <c r="AH20" s="84" t="s">
        <v>103</v>
      </c>
      <c r="AI20" s="79" t="s">
        <v>92</v>
      </c>
      <c r="AJ20" s="83">
        <v>40544</v>
      </c>
      <c r="AK20" s="83">
        <v>40675</v>
      </c>
      <c r="AL20" s="85" t="s">
        <v>30</v>
      </c>
      <c r="AM20" s="85" t="s">
        <v>272</v>
      </c>
      <c r="AN20" s="79" t="s">
        <v>73</v>
      </c>
      <c r="AO20" s="77" t="s">
        <v>705</v>
      </c>
      <c r="AP20" s="77" t="s">
        <v>81</v>
      </c>
      <c r="AQ20" s="77" t="s">
        <v>273</v>
      </c>
      <c r="AR20" s="79" t="s">
        <v>2338</v>
      </c>
      <c r="AS20" s="79"/>
      <c r="AT20" s="80"/>
      <c r="AU20" s="80"/>
      <c r="AV20" s="77"/>
    </row>
    <row r="21" spans="1:48" ht="15" hidden="1" customHeight="1" x14ac:dyDescent="0.35">
      <c r="A21" s="77" t="s">
        <v>269</v>
      </c>
      <c r="B21" s="77" t="s">
        <v>270</v>
      </c>
      <c r="C21" s="77" t="s">
        <v>1155</v>
      </c>
      <c r="D21" s="77"/>
      <c r="E21" s="79" t="s">
        <v>50</v>
      </c>
      <c r="F21" s="77" t="str">
        <f>VLOOKUP(Table1[[#This Row],[CBRE sub-markets]],Reference!$A$2:$B$31,2,FALSE)</f>
        <v>Kowloon East</v>
      </c>
      <c r="G21" s="77">
        <f>VLOOKUP(Table1[[#This Row],[CBRE sub-markets]],Reference!$A$2:$D$31,3,FALSE)</f>
        <v>7</v>
      </c>
      <c r="H21" s="79" t="str">
        <f>VLOOKUP(Table1[[#This Row],[CBRE sub-markets]],Reference!$A$2:$D$31,4,FALSE)</f>
        <v>Kowloon</v>
      </c>
      <c r="I21" s="80">
        <v>2011</v>
      </c>
      <c r="J21" s="80">
        <v>2</v>
      </c>
      <c r="K21" s="81" t="str">
        <f>IF(ISNUMBER(Table1[[#This Row],[Qtr]]),CONCATENATE(Table1[[#This Row],[Year]]," Q",Table1[[#This Row],[Qtr]]),CONCATENATE(Table1[[#This Row],[Year]],Table1[[#This Row],[Qtr]]))</f>
        <v>2011 Q2</v>
      </c>
      <c r="L21" s="80" t="s">
        <v>20</v>
      </c>
      <c r="M21" s="80" t="s">
        <v>84</v>
      </c>
      <c r="N21" s="80">
        <v>1</v>
      </c>
      <c r="O21" s="80">
        <v>25</v>
      </c>
      <c r="P21" s="80"/>
      <c r="Q21" s="82">
        <f>+W21/O21</f>
        <v>24519.4</v>
      </c>
      <c r="R21" s="82">
        <f t="shared" si="0"/>
        <v>17891.16</v>
      </c>
      <c r="S21" s="80" t="str">
        <f t="shared" si="1"/>
        <v>Yes</v>
      </c>
      <c r="T21" s="82"/>
      <c r="U21" s="82"/>
      <c r="V21" s="82">
        <f>Table1[[#This Row],[Office GFA (sf)]]/10.7639</f>
        <v>56948.225085703139</v>
      </c>
      <c r="W21" s="82">
        <v>612985</v>
      </c>
      <c r="X21" s="82">
        <f>Table1[[#This Row],[Office UFA (Net) (sf)]]/10.7639</f>
        <v>41553.619041425511</v>
      </c>
      <c r="Y21" s="82">
        <v>447279</v>
      </c>
      <c r="Z21" s="82"/>
      <c r="AA21" s="82"/>
      <c r="AB21" s="82"/>
      <c r="AC21" s="82">
        <f>IF(Table1[[#This Row],[For Sale or For Lease?]]="For Lease",Table1[[#This Row],[Office UFA (Net) (sf)]]-Table1[[#This Row],[Pre-leased space (Usable FA) (sf)]]-Table1[[#This Row],[Pre-sold (Usable FA) (sf)]]-Table1[[#This Row],[Self-use space (Usable FA) (sf)]],0)</f>
        <v>0</v>
      </c>
      <c r="AD21" s="82">
        <f>IF(Table1[[#This Row],[For Sale or For Lease?]]="For Sale",Table1[[#This Row],[Office UFA (Net) (sf)]]-Table1[[#This Row],[Pre-leased space (Usable FA) (sf)]]-Table1[[#This Row],[Pre-sold (Usable FA) (sf)]]-Table1[[#This Row],[Self-use space (Usable FA) (sf)]],0)</f>
        <v>447279</v>
      </c>
      <c r="AE21" s="82">
        <f>IF(Table1[[#This Row],[For Sale or For Lease?]]="Uncertain",Table1[[#This Row],[Office UFA (Net) (sf)]]-Table1[[#This Row],[Pre-leased space (Usable FA) (sf)]]-Table1[[#This Row],[Pre-sold (Usable FA) (sf)]]-Table1[[#This Row],[Self-use space (Usable FA) (sf)]],0)</f>
        <v>0</v>
      </c>
      <c r="AF21" s="86">
        <f>1-SUM(Table1[[#This Row],[Space available for lease (Usable FA) (sf)]:[Space available uncertain of use (Usable FA) (sf)]])/Table1[[#This Row],[Office UFA (Net) (sf)]]</f>
        <v>0</v>
      </c>
      <c r="AG21" s="79" t="s">
        <v>89</v>
      </c>
      <c r="AH21" s="84" t="s">
        <v>103</v>
      </c>
      <c r="AI21" s="79" t="s">
        <v>92</v>
      </c>
      <c r="AJ21" s="83">
        <v>40664</v>
      </c>
      <c r="AK21" s="83">
        <v>40764</v>
      </c>
      <c r="AL21" s="85" t="s">
        <v>30</v>
      </c>
      <c r="AM21" s="85" t="s">
        <v>501</v>
      </c>
      <c r="AN21" s="79" t="s">
        <v>73</v>
      </c>
      <c r="AO21" s="77" t="s">
        <v>704</v>
      </c>
      <c r="AP21" s="77" t="s">
        <v>82</v>
      </c>
      <c r="AQ21" s="77"/>
      <c r="AR21" s="79" t="s">
        <v>2337</v>
      </c>
      <c r="AS21" s="79"/>
      <c r="AT21" s="80"/>
      <c r="AU21" s="80"/>
      <c r="AV21" s="77"/>
    </row>
    <row r="22" spans="1:48" ht="15" hidden="1" customHeight="1" x14ac:dyDescent="0.35">
      <c r="A22" s="77"/>
      <c r="B22" s="77" t="s">
        <v>587</v>
      </c>
      <c r="C22" s="77" t="s">
        <v>587</v>
      </c>
      <c r="D22" s="77"/>
      <c r="E22" s="79" t="s">
        <v>8</v>
      </c>
      <c r="F22" s="77" t="str">
        <f>VLOOKUP(Table1[[#This Row],[CBRE sub-markets]],Reference!$A$2:$B$31,2,FALSE)</f>
        <v>Tsim Sha Tsui</v>
      </c>
      <c r="G22" s="77">
        <f>VLOOKUP(Table1[[#This Row],[CBRE sub-markets]],Reference!$A$2:$D$31,3,FALSE)</f>
        <v>6</v>
      </c>
      <c r="H22" s="79" t="str">
        <f>VLOOKUP(Table1[[#This Row],[CBRE sub-markets]],Reference!$A$2:$D$31,4,FALSE)</f>
        <v>Kowloon</v>
      </c>
      <c r="I22" s="80">
        <v>2011</v>
      </c>
      <c r="J22" s="80">
        <v>3</v>
      </c>
      <c r="K22" s="81" t="str">
        <f>IF(ISNUMBER(Table1[[#This Row],[Qtr]]),CONCATENATE(Table1[[#This Row],[Year]]," Q",Table1[[#This Row],[Qtr]]),CONCATENATE(Table1[[#This Row],[Year]],Table1[[#This Row],[Qtr]]))</f>
        <v>2011 Q3</v>
      </c>
      <c r="L22" s="80" t="s">
        <v>21</v>
      </c>
      <c r="M22" s="80" t="s">
        <v>84</v>
      </c>
      <c r="N22" s="80">
        <v>1</v>
      </c>
      <c r="O22" s="80">
        <v>23</v>
      </c>
      <c r="P22" s="80"/>
      <c r="Q22" s="82">
        <f>W22/O22</f>
        <v>1035.6371999999999</v>
      </c>
      <c r="R22" s="82">
        <f>Q22*0.75</f>
        <v>776.72789999999986</v>
      </c>
      <c r="S22" s="80" t="str">
        <f t="shared" si="1"/>
        <v>No</v>
      </c>
      <c r="T22" s="82"/>
      <c r="U22" s="82"/>
      <c r="V22" s="82">
        <v>2212.9</v>
      </c>
      <c r="W22" s="82">
        <f>+V22*10.764</f>
        <v>23819.655599999998</v>
      </c>
      <c r="X22" s="82">
        <f>Y22/10.764</f>
        <v>1659.675</v>
      </c>
      <c r="Y22" s="82">
        <f>W22*0.75</f>
        <v>17864.741699999999</v>
      </c>
      <c r="Z22" s="82"/>
      <c r="AA22" s="82"/>
      <c r="AB22" s="82"/>
      <c r="AC22" s="82">
        <f>IF(Table1[[#This Row],[For Sale or For Lease?]]="For Lease",Table1[[#This Row],[Office UFA (Net) (sf)]]-Table1[[#This Row],[Pre-leased space (Usable FA) (sf)]]-Table1[[#This Row],[Pre-sold (Usable FA) (sf)]]-Table1[[#This Row],[Self-use space (Usable FA) (sf)]],0)</f>
        <v>17864.741699999999</v>
      </c>
      <c r="AD22" s="82">
        <f>IF(Table1[[#This Row],[For Sale or For Lease?]]="For Sale",Table1[[#This Row],[Office UFA (Net) (sf)]]-Table1[[#This Row],[Pre-leased space (Usable FA) (sf)]]-Table1[[#This Row],[Pre-sold (Usable FA) (sf)]]-Table1[[#This Row],[Self-use space (Usable FA) (sf)]],0)</f>
        <v>0</v>
      </c>
      <c r="AE22" s="82">
        <f>IF(Table1[[#This Row],[For Sale or For Lease?]]="Uncertain",Table1[[#This Row],[Office UFA (Net) (sf)]]-Table1[[#This Row],[Pre-leased space (Usable FA) (sf)]]-Table1[[#This Row],[Pre-sold (Usable FA) (sf)]]-Table1[[#This Row],[Self-use space (Usable FA) (sf)]],0)</f>
        <v>0</v>
      </c>
      <c r="AF22" s="86">
        <f>1-SUM(Table1[[#This Row],[Space available for lease (Usable FA) (sf)]:[Space available uncertain of use (Usable FA) (sf)]])/Table1[[#This Row],[Office UFA (Net) (sf)]]</f>
        <v>0</v>
      </c>
      <c r="AG22" s="79" t="s">
        <v>89</v>
      </c>
      <c r="AH22" s="84" t="s">
        <v>138</v>
      </c>
      <c r="AI22" s="79" t="s">
        <v>92</v>
      </c>
      <c r="AJ22" s="83">
        <v>40057</v>
      </c>
      <c r="AK22" s="83">
        <v>40122</v>
      </c>
      <c r="AL22" s="85"/>
      <c r="AM22" s="85" t="s">
        <v>590</v>
      </c>
      <c r="AN22" s="79" t="s">
        <v>73</v>
      </c>
      <c r="AO22" s="77" t="s">
        <v>705</v>
      </c>
      <c r="AP22" s="77" t="s">
        <v>81</v>
      </c>
      <c r="AQ22" s="77" t="s">
        <v>591</v>
      </c>
      <c r="AR22" s="79" t="s">
        <v>1707</v>
      </c>
      <c r="AS22" s="79"/>
      <c r="AT22" s="80"/>
      <c r="AU22" s="80"/>
      <c r="AV22" s="77" t="s">
        <v>2192</v>
      </c>
    </row>
    <row r="23" spans="1:48" ht="15" hidden="1" customHeight="1" x14ac:dyDescent="0.35">
      <c r="A23" s="77" t="s">
        <v>101</v>
      </c>
      <c r="B23" s="77" t="s">
        <v>637</v>
      </c>
      <c r="C23" s="77" t="s">
        <v>1156</v>
      </c>
      <c r="D23" s="77"/>
      <c r="E23" s="79" t="s">
        <v>1</v>
      </c>
      <c r="F23" s="77" t="str">
        <f>VLOOKUP(Table1[[#This Row],[CBRE sub-markets]],Reference!$A$2:$B$31,2,FALSE)</f>
        <v>Central</v>
      </c>
      <c r="G23" s="77">
        <f>VLOOKUP(Table1[[#This Row],[CBRE sub-markets]],Reference!$A$2:$D$31,3,FALSE)</f>
        <v>1</v>
      </c>
      <c r="H23" s="79" t="str">
        <f>VLOOKUP(Table1[[#This Row],[CBRE sub-markets]],Reference!$A$2:$D$31,4,FALSE)</f>
        <v>Hong Kong Island</v>
      </c>
      <c r="I23" s="80">
        <v>2011</v>
      </c>
      <c r="J23" s="80">
        <v>4</v>
      </c>
      <c r="K23" s="81" t="str">
        <f>IF(ISNUMBER(Table1[[#This Row],[Qtr]]),CONCATENATE(Table1[[#This Row],[Year]]," Q",Table1[[#This Row],[Qtr]]),CONCATENATE(Table1[[#This Row],[Year]],Table1[[#This Row],[Qtr]]))</f>
        <v>2011 Q4</v>
      </c>
      <c r="L23" s="80" t="s">
        <v>20</v>
      </c>
      <c r="M23" s="80" t="s">
        <v>84</v>
      </c>
      <c r="N23" s="80">
        <v>1</v>
      </c>
      <c r="O23" s="80" t="s">
        <v>102</v>
      </c>
      <c r="P23" s="80"/>
      <c r="Q23" s="82">
        <f>W23/28</f>
        <v>4170.75</v>
      </c>
      <c r="R23" s="82">
        <f t="shared" ref="R23:R32" si="2">Q23*(Y23/W23)</f>
        <v>3781.8214285714284</v>
      </c>
      <c r="S23" s="80" t="str">
        <f t="shared" si="1"/>
        <v>No</v>
      </c>
      <c r="T23" s="82"/>
      <c r="U23" s="82"/>
      <c r="V23" s="82">
        <f>Table1[[#This Row],[Office GFA (sf)]]/10.7639</f>
        <v>10849.320413604735</v>
      </c>
      <c r="W23" s="82">
        <v>116781</v>
      </c>
      <c r="X23" s="82">
        <f>Table1[[#This Row],[Office UFA (Net) (sf)]]/10.7639</f>
        <v>9837.6053289235315</v>
      </c>
      <c r="Y23" s="82">
        <v>105891</v>
      </c>
      <c r="Z23" s="82"/>
      <c r="AA23" s="82"/>
      <c r="AB23" s="82"/>
      <c r="AC23" s="82">
        <f>IF(Table1[[#This Row],[For Sale or For Lease?]]="For Lease",Table1[[#This Row],[Office UFA (Net) (sf)]]-Table1[[#This Row],[Pre-leased space (Usable FA) (sf)]]-Table1[[#This Row],[Pre-sold (Usable FA) (sf)]]-Table1[[#This Row],[Self-use space (Usable FA) (sf)]],0)</f>
        <v>105891</v>
      </c>
      <c r="AD23" s="82">
        <f>IF(Table1[[#This Row],[For Sale or For Lease?]]="For Sale",Table1[[#This Row],[Office UFA (Net) (sf)]]-Table1[[#This Row],[Pre-leased space (Usable FA) (sf)]]-Table1[[#This Row],[Pre-sold (Usable FA) (sf)]]-Table1[[#This Row],[Self-use space (Usable FA) (sf)]],0)</f>
        <v>0</v>
      </c>
      <c r="AE23" s="82">
        <f>IF(Table1[[#This Row],[For Sale or For Lease?]]="Uncertain",Table1[[#This Row],[Office UFA (Net) (sf)]]-Table1[[#This Row],[Pre-leased space (Usable FA) (sf)]]-Table1[[#This Row],[Pre-sold (Usable FA) (sf)]]-Table1[[#This Row],[Self-use space (Usable FA) (sf)]],0)</f>
        <v>0</v>
      </c>
      <c r="AF23" s="86">
        <f>1-SUM(Table1[[#This Row],[Space available for lease (Usable FA) (sf)]:[Space available uncertain of use (Usable FA) (sf)]])/Table1[[#This Row],[Office UFA (Net) (sf)]]</f>
        <v>0</v>
      </c>
      <c r="AG23" s="79" t="s">
        <v>89</v>
      </c>
      <c r="AH23" s="84" t="s">
        <v>103</v>
      </c>
      <c r="AI23" s="79" t="s">
        <v>92</v>
      </c>
      <c r="AJ23" s="83">
        <v>40878</v>
      </c>
      <c r="AK23" s="83">
        <v>40941</v>
      </c>
      <c r="AL23" s="85" t="s">
        <v>30</v>
      </c>
      <c r="AM23" s="85" t="s">
        <v>104</v>
      </c>
      <c r="AN23" s="79" t="s">
        <v>73</v>
      </c>
      <c r="AO23" s="77" t="s">
        <v>705</v>
      </c>
      <c r="AP23" s="77" t="s">
        <v>81</v>
      </c>
      <c r="AQ23" s="77"/>
      <c r="AR23" s="79" t="s">
        <v>2335</v>
      </c>
      <c r="AS23" s="79"/>
      <c r="AT23" s="80"/>
      <c r="AU23" s="80"/>
      <c r="AV23" s="77"/>
    </row>
    <row r="24" spans="1:48" ht="15" hidden="1" customHeight="1" x14ac:dyDescent="0.35">
      <c r="A24" s="77" t="s">
        <v>141</v>
      </c>
      <c r="B24" s="77" t="s">
        <v>142</v>
      </c>
      <c r="C24" s="77" t="s">
        <v>1157</v>
      </c>
      <c r="D24" s="77"/>
      <c r="E24" s="79" t="s">
        <v>1</v>
      </c>
      <c r="F24" s="77" t="str">
        <f>VLOOKUP(Table1[[#This Row],[CBRE sub-markets]],Reference!$A$2:$B$31,2,FALSE)</f>
        <v>Central</v>
      </c>
      <c r="G24" s="77">
        <f>VLOOKUP(Table1[[#This Row],[CBRE sub-markets]],Reference!$A$2:$D$31,3,FALSE)</f>
        <v>1</v>
      </c>
      <c r="H24" s="79" t="str">
        <f>VLOOKUP(Table1[[#This Row],[CBRE sub-markets]],Reference!$A$2:$D$31,4,FALSE)</f>
        <v>Hong Kong Island</v>
      </c>
      <c r="I24" s="80">
        <v>2011</v>
      </c>
      <c r="J24" s="80">
        <v>4</v>
      </c>
      <c r="K24" s="81" t="str">
        <f>IF(ISNUMBER(Table1[[#This Row],[Qtr]]),CONCATENATE(Table1[[#This Row],[Year]]," Q",Table1[[#This Row],[Qtr]]),CONCATENATE(Table1[[#This Row],[Year]],Table1[[#This Row],[Qtr]]))</f>
        <v>2011 Q4</v>
      </c>
      <c r="L24" s="80" t="s">
        <v>20</v>
      </c>
      <c r="M24" s="80" t="s">
        <v>84</v>
      </c>
      <c r="N24" s="80">
        <v>1</v>
      </c>
      <c r="O24" s="80" t="s">
        <v>143</v>
      </c>
      <c r="P24" s="80"/>
      <c r="Q24" s="82">
        <f>W24/31</f>
        <v>4524.3522580645158</v>
      </c>
      <c r="R24" s="82">
        <f t="shared" si="2"/>
        <v>3532.2586838709672</v>
      </c>
      <c r="S24" s="80" t="str">
        <f t="shared" si="1"/>
        <v>No</v>
      </c>
      <c r="T24" s="82"/>
      <c r="U24" s="82"/>
      <c r="V24" s="82">
        <v>13030</v>
      </c>
      <c r="W24" s="82">
        <f>V24*10.764</f>
        <v>140254.91999999998</v>
      </c>
      <c r="X24" s="82">
        <v>10172.799999999999</v>
      </c>
      <c r="Y24" s="82">
        <f>X24*10.764</f>
        <v>109500.01919999998</v>
      </c>
      <c r="Z24" s="82"/>
      <c r="AA24" s="82"/>
      <c r="AB24" s="82"/>
      <c r="AC24" s="82">
        <f>IF(Table1[[#This Row],[For Sale or For Lease?]]="For Lease",Table1[[#This Row],[Office UFA (Net) (sf)]]-Table1[[#This Row],[Pre-leased space (Usable FA) (sf)]]-Table1[[#This Row],[Pre-sold (Usable FA) (sf)]]-Table1[[#This Row],[Self-use space (Usable FA) (sf)]],0)</f>
        <v>109500.01919999998</v>
      </c>
      <c r="AD24" s="82">
        <f>IF(Table1[[#This Row],[For Sale or For Lease?]]="For Sale",Table1[[#This Row],[Office UFA (Net) (sf)]]-Table1[[#This Row],[Pre-leased space (Usable FA) (sf)]]-Table1[[#This Row],[Pre-sold (Usable FA) (sf)]]-Table1[[#This Row],[Self-use space (Usable FA) (sf)]],0)</f>
        <v>0</v>
      </c>
      <c r="AE24" s="82">
        <f>IF(Table1[[#This Row],[For Sale or For Lease?]]="Uncertain",Table1[[#This Row],[Office UFA (Net) (sf)]]-Table1[[#This Row],[Pre-leased space (Usable FA) (sf)]]-Table1[[#This Row],[Pre-sold (Usable FA) (sf)]]-Table1[[#This Row],[Self-use space (Usable FA) (sf)]],0)</f>
        <v>0</v>
      </c>
      <c r="AF24" s="86">
        <f>1-SUM(Table1[[#This Row],[Space available for lease (Usable FA) (sf)]:[Space available uncertain of use (Usable FA) (sf)]])/Table1[[#This Row],[Office UFA (Net) (sf)]]</f>
        <v>0</v>
      </c>
      <c r="AG24" s="79" t="s">
        <v>89</v>
      </c>
      <c r="AH24" s="84" t="s">
        <v>103</v>
      </c>
      <c r="AI24" s="79" t="s">
        <v>92</v>
      </c>
      <c r="AJ24" s="83">
        <v>40848</v>
      </c>
      <c r="AK24" s="83">
        <v>40941</v>
      </c>
      <c r="AL24" s="85" t="s">
        <v>30</v>
      </c>
      <c r="AM24" s="85" t="s">
        <v>144</v>
      </c>
      <c r="AN24" s="79" t="s">
        <v>73</v>
      </c>
      <c r="AO24" s="77" t="s">
        <v>705</v>
      </c>
      <c r="AP24" s="77" t="s">
        <v>81</v>
      </c>
      <c r="AQ24" s="77" t="s">
        <v>145</v>
      </c>
      <c r="AR24" s="79" t="s">
        <v>2416</v>
      </c>
      <c r="AS24" s="79"/>
      <c r="AT24" s="80"/>
      <c r="AU24" s="80"/>
      <c r="AV24" s="77"/>
    </row>
    <row r="25" spans="1:48" ht="15" hidden="1" customHeight="1" x14ac:dyDescent="0.35">
      <c r="A25" s="77" t="s">
        <v>93</v>
      </c>
      <c r="B25" s="77" t="s">
        <v>634</v>
      </c>
      <c r="C25" s="77" t="s">
        <v>1158</v>
      </c>
      <c r="D25" s="77"/>
      <c r="E25" s="79" t="s">
        <v>5</v>
      </c>
      <c r="F25" s="77" t="str">
        <f>VLOOKUP(Table1[[#This Row],[CBRE sub-markets]],Reference!$A$2:$B$31,2,FALSE)</f>
        <v>Wan Chai &amp; Causeway Bay</v>
      </c>
      <c r="G25" s="77">
        <f>VLOOKUP(Table1[[#This Row],[CBRE sub-markets]],Reference!$A$2:$D$31,3,FALSE)</f>
        <v>3</v>
      </c>
      <c r="H25" s="79" t="str">
        <f>VLOOKUP(Table1[[#This Row],[CBRE sub-markets]],Reference!$A$2:$D$31,4,FALSE)</f>
        <v>Hong Kong Island</v>
      </c>
      <c r="I25" s="80">
        <v>2012</v>
      </c>
      <c r="J25" s="80">
        <v>1</v>
      </c>
      <c r="K25" s="81" t="str">
        <f>IF(ISNUMBER(Table1[[#This Row],[Qtr]]),CONCATENATE(Table1[[#This Row],[Year]]," Q",Table1[[#This Row],[Qtr]]),CONCATENATE(Table1[[#This Row],[Year]],Table1[[#This Row],[Qtr]]))</f>
        <v>2012 Q1</v>
      </c>
      <c r="L25" s="80" t="s">
        <v>20</v>
      </c>
      <c r="M25" s="80" t="s">
        <v>84</v>
      </c>
      <c r="N25" s="80">
        <v>1</v>
      </c>
      <c r="O25" s="80" t="s">
        <v>95</v>
      </c>
      <c r="P25" s="80"/>
      <c r="Q25" s="82">
        <v>16000</v>
      </c>
      <c r="R25" s="82">
        <f t="shared" si="2"/>
        <v>14610.111552484263</v>
      </c>
      <c r="S25" s="80" t="str">
        <f t="shared" si="1"/>
        <v>No</v>
      </c>
      <c r="T25" s="82"/>
      <c r="U25" s="82"/>
      <c r="V25" s="82">
        <f>+W25/10.764</f>
        <v>22652.824228911188</v>
      </c>
      <c r="W25" s="82">
        <v>243835</v>
      </c>
      <c r="X25" s="82">
        <f>+V25*0.92</f>
        <v>20840.598290598293</v>
      </c>
      <c r="Y25" s="82">
        <v>222653.5344</v>
      </c>
      <c r="Z25" s="82"/>
      <c r="AA25" s="82"/>
      <c r="AB25" s="82"/>
      <c r="AC25" s="82">
        <f>IF(Table1[[#This Row],[For Sale or For Lease?]]="For Lease",Table1[[#This Row],[Office UFA (Net) (sf)]]-Table1[[#This Row],[Pre-leased space (Usable FA) (sf)]]-Table1[[#This Row],[Pre-sold (Usable FA) (sf)]]-Table1[[#This Row],[Self-use space (Usable FA) (sf)]],0)</f>
        <v>222653.5344</v>
      </c>
      <c r="AD25" s="82">
        <f>IF(Table1[[#This Row],[For Sale or For Lease?]]="For Sale",Table1[[#This Row],[Office UFA (Net) (sf)]]-Table1[[#This Row],[Pre-leased space (Usable FA) (sf)]]-Table1[[#This Row],[Pre-sold (Usable FA) (sf)]]-Table1[[#This Row],[Self-use space (Usable FA) (sf)]],0)</f>
        <v>0</v>
      </c>
      <c r="AE25" s="82">
        <f>IF(Table1[[#This Row],[For Sale or For Lease?]]="Uncertain",Table1[[#This Row],[Office UFA (Net) (sf)]]-Table1[[#This Row],[Pre-leased space (Usable FA) (sf)]]-Table1[[#This Row],[Pre-sold (Usable FA) (sf)]]-Table1[[#This Row],[Self-use space (Usable FA) (sf)]],0)</f>
        <v>0</v>
      </c>
      <c r="AF25" s="86">
        <f>1-SUM(Table1[[#This Row],[Space available for lease (Usable FA) (sf)]:[Space available uncertain of use (Usable FA) (sf)]])/Table1[[#This Row],[Office UFA (Net) (sf)]]</f>
        <v>0</v>
      </c>
      <c r="AG25" s="79" t="s">
        <v>89</v>
      </c>
      <c r="AH25" s="84" t="s">
        <v>103</v>
      </c>
      <c r="AI25" s="79" t="s">
        <v>92</v>
      </c>
      <c r="AJ25" s="83">
        <v>40969</v>
      </c>
      <c r="AK25" s="83">
        <v>41073</v>
      </c>
      <c r="AL25" s="85" t="s">
        <v>30</v>
      </c>
      <c r="AM25" s="85" t="s">
        <v>97</v>
      </c>
      <c r="AN25" s="79" t="s">
        <v>73</v>
      </c>
      <c r="AO25" s="77" t="s">
        <v>705</v>
      </c>
      <c r="AP25" s="77" t="s">
        <v>81</v>
      </c>
      <c r="AQ25" s="77"/>
      <c r="AR25" s="79" t="s">
        <v>2339</v>
      </c>
      <c r="AS25" s="79"/>
      <c r="AT25" s="80"/>
      <c r="AU25" s="80"/>
      <c r="AV25" s="77"/>
    </row>
    <row r="26" spans="1:48" ht="15" hidden="1" customHeight="1" x14ac:dyDescent="0.35">
      <c r="A26" s="77"/>
      <c r="B26" s="77" t="s">
        <v>644</v>
      </c>
      <c r="C26" s="77" t="s">
        <v>1159</v>
      </c>
      <c r="D26" s="77"/>
      <c r="E26" s="79" t="s">
        <v>50</v>
      </c>
      <c r="F26" s="77" t="str">
        <f>VLOOKUP(Table1[[#This Row],[CBRE sub-markets]],Reference!$A$2:$B$31,2,FALSE)</f>
        <v>Kowloon East</v>
      </c>
      <c r="G26" s="77">
        <f>VLOOKUP(Table1[[#This Row],[CBRE sub-markets]],Reference!$A$2:$D$31,3,FALSE)</f>
        <v>7</v>
      </c>
      <c r="H26" s="79" t="str">
        <f>VLOOKUP(Table1[[#This Row],[CBRE sub-markets]],Reference!$A$2:$D$31,4,FALSE)</f>
        <v>Kowloon</v>
      </c>
      <c r="I26" s="80">
        <v>2012</v>
      </c>
      <c r="J26" s="80">
        <v>1</v>
      </c>
      <c r="K26" s="81" t="str">
        <f>IF(ISNUMBER(Table1[[#This Row],[Qtr]]),CONCATENATE(Table1[[#This Row],[Year]]," Q",Table1[[#This Row],[Qtr]]),CONCATENATE(Table1[[#This Row],[Year]],Table1[[#This Row],[Qtr]]))</f>
        <v>2012 Q1</v>
      </c>
      <c r="L26" s="80" t="s">
        <v>20</v>
      </c>
      <c r="M26" s="80" t="s">
        <v>84</v>
      </c>
      <c r="N26" s="80">
        <v>1</v>
      </c>
      <c r="O26" s="80">
        <v>30</v>
      </c>
      <c r="P26" s="80"/>
      <c r="Q26" s="82">
        <f>+W26/O26</f>
        <v>10116.366666666667</v>
      </c>
      <c r="R26" s="82">
        <f t="shared" si="2"/>
        <v>7587.2749999999996</v>
      </c>
      <c r="S26" s="80" t="str">
        <f t="shared" si="1"/>
        <v>No</v>
      </c>
      <c r="T26" s="82"/>
      <c r="U26" s="82"/>
      <c r="V26" s="82">
        <f>Table1[[#This Row],[Office GFA (sf)]]/10.7639</f>
        <v>28195.263798437369</v>
      </c>
      <c r="W26" s="82">
        <v>303491</v>
      </c>
      <c r="X26" s="82">
        <f>Table1[[#This Row],[Office UFA (Net) (sf)]]/10.7639</f>
        <v>21146.447848828029</v>
      </c>
      <c r="Y26" s="82">
        <v>227618.25</v>
      </c>
      <c r="Z26" s="82"/>
      <c r="AA26" s="82"/>
      <c r="AB26" s="82"/>
      <c r="AC26" s="82">
        <f>IF(Table1[[#This Row],[For Sale or For Lease?]]="For Lease",Table1[[#This Row],[Office UFA (Net) (sf)]]-Table1[[#This Row],[Pre-leased space (Usable FA) (sf)]]-Table1[[#This Row],[Pre-sold (Usable FA) (sf)]]-Table1[[#This Row],[Self-use space (Usable FA) (sf)]],0)</f>
        <v>0</v>
      </c>
      <c r="AD26" s="82">
        <f>IF(Table1[[#This Row],[For Sale or For Lease?]]="For Sale",Table1[[#This Row],[Office UFA (Net) (sf)]]-Table1[[#This Row],[Pre-leased space (Usable FA) (sf)]]-Table1[[#This Row],[Pre-sold (Usable FA) (sf)]]-Table1[[#This Row],[Self-use space (Usable FA) (sf)]],0)</f>
        <v>227618.25</v>
      </c>
      <c r="AE26" s="82">
        <f>IF(Table1[[#This Row],[For Sale or For Lease?]]="Uncertain",Table1[[#This Row],[Office UFA (Net) (sf)]]-Table1[[#This Row],[Pre-leased space (Usable FA) (sf)]]-Table1[[#This Row],[Pre-sold (Usable FA) (sf)]]-Table1[[#This Row],[Self-use space (Usable FA) (sf)]],0)</f>
        <v>0</v>
      </c>
      <c r="AF26" s="86">
        <f>1-SUM(Table1[[#This Row],[Space available for lease (Usable FA) (sf)]:[Space available uncertain of use (Usable FA) (sf)]])/Table1[[#This Row],[Office UFA (Net) (sf)]]</f>
        <v>0</v>
      </c>
      <c r="AG26" s="79" t="s">
        <v>89</v>
      </c>
      <c r="AH26" s="84" t="s">
        <v>103</v>
      </c>
      <c r="AI26" s="79" t="s">
        <v>92</v>
      </c>
      <c r="AJ26" s="83">
        <v>40940</v>
      </c>
      <c r="AK26" s="83">
        <v>41072</v>
      </c>
      <c r="AL26" s="85" t="s">
        <v>30</v>
      </c>
      <c r="AM26" s="85" t="s">
        <v>501</v>
      </c>
      <c r="AN26" s="79" t="s">
        <v>73</v>
      </c>
      <c r="AO26" s="77" t="s">
        <v>704</v>
      </c>
      <c r="AP26" s="77" t="s">
        <v>82</v>
      </c>
      <c r="AQ26" s="77" t="s">
        <v>645</v>
      </c>
      <c r="AR26" s="79" t="s">
        <v>2341</v>
      </c>
      <c r="AS26" s="79"/>
      <c r="AT26" s="80"/>
      <c r="AU26" s="80"/>
      <c r="AV26" s="77"/>
    </row>
    <row r="27" spans="1:48" ht="15" hidden="1" customHeight="1" x14ac:dyDescent="0.35">
      <c r="A27" s="77"/>
      <c r="B27" s="77" t="s">
        <v>636</v>
      </c>
      <c r="C27" s="77" t="s">
        <v>1161</v>
      </c>
      <c r="D27" s="77"/>
      <c r="E27" s="79" t="s">
        <v>4</v>
      </c>
      <c r="F27" s="77" t="str">
        <f>VLOOKUP(Table1[[#This Row],[CBRE sub-markets]],Reference!$A$2:$B$31,2,FALSE)</f>
        <v>Wan Chai &amp; Causeway Bay</v>
      </c>
      <c r="G27" s="77">
        <f>VLOOKUP(Table1[[#This Row],[CBRE sub-markets]],Reference!$A$2:$D$31,3,FALSE)</f>
        <v>3</v>
      </c>
      <c r="H27" s="79" t="str">
        <f>VLOOKUP(Table1[[#This Row],[CBRE sub-markets]],Reference!$A$2:$D$31,4,FALSE)</f>
        <v>Hong Kong Island</v>
      </c>
      <c r="I27" s="80">
        <v>2012</v>
      </c>
      <c r="J27" s="80">
        <v>3</v>
      </c>
      <c r="K27" s="81" t="str">
        <f>IF(ISNUMBER(Table1[[#This Row],[Qtr]]),CONCATENATE(Table1[[#This Row],[Year]]," Q",Table1[[#This Row],[Qtr]]),CONCATENATE(Table1[[#This Row],[Year]],Table1[[#This Row],[Qtr]]))</f>
        <v>2012 Q3</v>
      </c>
      <c r="L27" s="80" t="s">
        <v>20</v>
      </c>
      <c r="M27" s="80" t="s">
        <v>84</v>
      </c>
      <c r="N27" s="80">
        <v>1</v>
      </c>
      <c r="O27" s="80" t="s">
        <v>98</v>
      </c>
      <c r="P27" s="80"/>
      <c r="Q27" s="82">
        <v>4935</v>
      </c>
      <c r="R27" s="82">
        <f t="shared" si="2"/>
        <v>4400.125</v>
      </c>
      <c r="S27" s="80" t="str">
        <f t="shared" si="1"/>
        <v>No</v>
      </c>
      <c r="T27" s="82"/>
      <c r="U27" s="82"/>
      <c r="V27" s="82">
        <f>W27/10.764</f>
        <v>11003.344481605352</v>
      </c>
      <c r="W27" s="82">
        <v>118440</v>
      </c>
      <c r="X27" s="82">
        <f>Y27/10.764</f>
        <v>9810.7580824972138</v>
      </c>
      <c r="Y27" s="82">
        <v>105603</v>
      </c>
      <c r="Z27" s="82"/>
      <c r="AA27" s="82"/>
      <c r="AB27" s="82"/>
      <c r="AC27" s="82">
        <f>IF(Table1[[#This Row],[For Sale or For Lease?]]="For Lease",Table1[[#This Row],[Office UFA (Net) (sf)]]-Table1[[#This Row],[Pre-leased space (Usable FA) (sf)]]-Table1[[#This Row],[Pre-sold (Usable FA) (sf)]]-Table1[[#This Row],[Self-use space (Usable FA) (sf)]],0)</f>
        <v>105603</v>
      </c>
      <c r="AD27" s="82">
        <f>IF(Table1[[#This Row],[For Sale or For Lease?]]="For Sale",Table1[[#This Row],[Office UFA (Net) (sf)]]-Table1[[#This Row],[Pre-leased space (Usable FA) (sf)]]-Table1[[#This Row],[Pre-sold (Usable FA) (sf)]]-Table1[[#This Row],[Self-use space (Usable FA) (sf)]],0)</f>
        <v>0</v>
      </c>
      <c r="AE27" s="82">
        <f>IF(Table1[[#This Row],[For Sale or For Lease?]]="Uncertain",Table1[[#This Row],[Office UFA (Net) (sf)]]-Table1[[#This Row],[Pre-leased space (Usable FA) (sf)]]-Table1[[#This Row],[Pre-sold (Usable FA) (sf)]]-Table1[[#This Row],[Self-use space (Usable FA) (sf)]],0)</f>
        <v>0</v>
      </c>
      <c r="AF27" s="86">
        <f>1-SUM(Table1[[#This Row],[Space available for lease (Usable FA) (sf)]:[Space available uncertain of use (Usable FA) (sf)]])/Table1[[#This Row],[Office UFA (Net) (sf)]]</f>
        <v>0</v>
      </c>
      <c r="AG27" s="79" t="s">
        <v>89</v>
      </c>
      <c r="AH27" s="84" t="s">
        <v>103</v>
      </c>
      <c r="AI27" s="79" t="s">
        <v>92</v>
      </c>
      <c r="AJ27" s="83">
        <v>41091</v>
      </c>
      <c r="AK27" s="83">
        <v>41128</v>
      </c>
      <c r="AL27" s="85" t="s">
        <v>30</v>
      </c>
      <c r="AM27" s="85" t="s">
        <v>99</v>
      </c>
      <c r="AN27" s="79" t="s">
        <v>73</v>
      </c>
      <c r="AO27" s="77" t="s">
        <v>705</v>
      </c>
      <c r="AP27" s="77" t="s">
        <v>81</v>
      </c>
      <c r="AQ27" s="77" t="s">
        <v>690</v>
      </c>
      <c r="AR27" s="79" t="s">
        <v>2340</v>
      </c>
      <c r="AS27" s="79"/>
      <c r="AT27" s="80"/>
      <c r="AU27" s="80"/>
      <c r="AV27" s="77"/>
    </row>
    <row r="28" spans="1:48" ht="15" hidden="1" customHeight="1" x14ac:dyDescent="0.35">
      <c r="A28" s="77" t="s">
        <v>119</v>
      </c>
      <c r="B28" s="77" t="s">
        <v>120</v>
      </c>
      <c r="C28" s="77" t="s">
        <v>1160</v>
      </c>
      <c r="D28" s="77"/>
      <c r="E28" s="79" t="s">
        <v>50</v>
      </c>
      <c r="F28" s="77" t="str">
        <f>VLOOKUP(Table1[[#This Row],[CBRE sub-markets]],Reference!$A$2:$B$31,2,FALSE)</f>
        <v>Kowloon East</v>
      </c>
      <c r="G28" s="77">
        <f>VLOOKUP(Table1[[#This Row],[CBRE sub-markets]],Reference!$A$2:$D$31,3,FALSE)</f>
        <v>7</v>
      </c>
      <c r="H28" s="79" t="str">
        <f>VLOOKUP(Table1[[#This Row],[CBRE sub-markets]],Reference!$A$2:$D$31,4,FALSE)</f>
        <v>Kowloon</v>
      </c>
      <c r="I28" s="80">
        <v>2012</v>
      </c>
      <c r="J28" s="80">
        <v>3</v>
      </c>
      <c r="K28" s="81" t="str">
        <f>IF(ISNUMBER(Table1[[#This Row],[Qtr]]),CONCATENATE(Table1[[#This Row],[Year]]," Q",Table1[[#This Row],[Qtr]]),CONCATENATE(Table1[[#This Row],[Year]],Table1[[#This Row],[Qtr]]))</f>
        <v>2012 Q3</v>
      </c>
      <c r="L28" s="80" t="s">
        <v>20</v>
      </c>
      <c r="M28" s="80" t="s">
        <v>84</v>
      </c>
      <c r="N28" s="80">
        <v>1</v>
      </c>
      <c r="O28" s="80">
        <v>19</v>
      </c>
      <c r="P28" s="80"/>
      <c r="Q28" s="82">
        <v>11875</v>
      </c>
      <c r="R28" s="82">
        <f t="shared" si="2"/>
        <v>8906.25</v>
      </c>
      <c r="S28" s="80" t="str">
        <f t="shared" si="1"/>
        <v>No</v>
      </c>
      <c r="T28" s="82"/>
      <c r="U28" s="82"/>
      <c r="V28" s="82">
        <f>Table1[[#This Row],[Office GFA (sf)]]/10.7639</f>
        <v>23714.174230529828</v>
      </c>
      <c r="W28" s="82">
        <v>255257</v>
      </c>
      <c r="X28" s="82">
        <f>Table1[[#This Row],[Office UFA (Net) (sf)]]/10.7639</f>
        <v>17785.630672897372</v>
      </c>
      <c r="Y28" s="82">
        <v>191442.75</v>
      </c>
      <c r="Z28" s="82"/>
      <c r="AA28" s="82"/>
      <c r="AB28" s="82"/>
      <c r="AC28" s="82">
        <f>IF(Table1[[#This Row],[For Sale or For Lease?]]="For Lease",Table1[[#This Row],[Office UFA (Net) (sf)]]-Table1[[#This Row],[Pre-leased space (Usable FA) (sf)]]-Table1[[#This Row],[Pre-sold (Usable FA) (sf)]]-Table1[[#This Row],[Self-use space (Usable FA) (sf)]],0)</f>
        <v>0</v>
      </c>
      <c r="AD28" s="82">
        <f>IF(Table1[[#This Row],[For Sale or For Lease?]]="For Sale",Table1[[#This Row],[Office UFA (Net) (sf)]]-Table1[[#This Row],[Pre-leased space (Usable FA) (sf)]]-Table1[[#This Row],[Pre-sold (Usable FA) (sf)]]-Table1[[#This Row],[Self-use space (Usable FA) (sf)]],0)</f>
        <v>191442.75</v>
      </c>
      <c r="AE28" s="82">
        <f>IF(Table1[[#This Row],[For Sale or For Lease?]]="Uncertain",Table1[[#This Row],[Office UFA (Net) (sf)]]-Table1[[#This Row],[Pre-leased space (Usable FA) (sf)]]-Table1[[#This Row],[Pre-sold (Usable FA) (sf)]]-Table1[[#This Row],[Self-use space (Usable FA) (sf)]],0)</f>
        <v>0</v>
      </c>
      <c r="AF28" s="86">
        <f>1-SUM(Table1[[#This Row],[Space available for lease (Usable FA) (sf)]:[Space available uncertain of use (Usable FA) (sf)]])/Table1[[#This Row],[Office UFA (Net) (sf)]]</f>
        <v>0</v>
      </c>
      <c r="AG28" s="79" t="s">
        <v>89</v>
      </c>
      <c r="AH28" s="84" t="s">
        <v>103</v>
      </c>
      <c r="AI28" s="79" t="s">
        <v>92</v>
      </c>
      <c r="AJ28" s="83">
        <v>41122</v>
      </c>
      <c r="AK28" s="83">
        <v>41215</v>
      </c>
      <c r="AL28" s="85" t="s">
        <v>30</v>
      </c>
      <c r="AM28" s="85" t="s">
        <v>114</v>
      </c>
      <c r="AN28" s="79" t="s">
        <v>73</v>
      </c>
      <c r="AO28" s="77" t="s">
        <v>704</v>
      </c>
      <c r="AP28" s="77" t="s">
        <v>82</v>
      </c>
      <c r="AQ28" s="77" t="s">
        <v>122</v>
      </c>
      <c r="AR28" s="79" t="s">
        <v>2342</v>
      </c>
      <c r="AS28" s="79"/>
      <c r="AT28" s="80"/>
      <c r="AU28" s="80"/>
      <c r="AV28" s="77"/>
    </row>
    <row r="29" spans="1:48" ht="15" hidden="1" customHeight="1" x14ac:dyDescent="0.35">
      <c r="A29" s="77"/>
      <c r="B29" s="77" t="s">
        <v>635</v>
      </c>
      <c r="C29" s="77" t="s">
        <v>1162</v>
      </c>
      <c r="D29" s="77"/>
      <c r="E29" s="79" t="s">
        <v>1</v>
      </c>
      <c r="F29" s="77" t="str">
        <f>VLOOKUP(Table1[[#This Row],[CBRE sub-markets]],Reference!$A$2:$B$31,2,FALSE)</f>
        <v>Central</v>
      </c>
      <c r="G29" s="77">
        <f>VLOOKUP(Table1[[#This Row],[CBRE sub-markets]],Reference!$A$2:$D$31,3,FALSE)</f>
        <v>1</v>
      </c>
      <c r="H29" s="79" t="str">
        <f>VLOOKUP(Table1[[#This Row],[CBRE sub-markets]],Reference!$A$2:$D$31,4,FALSE)</f>
        <v>Hong Kong Island</v>
      </c>
      <c r="I29" s="80">
        <v>2012</v>
      </c>
      <c r="J29" s="80">
        <v>4</v>
      </c>
      <c r="K29" s="81" t="str">
        <f>IF(ISNUMBER(Table1[[#This Row],[Qtr]]),CONCATENATE(Table1[[#This Row],[Year]]," Q",Table1[[#This Row],[Qtr]]),CONCATENATE(Table1[[#This Row],[Year]],Table1[[#This Row],[Qtr]]))</f>
        <v>2012 Q4</v>
      </c>
      <c r="L29" s="80" t="s">
        <v>20</v>
      </c>
      <c r="M29" s="80" t="s">
        <v>84</v>
      </c>
      <c r="N29" s="80">
        <v>1</v>
      </c>
      <c r="O29" s="80" t="s">
        <v>88</v>
      </c>
      <c r="P29" s="80"/>
      <c r="Q29" s="82">
        <f>W29/27</f>
        <v>8308.1335999999992</v>
      </c>
      <c r="R29" s="82">
        <f t="shared" si="2"/>
        <v>5610.1569333333327</v>
      </c>
      <c r="S29" s="80" t="str">
        <f t="shared" si="1"/>
        <v>No</v>
      </c>
      <c r="T29" s="82"/>
      <c r="U29" s="82"/>
      <c r="V29" s="82">
        <v>20839.8</v>
      </c>
      <c r="W29" s="82">
        <f>+V29*10.764</f>
        <v>224319.60719999997</v>
      </c>
      <c r="X29" s="82">
        <v>14072.3</v>
      </c>
      <c r="Y29" s="82">
        <f>+X29*10.764</f>
        <v>151474.23719999997</v>
      </c>
      <c r="Z29" s="82">
        <v>88244.1</v>
      </c>
      <c r="AA29" s="82"/>
      <c r="AB29" s="82"/>
      <c r="AC29" s="82">
        <f>IF(Table1[[#This Row],[For Sale or For Lease?]]="For Lease",Table1[[#This Row],[Office UFA (Net) (sf)]]-Table1[[#This Row],[Pre-leased space (Usable FA) (sf)]]-Table1[[#This Row],[Pre-sold (Usable FA) (sf)]]-Table1[[#This Row],[Self-use space (Usable FA) (sf)]],0)</f>
        <v>63230.137199999968</v>
      </c>
      <c r="AD29" s="82">
        <f>IF(Table1[[#This Row],[For Sale or For Lease?]]="For Sale",Table1[[#This Row],[Office UFA (Net) (sf)]]-Table1[[#This Row],[Pre-leased space (Usable FA) (sf)]]-Table1[[#This Row],[Pre-sold (Usable FA) (sf)]]-Table1[[#This Row],[Self-use space (Usable FA) (sf)]],0)</f>
        <v>0</v>
      </c>
      <c r="AE29" s="82">
        <f>IF(Table1[[#This Row],[For Sale or For Lease?]]="Uncertain",Table1[[#This Row],[Office UFA (Net) (sf)]]-Table1[[#This Row],[Pre-leased space (Usable FA) (sf)]]-Table1[[#This Row],[Pre-sold (Usable FA) (sf)]]-Table1[[#This Row],[Self-use space (Usable FA) (sf)]],0)</f>
        <v>0</v>
      </c>
      <c r="AF29" s="86">
        <f>1-SUM(Table1[[#This Row],[Space available for lease (Usable FA) (sf)]:[Space available uncertain of use (Usable FA) (sf)]])/Table1[[#This Row],[Office UFA (Net) (sf)]]</f>
        <v>0.58256837354781554</v>
      </c>
      <c r="AG29" s="79" t="s">
        <v>89</v>
      </c>
      <c r="AH29" s="84" t="s">
        <v>103</v>
      </c>
      <c r="AI29" s="79" t="s">
        <v>92</v>
      </c>
      <c r="AJ29" s="83">
        <v>41244</v>
      </c>
      <c r="AK29" s="83">
        <v>41326</v>
      </c>
      <c r="AL29" s="85" t="s">
        <v>30</v>
      </c>
      <c r="AM29" s="85" t="s">
        <v>91</v>
      </c>
      <c r="AN29" s="79" t="s">
        <v>73</v>
      </c>
      <c r="AO29" s="77" t="s">
        <v>705</v>
      </c>
      <c r="AP29" s="77" t="s">
        <v>81</v>
      </c>
      <c r="AQ29" s="77" t="s">
        <v>708</v>
      </c>
      <c r="AR29" s="79" t="s">
        <v>2338</v>
      </c>
      <c r="AS29" s="79"/>
      <c r="AT29" s="80"/>
      <c r="AU29" s="80"/>
      <c r="AV29" s="77"/>
    </row>
    <row r="30" spans="1:48" ht="15" hidden="1" customHeight="1" x14ac:dyDescent="0.35">
      <c r="A30" s="77"/>
      <c r="B30" s="77" t="s">
        <v>648</v>
      </c>
      <c r="C30" s="77" t="s">
        <v>1163</v>
      </c>
      <c r="D30" s="77"/>
      <c r="E30" s="79" t="s">
        <v>50</v>
      </c>
      <c r="F30" s="77" t="str">
        <f>VLOOKUP(Table1[[#This Row],[CBRE sub-markets]],Reference!$A$2:$B$31,2,FALSE)</f>
        <v>Kowloon East</v>
      </c>
      <c r="G30" s="77">
        <f>VLOOKUP(Table1[[#This Row],[CBRE sub-markets]],Reference!$A$2:$D$31,3,FALSE)</f>
        <v>7</v>
      </c>
      <c r="H30" s="79" t="str">
        <f>VLOOKUP(Table1[[#This Row],[CBRE sub-markets]],Reference!$A$2:$D$31,4,FALSE)</f>
        <v>Kowloon</v>
      </c>
      <c r="I30" s="80">
        <v>2012</v>
      </c>
      <c r="J30" s="80">
        <v>4</v>
      </c>
      <c r="K30" s="81" t="str">
        <f>IF(ISNUMBER(Table1[[#This Row],[Qtr]]),CONCATENATE(Table1[[#This Row],[Year]]," Q",Table1[[#This Row],[Qtr]]),CONCATENATE(Table1[[#This Row],[Year]],Table1[[#This Row],[Qtr]]))</f>
        <v>2012 Q4</v>
      </c>
      <c r="L30" s="80" t="s">
        <v>21</v>
      </c>
      <c r="M30" s="80" t="s">
        <v>84</v>
      </c>
      <c r="N30" s="80">
        <v>1</v>
      </c>
      <c r="O30" s="80" t="s">
        <v>712</v>
      </c>
      <c r="P30" s="80"/>
      <c r="Q30" s="82">
        <f>+W30/31</f>
        <v>7740.0104516129031</v>
      </c>
      <c r="R30" s="82">
        <f t="shared" si="2"/>
        <v>5243.040232258064</v>
      </c>
      <c r="S30" s="80" t="str">
        <f t="shared" si="1"/>
        <v>No</v>
      </c>
      <c r="T30" s="82"/>
      <c r="U30" s="82"/>
      <c r="V30" s="82">
        <v>22291</v>
      </c>
      <c r="W30" s="82">
        <v>239940.32399999999</v>
      </c>
      <c r="X30" s="82">
        <v>15099.8</v>
      </c>
      <c r="Y30" s="82">
        <v>162534.24719999998</v>
      </c>
      <c r="Z30" s="82"/>
      <c r="AA30" s="82"/>
      <c r="AB30" s="82"/>
      <c r="AC30" s="82">
        <f>IF(Table1[[#This Row],[For Sale or For Lease?]]="For Lease",Table1[[#This Row],[Office UFA (Net) (sf)]]-Table1[[#This Row],[Pre-leased space (Usable FA) (sf)]]-Table1[[#This Row],[Pre-sold (Usable FA) (sf)]]-Table1[[#This Row],[Self-use space (Usable FA) (sf)]],0)</f>
        <v>162534.24719999998</v>
      </c>
      <c r="AD30" s="82">
        <f>IF(Table1[[#This Row],[For Sale or For Lease?]]="For Sale",Table1[[#This Row],[Office UFA (Net) (sf)]]-Table1[[#This Row],[Pre-leased space (Usable FA) (sf)]]-Table1[[#This Row],[Pre-sold (Usable FA) (sf)]]-Table1[[#This Row],[Self-use space (Usable FA) (sf)]],0)</f>
        <v>0</v>
      </c>
      <c r="AE30" s="82">
        <f>IF(Table1[[#This Row],[For Sale or For Lease?]]="Uncertain",Table1[[#This Row],[Office UFA (Net) (sf)]]-Table1[[#This Row],[Pre-leased space (Usable FA) (sf)]]-Table1[[#This Row],[Pre-sold (Usable FA) (sf)]]-Table1[[#This Row],[Self-use space (Usable FA) (sf)]],0)</f>
        <v>0</v>
      </c>
      <c r="AF30" s="86">
        <f>1-SUM(Table1[[#This Row],[Space available for lease (Usable FA) (sf)]:[Space available uncertain of use (Usable FA) (sf)]])/Table1[[#This Row],[Office UFA (Net) (sf)]]</f>
        <v>0</v>
      </c>
      <c r="AG30" s="79" t="s">
        <v>89</v>
      </c>
      <c r="AH30" s="84" t="s">
        <v>103</v>
      </c>
      <c r="AI30" s="79" t="s">
        <v>92</v>
      </c>
      <c r="AJ30" s="83">
        <v>41214</v>
      </c>
      <c r="AK30" s="83">
        <v>41326</v>
      </c>
      <c r="AL30" s="85" t="s">
        <v>30</v>
      </c>
      <c r="AM30" s="85" t="s">
        <v>706</v>
      </c>
      <c r="AN30" s="79" t="s">
        <v>73</v>
      </c>
      <c r="AO30" s="77" t="s">
        <v>705</v>
      </c>
      <c r="AP30" s="77" t="s">
        <v>81</v>
      </c>
      <c r="AQ30" s="77" t="s">
        <v>707</v>
      </c>
      <c r="AR30" s="79" t="s">
        <v>1708</v>
      </c>
      <c r="AS30" s="79"/>
      <c r="AT30" s="80"/>
      <c r="AU30" s="80"/>
      <c r="AV30" s="77"/>
    </row>
    <row r="31" spans="1:48" ht="15" hidden="1" customHeight="1" x14ac:dyDescent="0.35">
      <c r="A31" s="77" t="s">
        <v>110</v>
      </c>
      <c r="B31" s="77" t="s">
        <v>709</v>
      </c>
      <c r="C31" s="77" t="s">
        <v>1142</v>
      </c>
      <c r="D31" s="77" t="s">
        <v>111</v>
      </c>
      <c r="E31" s="79" t="s">
        <v>15</v>
      </c>
      <c r="F31" s="77" t="str">
        <f>VLOOKUP(Table1[[#This Row],[CBRE sub-markets]],Reference!$A$2:$B$31,2,FALSE)</f>
        <v>New Territories</v>
      </c>
      <c r="G31" s="77">
        <f>VLOOKUP(Table1[[#This Row],[CBRE sub-markets]],Reference!$A$2:$D$31,3,FALSE)</f>
        <v>9</v>
      </c>
      <c r="H31" s="79" t="str">
        <f>VLOOKUP(Table1[[#This Row],[CBRE sub-markets]],Reference!$A$2:$D$31,4,FALSE)</f>
        <v>New Territories</v>
      </c>
      <c r="I31" s="80">
        <v>2012</v>
      </c>
      <c r="J31" s="80">
        <v>4</v>
      </c>
      <c r="K31" s="81" t="str">
        <f>IF(ISNUMBER(Table1[[#This Row],[Qtr]]),CONCATENATE(Table1[[#This Row],[Year]]," Q",Table1[[#This Row],[Qtr]]),CONCATENATE(Table1[[#This Row],[Year]],Table1[[#This Row],[Qtr]]))</f>
        <v>2012 Q4</v>
      </c>
      <c r="L31" s="80" t="s">
        <v>20</v>
      </c>
      <c r="M31" s="80" t="s">
        <v>84</v>
      </c>
      <c r="N31" s="80">
        <v>1</v>
      </c>
      <c r="O31" s="80" t="s">
        <v>710</v>
      </c>
      <c r="P31" s="80"/>
      <c r="Q31" s="82">
        <v>26000</v>
      </c>
      <c r="R31" s="82">
        <f t="shared" si="2"/>
        <v>19500</v>
      </c>
      <c r="S31" s="80" t="str">
        <f t="shared" si="1"/>
        <v>Yes</v>
      </c>
      <c r="T31" s="82"/>
      <c r="U31" s="82"/>
      <c r="V31" s="82">
        <f>W31/10.764</f>
        <v>54816.146413972507</v>
      </c>
      <c r="W31" s="82">
        <v>590041</v>
      </c>
      <c r="X31" s="82">
        <f>Y31/10.764</f>
        <v>41112.109810479378</v>
      </c>
      <c r="Y31" s="82">
        <v>442530.75</v>
      </c>
      <c r="Z31" s="82"/>
      <c r="AA31" s="82">
        <f>(W31-208000)*Y31/W31</f>
        <v>286530.75</v>
      </c>
      <c r="AB31" s="82"/>
      <c r="AC31" s="82">
        <f>IF(Table1[[#This Row],[For Sale or For Lease?]]="For Lease",Table1[[#This Row],[Office UFA (Net) (sf)]]-Table1[[#This Row],[Pre-leased space (Usable FA) (sf)]]-Table1[[#This Row],[Pre-sold (Usable FA) (sf)]]-Table1[[#This Row],[Self-use space (Usable FA) (sf)]],0)</f>
        <v>0</v>
      </c>
      <c r="AD31" s="82">
        <f>IF(Table1[[#This Row],[For Sale or For Lease?]]="For Sale",Table1[[#This Row],[Office UFA (Net) (sf)]]-Table1[[#This Row],[Pre-leased space (Usable FA) (sf)]]-Table1[[#This Row],[Pre-sold (Usable FA) (sf)]]-Table1[[#This Row],[Self-use space (Usable FA) (sf)]],0)</f>
        <v>156000</v>
      </c>
      <c r="AE31" s="82">
        <f>IF(Table1[[#This Row],[For Sale or For Lease?]]="Uncertain",Table1[[#This Row],[Office UFA (Net) (sf)]]-Table1[[#This Row],[Pre-leased space (Usable FA) (sf)]]-Table1[[#This Row],[Pre-sold (Usable FA) (sf)]]-Table1[[#This Row],[Self-use space (Usable FA) (sf)]],0)</f>
        <v>0</v>
      </c>
      <c r="AF31" s="86">
        <f>1-SUM(Table1[[#This Row],[Space available for lease (Usable FA) (sf)]:[Space available uncertain of use (Usable FA) (sf)]])/Table1[[#This Row],[Office UFA (Net) (sf)]]</f>
        <v>0.64748212412357786</v>
      </c>
      <c r="AG31" s="79" t="s">
        <v>89</v>
      </c>
      <c r="AH31" s="84" t="s">
        <v>103</v>
      </c>
      <c r="AI31" s="79" t="s">
        <v>92</v>
      </c>
      <c r="AJ31" s="83">
        <v>41244</v>
      </c>
      <c r="AK31" s="83">
        <v>41326</v>
      </c>
      <c r="AL31" s="85" t="s">
        <v>29</v>
      </c>
      <c r="AM31" s="85" t="s">
        <v>114</v>
      </c>
      <c r="AN31" s="79" t="s">
        <v>73</v>
      </c>
      <c r="AO31" s="77" t="s">
        <v>704</v>
      </c>
      <c r="AP31" s="77" t="s">
        <v>82</v>
      </c>
      <c r="AQ31" s="77" t="s">
        <v>640</v>
      </c>
      <c r="AR31" s="79" t="s">
        <v>2418</v>
      </c>
      <c r="AS31" s="79"/>
      <c r="AT31" s="80"/>
      <c r="AU31" s="80"/>
      <c r="AV31" s="77"/>
    </row>
    <row r="32" spans="1:48" ht="15" hidden="1" customHeight="1" x14ac:dyDescent="0.35">
      <c r="A32" s="77"/>
      <c r="B32" s="77" t="s">
        <v>646</v>
      </c>
      <c r="C32" s="77" t="s">
        <v>646</v>
      </c>
      <c r="D32" s="77"/>
      <c r="E32" s="79" t="s">
        <v>4</v>
      </c>
      <c r="F32" s="77" t="str">
        <f>VLOOKUP(Table1[[#This Row],[CBRE sub-markets]],Reference!$A$2:$B$31,2,FALSE)</f>
        <v>Wan Chai &amp; Causeway Bay</v>
      </c>
      <c r="G32" s="77">
        <f>VLOOKUP(Table1[[#This Row],[CBRE sub-markets]],Reference!$A$2:$D$31,3,FALSE)</f>
        <v>3</v>
      </c>
      <c r="H32" s="79" t="str">
        <f>VLOOKUP(Table1[[#This Row],[CBRE sub-markets]],Reference!$A$2:$D$31,4,FALSE)</f>
        <v>Hong Kong Island</v>
      </c>
      <c r="I32" s="80">
        <v>2013</v>
      </c>
      <c r="J32" s="80">
        <v>2</v>
      </c>
      <c r="K32" s="81" t="str">
        <f>IF(ISNUMBER(Table1[[#This Row],[Qtr]]),CONCATENATE(Table1[[#This Row],[Year]]," Q",Table1[[#This Row],[Qtr]]),CONCATENATE(Table1[[#This Row],[Year]],Table1[[#This Row],[Qtr]]))</f>
        <v>2013 Q2</v>
      </c>
      <c r="L32" s="80" t="s">
        <v>21</v>
      </c>
      <c r="M32" s="80" t="s">
        <v>84</v>
      </c>
      <c r="N32" s="80">
        <v>1</v>
      </c>
      <c r="O32" s="80">
        <v>18</v>
      </c>
      <c r="P32" s="80"/>
      <c r="Q32" s="82">
        <v>3930</v>
      </c>
      <c r="R32" s="82">
        <f t="shared" si="2"/>
        <v>3340.5</v>
      </c>
      <c r="S32" s="80" t="str">
        <f t="shared" si="1"/>
        <v>No</v>
      </c>
      <c r="T32" s="82"/>
      <c r="U32" s="82"/>
      <c r="V32" s="82">
        <f>W32/10.764</f>
        <v>5711.1668524712004</v>
      </c>
      <c r="W32" s="82">
        <v>61475</v>
      </c>
      <c r="X32" s="82">
        <f>Y32/10.764</f>
        <v>4854.4918246005209</v>
      </c>
      <c r="Y32" s="82">
        <f>W32*0.85</f>
        <v>52253.75</v>
      </c>
      <c r="Z32" s="82">
        <f>Y32</f>
        <v>52253.75</v>
      </c>
      <c r="AA32" s="82"/>
      <c r="AB32" s="82"/>
      <c r="AC32" s="82">
        <f>IF(Table1[[#This Row],[For Sale or For Lease?]]="For Lease",Table1[[#This Row],[Office UFA (Net) (sf)]]-Table1[[#This Row],[Pre-leased space (Usable FA) (sf)]]-Table1[[#This Row],[Pre-sold (Usable FA) (sf)]]-Table1[[#This Row],[Self-use space (Usable FA) (sf)]],0)</f>
        <v>0</v>
      </c>
      <c r="AD32" s="82">
        <f>IF(Table1[[#This Row],[For Sale or For Lease?]]="For Sale",Table1[[#This Row],[Office UFA (Net) (sf)]]-Table1[[#This Row],[Pre-leased space (Usable FA) (sf)]]-Table1[[#This Row],[Pre-sold (Usable FA) (sf)]]-Table1[[#This Row],[Self-use space (Usable FA) (sf)]],0)</f>
        <v>0</v>
      </c>
      <c r="AE32" s="82">
        <f>IF(Table1[[#This Row],[For Sale or For Lease?]]="Uncertain",Table1[[#This Row],[Office UFA (Net) (sf)]]-Table1[[#This Row],[Pre-leased space (Usable FA) (sf)]]-Table1[[#This Row],[Pre-sold (Usable FA) (sf)]]-Table1[[#This Row],[Self-use space (Usable FA) (sf)]],0)</f>
        <v>0</v>
      </c>
      <c r="AF32" s="86">
        <f>1-SUM(Table1[[#This Row],[Space available for lease (Usable FA) (sf)]:[Space available uncertain of use (Usable FA) (sf)]])/Table1[[#This Row],[Office UFA (Net) (sf)]]</f>
        <v>1</v>
      </c>
      <c r="AG32" s="79" t="s">
        <v>89</v>
      </c>
      <c r="AH32" s="84" t="s">
        <v>113</v>
      </c>
      <c r="AI32" s="79" t="s">
        <v>99</v>
      </c>
      <c r="AJ32" s="83"/>
      <c r="AK32" s="83">
        <v>40562</v>
      </c>
      <c r="AL32" s="85" t="s">
        <v>275</v>
      </c>
      <c r="AM32" s="85" t="s">
        <v>99</v>
      </c>
      <c r="AN32" s="79" t="s">
        <v>73</v>
      </c>
      <c r="AO32" s="77" t="s">
        <v>705</v>
      </c>
      <c r="AP32" s="77" t="s">
        <v>81</v>
      </c>
      <c r="AQ32" s="77" t="s">
        <v>647</v>
      </c>
      <c r="AR32" s="79" t="s">
        <v>1709</v>
      </c>
      <c r="AS32" s="79"/>
      <c r="AT32" s="80"/>
      <c r="AU32" s="80"/>
      <c r="AV32" s="77" t="s">
        <v>2193</v>
      </c>
    </row>
    <row r="33" spans="1:48" ht="15" hidden="1" customHeight="1" x14ac:dyDescent="0.35">
      <c r="A33" s="77"/>
      <c r="B33" s="77" t="s">
        <v>184</v>
      </c>
      <c r="C33" s="77" t="s">
        <v>1164</v>
      </c>
      <c r="D33" s="77"/>
      <c r="E33" s="79" t="s">
        <v>130</v>
      </c>
      <c r="F33" s="77" t="str">
        <f>VLOOKUP(Table1[[#This Row],[CBRE sub-markets]],Reference!$A$2:$B$31,2,FALSE)</f>
        <v>Wong Chuk Hang</v>
      </c>
      <c r="G33" s="77">
        <f>VLOOKUP(Table1[[#This Row],[CBRE sub-markets]],Reference!$A$2:$D$31,3,FALSE)</f>
        <v>5</v>
      </c>
      <c r="H33" s="79" t="str">
        <f>VLOOKUP(Table1[[#This Row],[CBRE sub-markets]],Reference!$A$2:$D$31,4,FALSE)</f>
        <v>Hong Kong Island</v>
      </c>
      <c r="I33" s="80">
        <v>2013</v>
      </c>
      <c r="J33" s="80">
        <v>2</v>
      </c>
      <c r="K33" s="81" t="str">
        <f>IF(ISNUMBER(Table1[[#This Row],[Qtr]]),CONCATENATE(Table1[[#This Row],[Year]]," Q",Table1[[#This Row],[Qtr]]),CONCATENATE(Table1[[#This Row],[Year]],Table1[[#This Row],[Qtr]]))</f>
        <v>2013 Q2</v>
      </c>
      <c r="L33" s="80" t="s">
        <v>20</v>
      </c>
      <c r="M33" s="80" t="s">
        <v>84</v>
      </c>
      <c r="N33" s="80">
        <v>1</v>
      </c>
      <c r="O33" s="80" t="s">
        <v>98</v>
      </c>
      <c r="P33" s="80"/>
      <c r="Q33" s="82">
        <v>6000</v>
      </c>
      <c r="R33" s="82">
        <f>Q33*0.75</f>
        <v>4500</v>
      </c>
      <c r="S33" s="80" t="str">
        <f t="shared" si="1"/>
        <v>No</v>
      </c>
      <c r="T33" s="82"/>
      <c r="U33" s="82"/>
      <c r="V33" s="82">
        <f>Table1[[#This Row],[Office GFA (sf)]]/10.7639</f>
        <v>15250.977805442266</v>
      </c>
      <c r="W33" s="82">
        <v>164160</v>
      </c>
      <c r="X33" s="82">
        <f>Table1[[#This Row],[Office UFA (Net) (sf)]]/10.7639</f>
        <v>12810.821356571503</v>
      </c>
      <c r="Y33" s="82">
        <v>137894.39999999999</v>
      </c>
      <c r="Z33" s="82"/>
      <c r="AA33" s="82"/>
      <c r="AB33" s="82"/>
      <c r="AC33" s="82">
        <f>IF(Table1[[#This Row],[For Sale or For Lease?]]="For Lease",Table1[[#This Row],[Office UFA (Net) (sf)]]-Table1[[#This Row],[Pre-leased space (Usable FA) (sf)]]-Table1[[#This Row],[Pre-sold (Usable FA) (sf)]]-Table1[[#This Row],[Self-use space (Usable FA) (sf)]],0)</f>
        <v>0</v>
      </c>
      <c r="AD33" s="82">
        <f>IF(Table1[[#This Row],[For Sale or For Lease?]]="For Sale",Table1[[#This Row],[Office UFA (Net) (sf)]]-Table1[[#This Row],[Pre-leased space (Usable FA) (sf)]]-Table1[[#This Row],[Pre-sold (Usable FA) (sf)]]-Table1[[#This Row],[Self-use space (Usable FA) (sf)]],0)</f>
        <v>137894.39999999999</v>
      </c>
      <c r="AE33" s="82">
        <f>IF(Table1[[#This Row],[For Sale or For Lease?]]="Uncertain",Table1[[#This Row],[Office UFA (Net) (sf)]]-Table1[[#This Row],[Pre-leased space (Usable FA) (sf)]]-Table1[[#This Row],[Pre-sold (Usable FA) (sf)]]-Table1[[#This Row],[Self-use space (Usable FA) (sf)]],0)</f>
        <v>0</v>
      </c>
      <c r="AF33" s="86">
        <f>1-SUM(Table1[[#This Row],[Space available for lease (Usable FA) (sf)]:[Space available uncertain of use (Usable FA) (sf)]])/Table1[[#This Row],[Office UFA (Net) (sf)]]</f>
        <v>0</v>
      </c>
      <c r="AG33" s="79" t="s">
        <v>89</v>
      </c>
      <c r="AH33" s="84" t="s">
        <v>103</v>
      </c>
      <c r="AI33" s="79" t="s">
        <v>92</v>
      </c>
      <c r="AJ33" s="83">
        <v>41395</v>
      </c>
      <c r="AK33" s="83">
        <v>41540</v>
      </c>
      <c r="AL33" s="85" t="s">
        <v>30</v>
      </c>
      <c r="AM33" s="85" t="s">
        <v>760</v>
      </c>
      <c r="AN33" s="79" t="s">
        <v>73</v>
      </c>
      <c r="AO33" s="77" t="s">
        <v>704</v>
      </c>
      <c r="AP33" s="77" t="s">
        <v>82</v>
      </c>
      <c r="AQ33" s="77" t="s">
        <v>186</v>
      </c>
      <c r="AR33" s="79" t="s">
        <v>2419</v>
      </c>
      <c r="AS33" s="79"/>
      <c r="AT33" s="80"/>
      <c r="AU33" s="80"/>
      <c r="AV33" s="77"/>
    </row>
    <row r="34" spans="1:48" ht="15" hidden="1" customHeight="1" x14ac:dyDescent="0.35">
      <c r="A34" s="77"/>
      <c r="B34" s="77" t="s">
        <v>116</v>
      </c>
      <c r="C34" s="77" t="s">
        <v>116</v>
      </c>
      <c r="D34" s="77"/>
      <c r="E34" s="79" t="s">
        <v>50</v>
      </c>
      <c r="F34" s="77" t="str">
        <f>VLOOKUP(Table1[[#This Row],[CBRE sub-markets]],Reference!$A$2:$B$31,2,FALSE)</f>
        <v>Kowloon East</v>
      </c>
      <c r="G34" s="77">
        <f>VLOOKUP(Table1[[#This Row],[CBRE sub-markets]],Reference!$A$2:$D$31,3,FALSE)</f>
        <v>7</v>
      </c>
      <c r="H34" s="79" t="str">
        <f>VLOOKUP(Table1[[#This Row],[CBRE sub-markets]],Reference!$A$2:$D$31,4,FALSE)</f>
        <v>Kowloon</v>
      </c>
      <c r="I34" s="80">
        <v>2013</v>
      </c>
      <c r="J34" s="80">
        <v>2</v>
      </c>
      <c r="K34" s="81" t="str">
        <f>IF(ISNUMBER(Table1[[#This Row],[Qtr]]),CONCATENATE(Table1[[#This Row],[Year]]," Q",Table1[[#This Row],[Qtr]]),CONCATENATE(Table1[[#This Row],[Year]],Table1[[#This Row],[Qtr]]))</f>
        <v>2013 Q2</v>
      </c>
      <c r="L34" s="80" t="s">
        <v>21</v>
      </c>
      <c r="M34" s="80" t="s">
        <v>84</v>
      </c>
      <c r="N34" s="80">
        <v>1</v>
      </c>
      <c r="O34" s="80">
        <v>24</v>
      </c>
      <c r="P34" s="80"/>
      <c r="Q34" s="82">
        <v>6309</v>
      </c>
      <c r="R34" s="82">
        <f>Q34*(Y34/W34)</f>
        <v>3877.3103524096991</v>
      </c>
      <c r="S34" s="80" t="str">
        <f t="shared" ref="S34:S65" si="3">IF(AND(ISNUMBER(R34),R34&gt;=15000),"Yes",IF(R34="","Unknown","No"))</f>
        <v>No</v>
      </c>
      <c r="T34" s="82"/>
      <c r="U34" s="82"/>
      <c r="V34" s="82">
        <f>W34/10.764</f>
        <v>13942.865105908584</v>
      </c>
      <c r="W34" s="82">
        <f>(6309*23)+4974</f>
        <v>150081</v>
      </c>
      <c r="X34" s="82">
        <f>Y34/10.764</f>
        <v>8568.8405797101459</v>
      </c>
      <c r="Y34" s="82">
        <f>(3874*23)+3133</f>
        <v>92235</v>
      </c>
      <c r="Z34" s="82"/>
      <c r="AA34" s="82"/>
      <c r="AB34" s="82"/>
      <c r="AC34" s="82">
        <f>IF(Table1[[#This Row],[For Sale or For Lease?]]="For Lease",Table1[[#This Row],[Office UFA (Net) (sf)]]-Table1[[#This Row],[Pre-leased space (Usable FA) (sf)]]-Table1[[#This Row],[Pre-sold (Usable FA) (sf)]]-Table1[[#This Row],[Self-use space (Usable FA) (sf)]],0)</f>
        <v>0</v>
      </c>
      <c r="AD34" s="82">
        <f>IF(Table1[[#This Row],[For Sale or For Lease?]]="For Sale",Table1[[#This Row],[Office UFA (Net) (sf)]]-Table1[[#This Row],[Pre-leased space (Usable FA) (sf)]]-Table1[[#This Row],[Pre-sold (Usable FA) (sf)]]-Table1[[#This Row],[Self-use space (Usable FA) (sf)]],0)</f>
        <v>92235</v>
      </c>
      <c r="AE34" s="82">
        <f>IF(Table1[[#This Row],[For Sale or For Lease?]]="Uncertain",Table1[[#This Row],[Office UFA (Net) (sf)]]-Table1[[#This Row],[Pre-leased space (Usable FA) (sf)]]-Table1[[#This Row],[Pre-sold (Usable FA) (sf)]]-Table1[[#This Row],[Self-use space (Usable FA) (sf)]],0)</f>
        <v>0</v>
      </c>
      <c r="AF34" s="86">
        <f>1-SUM(Table1[[#This Row],[Space available for lease (Usable FA) (sf)]:[Space available uncertain of use (Usable FA) (sf)]])/Table1[[#This Row],[Office UFA (Net) (sf)]]</f>
        <v>0</v>
      </c>
      <c r="AG34" s="79" t="s">
        <v>89</v>
      </c>
      <c r="AH34" s="84" t="s">
        <v>103</v>
      </c>
      <c r="AI34" s="79" t="s">
        <v>92</v>
      </c>
      <c r="AJ34" s="83">
        <v>41365</v>
      </c>
      <c r="AK34" s="83">
        <v>41432</v>
      </c>
      <c r="AL34" s="85"/>
      <c r="AM34" s="85" t="s">
        <v>114</v>
      </c>
      <c r="AN34" s="79" t="s">
        <v>73</v>
      </c>
      <c r="AO34" s="77" t="s">
        <v>704</v>
      </c>
      <c r="AP34" s="77" t="s">
        <v>82</v>
      </c>
      <c r="AQ34" s="77" t="s">
        <v>118</v>
      </c>
      <c r="AR34" s="79" t="s">
        <v>1711</v>
      </c>
      <c r="AS34" s="79"/>
      <c r="AT34" s="80"/>
      <c r="AU34" s="80"/>
      <c r="AV34" s="77" t="s">
        <v>2194</v>
      </c>
    </row>
    <row r="35" spans="1:48" ht="15" hidden="1" customHeight="1" x14ac:dyDescent="0.35">
      <c r="A35" s="77" t="s">
        <v>170</v>
      </c>
      <c r="B35" s="77" t="s">
        <v>1082</v>
      </c>
      <c r="C35" s="77" t="s">
        <v>1082</v>
      </c>
      <c r="D35" s="77"/>
      <c r="E35" s="79" t="s">
        <v>171</v>
      </c>
      <c r="F35" s="77" t="str">
        <f>VLOOKUP(Table1[[#This Row],[CBRE sub-markets]],Reference!$A$2:$B$31,2,FALSE)</f>
        <v>Kowloon East</v>
      </c>
      <c r="G35" s="77">
        <f>VLOOKUP(Table1[[#This Row],[CBRE sub-markets]],Reference!$A$2:$D$31,3,FALSE)</f>
        <v>7</v>
      </c>
      <c r="H35" s="79" t="str">
        <f>VLOOKUP(Table1[[#This Row],[CBRE sub-markets]],Reference!$A$2:$D$31,4,FALSE)</f>
        <v>Kowloon</v>
      </c>
      <c r="I35" s="80">
        <v>2013</v>
      </c>
      <c r="J35" s="80">
        <v>3</v>
      </c>
      <c r="K35" s="81" t="str">
        <f>IF(ISNUMBER(Table1[[#This Row],[Qtr]]),CONCATENATE(Table1[[#This Row],[Year]]," Q",Table1[[#This Row],[Qtr]]),CONCATENATE(Table1[[#This Row],[Year]],Table1[[#This Row],[Qtr]]))</f>
        <v>2013 Q3</v>
      </c>
      <c r="L35" s="80" t="s">
        <v>20</v>
      </c>
      <c r="M35" s="80" t="s">
        <v>84</v>
      </c>
      <c r="N35" s="80">
        <v>1</v>
      </c>
      <c r="O35" s="80">
        <v>33</v>
      </c>
      <c r="P35" s="80"/>
      <c r="Q35" s="82">
        <f>+W35/O35</f>
        <v>10837.69696969697</v>
      </c>
      <c r="R35" s="82">
        <f>Q35*(Y35/W35)</f>
        <v>8128.2727272727279</v>
      </c>
      <c r="S35" s="80" t="str">
        <f t="shared" si="3"/>
        <v>No</v>
      </c>
      <c r="T35" s="82"/>
      <c r="U35" s="82"/>
      <c r="V35" s="82">
        <f>Table1[[#This Row],[Office GFA (sf)]]/10.7639</f>
        <v>33226.246992261171</v>
      </c>
      <c r="W35" s="82">
        <v>357644</v>
      </c>
      <c r="X35" s="82">
        <f>Table1[[#This Row],[Office UFA (Net) (sf)]]/10.7639</f>
        <v>24919.685244195876</v>
      </c>
      <c r="Y35" s="82">
        <v>268233</v>
      </c>
      <c r="Z35" s="82"/>
      <c r="AA35" s="82"/>
      <c r="AB35" s="82"/>
      <c r="AC35" s="82">
        <f>IF(Table1[[#This Row],[For Sale or For Lease?]]="For Lease",Table1[[#This Row],[Office UFA (Net) (sf)]]-Table1[[#This Row],[Pre-leased space (Usable FA) (sf)]]-Table1[[#This Row],[Pre-sold (Usable FA) (sf)]]-Table1[[#This Row],[Self-use space (Usable FA) (sf)]],0)</f>
        <v>0</v>
      </c>
      <c r="AD35" s="82">
        <f>IF(Table1[[#This Row],[For Sale or For Lease?]]="For Sale",Table1[[#This Row],[Office UFA (Net) (sf)]]-Table1[[#This Row],[Pre-leased space (Usable FA) (sf)]]-Table1[[#This Row],[Pre-sold (Usable FA) (sf)]]-Table1[[#This Row],[Self-use space (Usable FA) (sf)]],0)</f>
        <v>268233</v>
      </c>
      <c r="AE35" s="82">
        <f>IF(Table1[[#This Row],[For Sale or For Lease?]]="Uncertain",Table1[[#This Row],[Office UFA (Net) (sf)]]-Table1[[#This Row],[Pre-leased space (Usable FA) (sf)]]-Table1[[#This Row],[Pre-sold (Usable FA) (sf)]]-Table1[[#This Row],[Self-use space (Usable FA) (sf)]],0)</f>
        <v>0</v>
      </c>
      <c r="AF35" s="86">
        <f>1-SUM(Table1[[#This Row],[Space available for lease (Usable FA) (sf)]:[Space available uncertain of use (Usable FA) (sf)]])/Table1[[#This Row],[Office UFA (Net) (sf)]]</f>
        <v>0</v>
      </c>
      <c r="AG35" s="79" t="s">
        <v>89</v>
      </c>
      <c r="AH35" s="84" t="s">
        <v>103</v>
      </c>
      <c r="AI35" s="79" t="s">
        <v>92</v>
      </c>
      <c r="AJ35" s="83">
        <v>41518</v>
      </c>
      <c r="AK35" s="83">
        <v>41518</v>
      </c>
      <c r="AL35" s="85" t="s">
        <v>30</v>
      </c>
      <c r="AM35" s="85" t="s">
        <v>501</v>
      </c>
      <c r="AN35" s="79" t="s">
        <v>73</v>
      </c>
      <c r="AO35" s="77" t="s">
        <v>704</v>
      </c>
      <c r="AP35" s="77" t="s">
        <v>82</v>
      </c>
      <c r="AQ35" s="77" t="s">
        <v>744</v>
      </c>
      <c r="AR35" s="79" t="s">
        <v>2331</v>
      </c>
      <c r="AS35" s="79"/>
      <c r="AT35" s="80"/>
      <c r="AU35" s="80"/>
      <c r="AV35" s="77"/>
    </row>
    <row r="36" spans="1:48" ht="15" hidden="1" customHeight="1" x14ac:dyDescent="0.35">
      <c r="A36" s="77"/>
      <c r="B36" s="77" t="s">
        <v>1083</v>
      </c>
      <c r="C36" s="77" t="s">
        <v>1166</v>
      </c>
      <c r="D36" s="77"/>
      <c r="E36" s="79" t="s">
        <v>171</v>
      </c>
      <c r="F36" s="77" t="str">
        <f>VLOOKUP(Table1[[#This Row],[CBRE sub-markets]],Reference!$A$2:$B$31,2,FALSE)</f>
        <v>Kowloon East</v>
      </c>
      <c r="G36" s="77">
        <f>VLOOKUP(Table1[[#This Row],[CBRE sub-markets]],Reference!$A$2:$D$31,3,FALSE)</f>
        <v>7</v>
      </c>
      <c r="H36" s="79" t="str">
        <f>VLOOKUP(Table1[[#This Row],[CBRE sub-markets]],Reference!$A$2:$D$31,4,FALSE)</f>
        <v>Kowloon</v>
      </c>
      <c r="I36" s="80">
        <v>2013</v>
      </c>
      <c r="J36" s="80">
        <v>3</v>
      </c>
      <c r="K36" s="81" t="str">
        <f>IF(ISNUMBER(Table1[[#This Row],[Qtr]]),CONCATENATE(Table1[[#This Row],[Year]]," Q",Table1[[#This Row],[Qtr]]),CONCATENATE(Table1[[#This Row],[Year]],Table1[[#This Row],[Qtr]]))</f>
        <v>2013 Q3</v>
      </c>
      <c r="L36" s="80" t="s">
        <v>20</v>
      </c>
      <c r="M36" s="80" t="s">
        <v>86</v>
      </c>
      <c r="N36" s="80">
        <v>1</v>
      </c>
      <c r="O36" s="80">
        <v>33</v>
      </c>
      <c r="P36" s="80"/>
      <c r="Q36" s="82">
        <f>W36/O36</f>
        <v>8017.5164727272722</v>
      </c>
      <c r="R36" s="82">
        <f>Y36/O36</f>
        <v>6167.4784363636354</v>
      </c>
      <c r="S36" s="80" t="str">
        <f t="shared" si="3"/>
        <v>No</v>
      </c>
      <c r="T36" s="82"/>
      <c r="U36" s="82"/>
      <c r="V36" s="82">
        <v>24579.9</v>
      </c>
      <c r="W36" s="82">
        <f>V36*10.764</f>
        <v>264578.04359999998</v>
      </c>
      <c r="X36" s="82">
        <v>18908.099999999999</v>
      </c>
      <c r="Y36" s="82">
        <f>X36*10.764</f>
        <v>203526.78839999996</v>
      </c>
      <c r="Z36" s="82"/>
      <c r="AA36" s="82"/>
      <c r="AB36" s="82"/>
      <c r="AC36" s="82">
        <f>IF(Table1[[#This Row],[For Sale or For Lease?]]="For Lease",Table1[[#This Row],[Office UFA (Net) (sf)]]-Table1[[#This Row],[Pre-leased space (Usable FA) (sf)]]-Table1[[#This Row],[Pre-sold (Usable FA) (sf)]]-Table1[[#This Row],[Self-use space (Usable FA) (sf)]],0)</f>
        <v>0</v>
      </c>
      <c r="AD36" s="82">
        <f>IF(Table1[[#This Row],[For Sale or For Lease?]]="For Sale",Table1[[#This Row],[Office UFA (Net) (sf)]]-Table1[[#This Row],[Pre-leased space (Usable FA) (sf)]]-Table1[[#This Row],[Pre-sold (Usable FA) (sf)]]-Table1[[#This Row],[Self-use space (Usable FA) (sf)]],0)</f>
        <v>203526.78839999996</v>
      </c>
      <c r="AE36" s="82">
        <f>IF(Table1[[#This Row],[For Sale or For Lease?]]="Uncertain",Table1[[#This Row],[Office UFA (Net) (sf)]]-Table1[[#This Row],[Pre-leased space (Usable FA) (sf)]]-Table1[[#This Row],[Pre-sold (Usable FA) (sf)]]-Table1[[#This Row],[Self-use space (Usable FA) (sf)]],0)</f>
        <v>0</v>
      </c>
      <c r="AF36" s="86">
        <f>1-SUM(Table1[[#This Row],[Space available for lease (Usable FA) (sf)]:[Space available uncertain of use (Usable FA) (sf)]])/Table1[[#This Row],[Office UFA (Net) (sf)]]</f>
        <v>0</v>
      </c>
      <c r="AG36" s="79" t="s">
        <v>89</v>
      </c>
      <c r="AH36" s="84" t="s">
        <v>103</v>
      </c>
      <c r="AI36" s="79" t="s">
        <v>92</v>
      </c>
      <c r="AJ36" s="83">
        <v>41518</v>
      </c>
      <c r="AK36" s="83">
        <v>41894</v>
      </c>
      <c r="AL36" s="85" t="s">
        <v>30</v>
      </c>
      <c r="AM36" s="85" t="s">
        <v>501</v>
      </c>
      <c r="AN36" s="79" t="s">
        <v>73</v>
      </c>
      <c r="AO36" s="77" t="s">
        <v>704</v>
      </c>
      <c r="AP36" s="77" t="s">
        <v>82</v>
      </c>
      <c r="AQ36" s="77"/>
      <c r="AR36" s="79" t="s">
        <v>1710</v>
      </c>
      <c r="AS36" s="79"/>
      <c r="AT36" s="80"/>
      <c r="AU36" s="80"/>
      <c r="AV36" s="77"/>
    </row>
    <row r="37" spans="1:48" ht="15" hidden="1" customHeight="1" x14ac:dyDescent="0.35">
      <c r="A37" s="77" t="s">
        <v>159</v>
      </c>
      <c r="B37" s="77" t="s">
        <v>683</v>
      </c>
      <c r="C37" s="77" t="s">
        <v>683</v>
      </c>
      <c r="D37" s="77"/>
      <c r="E37" s="79" t="s">
        <v>50</v>
      </c>
      <c r="F37" s="77" t="str">
        <f>VLOOKUP(Table1[[#This Row],[CBRE sub-markets]],Reference!$A$2:$B$31,2,FALSE)</f>
        <v>Kowloon East</v>
      </c>
      <c r="G37" s="77">
        <f>VLOOKUP(Table1[[#This Row],[CBRE sub-markets]],Reference!$A$2:$D$31,3,FALSE)</f>
        <v>7</v>
      </c>
      <c r="H37" s="79" t="str">
        <f>VLOOKUP(Table1[[#This Row],[CBRE sub-markets]],Reference!$A$2:$D$31,4,FALSE)</f>
        <v>Kowloon</v>
      </c>
      <c r="I37" s="80">
        <v>2013</v>
      </c>
      <c r="J37" s="80">
        <v>3</v>
      </c>
      <c r="K37" s="81" t="str">
        <f>IF(ISNUMBER(Table1[[#This Row],[Qtr]]),CONCATENATE(Table1[[#This Row],[Year]]," Q",Table1[[#This Row],[Qtr]]),CONCATENATE(Table1[[#This Row],[Year]],Table1[[#This Row],[Qtr]]))</f>
        <v>2013 Q3</v>
      </c>
      <c r="L37" s="80" t="s">
        <v>20</v>
      </c>
      <c r="M37" s="80" t="s">
        <v>84</v>
      </c>
      <c r="N37" s="80">
        <v>1</v>
      </c>
      <c r="O37" s="80" t="s">
        <v>160</v>
      </c>
      <c r="P37" s="80"/>
      <c r="Q37" s="82">
        <v>18000</v>
      </c>
      <c r="R37" s="82">
        <f t="shared" ref="R37:R42" si="4">Q37*(Y37/W37)</f>
        <v>13140</v>
      </c>
      <c r="S37" s="80" t="str">
        <f t="shared" si="3"/>
        <v>No</v>
      </c>
      <c r="T37" s="82"/>
      <c r="U37" s="82"/>
      <c r="V37" s="82">
        <f>Table1[[#This Row],[Office GFA (sf)]]/10.7639</f>
        <v>34293.982664275958</v>
      </c>
      <c r="W37" s="82">
        <v>369137</v>
      </c>
      <c r="X37" s="82">
        <f>Table1[[#This Row],[Office UFA (Net) (sf)]]/10.7639</f>
        <v>25034.607344921453</v>
      </c>
      <c r="Y37" s="82">
        <v>269470.01</v>
      </c>
      <c r="Z37" s="82"/>
      <c r="AA37" s="82"/>
      <c r="AB37" s="82"/>
      <c r="AC37" s="82">
        <f>IF(Table1[[#This Row],[For Sale or For Lease?]]="For Lease",Table1[[#This Row],[Office UFA (Net) (sf)]]-Table1[[#This Row],[Pre-leased space (Usable FA) (sf)]]-Table1[[#This Row],[Pre-sold (Usable FA) (sf)]]-Table1[[#This Row],[Self-use space (Usable FA) (sf)]],0)</f>
        <v>0</v>
      </c>
      <c r="AD37" s="82">
        <f>IF(Table1[[#This Row],[For Sale or For Lease?]]="For Sale",Table1[[#This Row],[Office UFA (Net) (sf)]]-Table1[[#This Row],[Pre-leased space (Usable FA) (sf)]]-Table1[[#This Row],[Pre-sold (Usable FA) (sf)]]-Table1[[#This Row],[Self-use space (Usable FA) (sf)]],0)</f>
        <v>269470.01</v>
      </c>
      <c r="AE37" s="82">
        <f>IF(Table1[[#This Row],[For Sale or For Lease?]]="Uncertain",Table1[[#This Row],[Office UFA (Net) (sf)]]-Table1[[#This Row],[Pre-leased space (Usable FA) (sf)]]-Table1[[#This Row],[Pre-sold (Usable FA) (sf)]]-Table1[[#This Row],[Self-use space (Usable FA) (sf)]],0)</f>
        <v>0</v>
      </c>
      <c r="AF37" s="86">
        <f>1-SUM(Table1[[#This Row],[Space available for lease (Usable FA) (sf)]:[Space available uncertain of use (Usable FA) (sf)]])/Table1[[#This Row],[Office UFA (Net) (sf)]]</f>
        <v>0</v>
      </c>
      <c r="AG37" s="79" t="s">
        <v>89</v>
      </c>
      <c r="AH37" s="84" t="s">
        <v>103</v>
      </c>
      <c r="AI37" s="79" t="s">
        <v>92</v>
      </c>
      <c r="AJ37" s="83">
        <v>41518</v>
      </c>
      <c r="AK37" s="83">
        <v>41730</v>
      </c>
      <c r="AL37" s="85" t="s">
        <v>32</v>
      </c>
      <c r="AM37" s="85" t="s">
        <v>713</v>
      </c>
      <c r="AN37" s="79" t="s">
        <v>73</v>
      </c>
      <c r="AO37" s="77" t="s">
        <v>704</v>
      </c>
      <c r="AP37" s="77" t="s">
        <v>82</v>
      </c>
      <c r="AQ37" s="77" t="s">
        <v>728</v>
      </c>
      <c r="AR37" s="79" t="s">
        <v>2420</v>
      </c>
      <c r="AS37" s="79"/>
      <c r="AT37" s="80"/>
      <c r="AU37" s="80"/>
      <c r="AV37" s="77"/>
    </row>
    <row r="38" spans="1:48" ht="15" hidden="1" customHeight="1" x14ac:dyDescent="0.35">
      <c r="A38" s="77" t="s">
        <v>161</v>
      </c>
      <c r="B38" s="77" t="s">
        <v>700</v>
      </c>
      <c r="C38" s="77" t="s">
        <v>1165</v>
      </c>
      <c r="D38" s="77"/>
      <c r="E38" s="79" t="s">
        <v>50</v>
      </c>
      <c r="F38" s="77" t="str">
        <f>VLOOKUP(Table1[[#This Row],[CBRE sub-markets]],Reference!$A$2:$B$31,2,FALSE)</f>
        <v>Kowloon East</v>
      </c>
      <c r="G38" s="77">
        <f>VLOOKUP(Table1[[#This Row],[CBRE sub-markets]],Reference!$A$2:$D$31,3,FALSE)</f>
        <v>7</v>
      </c>
      <c r="H38" s="79" t="str">
        <f>VLOOKUP(Table1[[#This Row],[CBRE sub-markets]],Reference!$A$2:$D$31,4,FALSE)</f>
        <v>Kowloon</v>
      </c>
      <c r="I38" s="80">
        <v>2013</v>
      </c>
      <c r="J38" s="80">
        <v>3</v>
      </c>
      <c r="K38" s="81" t="str">
        <f>IF(ISNUMBER(Table1[[#This Row],[Qtr]]),CONCATENATE(Table1[[#This Row],[Year]]," Q",Table1[[#This Row],[Qtr]]),CONCATENATE(Table1[[#This Row],[Year]],Table1[[#This Row],[Qtr]]))</f>
        <v>2013 Q3</v>
      </c>
      <c r="L38" s="80" t="s">
        <v>20</v>
      </c>
      <c r="M38" s="80" t="s">
        <v>84</v>
      </c>
      <c r="N38" s="80">
        <v>1</v>
      </c>
      <c r="O38" s="80">
        <v>25</v>
      </c>
      <c r="P38" s="80"/>
      <c r="Q38" s="82">
        <f>+W38/O38</f>
        <v>10114.08</v>
      </c>
      <c r="R38" s="82">
        <f t="shared" si="4"/>
        <v>7079.8559999999998</v>
      </c>
      <c r="S38" s="80" t="str">
        <f t="shared" si="3"/>
        <v>No</v>
      </c>
      <c r="T38" s="82"/>
      <c r="U38" s="82"/>
      <c r="V38" s="82">
        <f>Table1[[#This Row],[Office GFA (sf)]]/10.7639</f>
        <v>23490.742203104823</v>
      </c>
      <c r="W38" s="82">
        <v>252852</v>
      </c>
      <c r="X38" s="82">
        <f>Table1[[#This Row],[Office UFA (Net) (sf)]]/10.7639</f>
        <v>16443.519542173377</v>
      </c>
      <c r="Y38" s="82">
        <v>176996.4</v>
      </c>
      <c r="Z38" s="82"/>
      <c r="AA38" s="82"/>
      <c r="AB38" s="82"/>
      <c r="AC38" s="82">
        <f>IF(Table1[[#This Row],[For Sale or For Lease?]]="For Lease",Table1[[#This Row],[Office UFA (Net) (sf)]]-Table1[[#This Row],[Pre-leased space (Usable FA) (sf)]]-Table1[[#This Row],[Pre-sold (Usable FA) (sf)]]-Table1[[#This Row],[Self-use space (Usable FA) (sf)]],0)</f>
        <v>0</v>
      </c>
      <c r="AD38" s="82">
        <f>IF(Table1[[#This Row],[For Sale or For Lease?]]="For Sale",Table1[[#This Row],[Office UFA (Net) (sf)]]-Table1[[#This Row],[Pre-leased space (Usable FA) (sf)]]-Table1[[#This Row],[Pre-sold (Usable FA) (sf)]]-Table1[[#This Row],[Self-use space (Usable FA) (sf)]],0)</f>
        <v>176996.4</v>
      </c>
      <c r="AE38" s="82">
        <f>IF(Table1[[#This Row],[For Sale or For Lease?]]="Uncertain",Table1[[#This Row],[Office UFA (Net) (sf)]]-Table1[[#This Row],[Pre-leased space (Usable FA) (sf)]]-Table1[[#This Row],[Pre-sold (Usable FA) (sf)]]-Table1[[#This Row],[Self-use space (Usable FA) (sf)]],0)</f>
        <v>0</v>
      </c>
      <c r="AF38" s="86">
        <f>1-SUM(Table1[[#This Row],[Space available for lease (Usable FA) (sf)]:[Space available uncertain of use (Usable FA) (sf)]])/Table1[[#This Row],[Office UFA (Net) (sf)]]</f>
        <v>0</v>
      </c>
      <c r="AG38" s="79" t="s">
        <v>89</v>
      </c>
      <c r="AH38" s="84" t="s">
        <v>103</v>
      </c>
      <c r="AI38" s="79" t="s">
        <v>92</v>
      </c>
      <c r="AJ38" s="83">
        <v>41518</v>
      </c>
      <c r="AK38" s="83">
        <v>41530</v>
      </c>
      <c r="AL38" s="85" t="s">
        <v>30</v>
      </c>
      <c r="AM38" s="85" t="s">
        <v>649</v>
      </c>
      <c r="AN38" s="79" t="s">
        <v>73</v>
      </c>
      <c r="AO38" s="77" t="s">
        <v>704</v>
      </c>
      <c r="AP38" s="77" t="s">
        <v>82</v>
      </c>
      <c r="AQ38" s="77" t="s">
        <v>701</v>
      </c>
      <c r="AR38" s="79" t="s">
        <v>2421</v>
      </c>
      <c r="AS38" s="79"/>
      <c r="AT38" s="80"/>
      <c r="AU38" s="80"/>
      <c r="AV38" s="77"/>
    </row>
    <row r="39" spans="1:48" ht="15" hidden="1" customHeight="1" x14ac:dyDescent="0.35">
      <c r="A39" s="77"/>
      <c r="B39" s="77" t="s">
        <v>765</v>
      </c>
      <c r="C39" s="77" t="s">
        <v>1167</v>
      </c>
      <c r="D39" s="77"/>
      <c r="E39" s="79" t="s">
        <v>1</v>
      </c>
      <c r="F39" s="77" t="str">
        <f>VLOOKUP(Table1[[#This Row],[CBRE sub-markets]],Reference!$A$2:$B$31,2,FALSE)</f>
        <v>Central</v>
      </c>
      <c r="G39" s="77">
        <f>VLOOKUP(Table1[[#This Row],[CBRE sub-markets]],Reference!$A$2:$D$31,3,FALSE)</f>
        <v>1</v>
      </c>
      <c r="H39" s="79" t="str">
        <f>VLOOKUP(Table1[[#This Row],[CBRE sub-markets]],Reference!$A$2:$D$31,4,FALSE)</f>
        <v>Hong Kong Island</v>
      </c>
      <c r="I39" s="80">
        <v>2013</v>
      </c>
      <c r="J39" s="80">
        <v>4</v>
      </c>
      <c r="K39" s="81" t="str">
        <f>IF(ISNUMBER(Table1[[#This Row],[Qtr]]),CONCATENATE(Table1[[#This Row],[Year]]," Q",Table1[[#This Row],[Qtr]]),CONCATENATE(Table1[[#This Row],[Year]],Table1[[#This Row],[Qtr]]))</f>
        <v>2013 Q4</v>
      </c>
      <c r="L39" s="80" t="s">
        <v>20</v>
      </c>
      <c r="M39" s="80" t="s">
        <v>84</v>
      </c>
      <c r="N39" s="80">
        <v>1</v>
      </c>
      <c r="O39" s="80">
        <v>5</v>
      </c>
      <c r="P39" s="80"/>
      <c r="Q39" s="82">
        <v>10000</v>
      </c>
      <c r="R39" s="82">
        <f t="shared" si="4"/>
        <v>10000</v>
      </c>
      <c r="S39" s="80" t="str">
        <f t="shared" si="3"/>
        <v>No</v>
      </c>
      <c r="T39" s="82"/>
      <c r="U39" s="82"/>
      <c r="V39" s="82">
        <f>Table1[[#This Row],[Office GFA (sf)]]/10.7639</f>
        <v>4645.1564953223278</v>
      </c>
      <c r="W39" s="82">
        <v>50000</v>
      </c>
      <c r="X39" s="82">
        <f>Table1[[#This Row],[Office UFA (Net) (sf)]]/10.7639</f>
        <v>4645.1564953223278</v>
      </c>
      <c r="Y39" s="82">
        <v>50000</v>
      </c>
      <c r="Z39" s="82">
        <f>Y39</f>
        <v>50000</v>
      </c>
      <c r="AA39" s="82"/>
      <c r="AB39" s="82"/>
      <c r="AC39" s="82">
        <f>IF(Table1[[#This Row],[For Sale or For Lease?]]="For Lease",Table1[[#This Row],[Office UFA (Net) (sf)]]-Table1[[#This Row],[Pre-leased space (Usable FA) (sf)]]-Table1[[#This Row],[Pre-sold (Usable FA) (sf)]]-Table1[[#This Row],[Self-use space (Usable FA) (sf)]],0)</f>
        <v>0</v>
      </c>
      <c r="AD39" s="82">
        <f>IF(Table1[[#This Row],[For Sale or For Lease?]]="For Sale",Table1[[#This Row],[Office UFA (Net) (sf)]]-Table1[[#This Row],[Pre-leased space (Usable FA) (sf)]]-Table1[[#This Row],[Pre-sold (Usable FA) (sf)]]-Table1[[#This Row],[Self-use space (Usable FA) (sf)]],0)</f>
        <v>0</v>
      </c>
      <c r="AE39" s="82">
        <f>IF(Table1[[#This Row],[For Sale or For Lease?]]="Uncertain",Table1[[#This Row],[Office UFA (Net) (sf)]]-Table1[[#This Row],[Pre-leased space (Usable FA) (sf)]]-Table1[[#This Row],[Pre-sold (Usable FA) (sf)]]-Table1[[#This Row],[Self-use space (Usable FA) (sf)]],0)</f>
        <v>0</v>
      </c>
      <c r="AF39" s="86">
        <f>1-SUM(Table1[[#This Row],[Space available for lease (Usable FA) (sf)]:[Space available uncertain of use (Usable FA) (sf)]])/Table1[[#This Row],[Office UFA (Net) (sf)]]</f>
        <v>1</v>
      </c>
      <c r="AG39" s="79" t="s">
        <v>89</v>
      </c>
      <c r="AH39" s="84" t="s">
        <v>103</v>
      </c>
      <c r="AI39" s="79" t="s">
        <v>92</v>
      </c>
      <c r="AJ39" s="83">
        <v>41609</v>
      </c>
      <c r="AK39" s="83">
        <v>41677</v>
      </c>
      <c r="AL39" s="85" t="s">
        <v>30</v>
      </c>
      <c r="AM39" s="85" t="s">
        <v>280</v>
      </c>
      <c r="AN39" s="79" t="s">
        <v>73</v>
      </c>
      <c r="AO39" s="77" t="s">
        <v>705</v>
      </c>
      <c r="AP39" s="77" t="s">
        <v>81</v>
      </c>
      <c r="AQ39" s="77" t="s">
        <v>764</v>
      </c>
      <c r="AR39" s="79" t="s">
        <v>2343</v>
      </c>
      <c r="AS39" s="79"/>
      <c r="AT39" s="80"/>
      <c r="AU39" s="80"/>
      <c r="AV39" s="77"/>
    </row>
    <row r="40" spans="1:48" ht="15" hidden="1" customHeight="1" x14ac:dyDescent="0.35">
      <c r="A40" s="77"/>
      <c r="B40" s="77" t="s">
        <v>831</v>
      </c>
      <c r="C40" s="77" t="s">
        <v>1168</v>
      </c>
      <c r="D40" s="77"/>
      <c r="E40" s="79" t="s">
        <v>130</v>
      </c>
      <c r="F40" s="77" t="str">
        <f>VLOOKUP(Table1[[#This Row],[CBRE sub-markets]],Reference!$A$2:$B$31,2,FALSE)</f>
        <v>Wong Chuk Hang</v>
      </c>
      <c r="G40" s="77">
        <f>VLOOKUP(Table1[[#This Row],[CBRE sub-markets]],Reference!$A$2:$D$31,3,FALSE)</f>
        <v>5</v>
      </c>
      <c r="H40" s="79" t="str">
        <f>VLOOKUP(Table1[[#This Row],[CBRE sub-markets]],Reference!$A$2:$D$31,4,FALSE)</f>
        <v>Hong Kong Island</v>
      </c>
      <c r="I40" s="80">
        <v>2013</v>
      </c>
      <c r="J40" s="80">
        <v>4</v>
      </c>
      <c r="K40" s="81" t="str">
        <f>IF(ISNUMBER(Table1[[#This Row],[Qtr]]),CONCATENATE(Table1[[#This Row],[Year]]," Q",Table1[[#This Row],[Qtr]]),CONCATENATE(Table1[[#This Row],[Year]],Table1[[#This Row],[Qtr]]))</f>
        <v>2013 Q4</v>
      </c>
      <c r="L40" s="80" t="s">
        <v>20</v>
      </c>
      <c r="M40" s="80" t="s">
        <v>84</v>
      </c>
      <c r="N40" s="80">
        <v>1</v>
      </c>
      <c r="O40" s="80">
        <v>31</v>
      </c>
      <c r="P40" s="80"/>
      <c r="Q40" s="82">
        <v>9700</v>
      </c>
      <c r="R40" s="82">
        <f t="shared" si="4"/>
        <v>7275</v>
      </c>
      <c r="S40" s="80" t="str">
        <f t="shared" si="3"/>
        <v>No</v>
      </c>
      <c r="T40" s="82"/>
      <c r="U40" s="82"/>
      <c r="V40" s="82">
        <f>Table1[[#This Row],[Office GFA (sf)]]/10.7639</f>
        <v>23915.030797387564</v>
      </c>
      <c r="W40" s="82">
        <v>257419</v>
      </c>
      <c r="X40" s="82">
        <f>Table1[[#This Row],[Office UFA (Net) (sf)]]/10.7639</f>
        <v>17936.273098040674</v>
      </c>
      <c r="Y40" s="82">
        <v>193064.25</v>
      </c>
      <c r="Z40" s="82"/>
      <c r="AA40" s="82"/>
      <c r="AB40" s="82"/>
      <c r="AC40" s="82">
        <f>IF(Table1[[#This Row],[For Sale or For Lease?]]="For Lease",Table1[[#This Row],[Office UFA (Net) (sf)]]-Table1[[#This Row],[Pre-leased space (Usable FA) (sf)]]-Table1[[#This Row],[Pre-sold (Usable FA) (sf)]]-Table1[[#This Row],[Self-use space (Usable FA) (sf)]],0)</f>
        <v>0</v>
      </c>
      <c r="AD40" s="82">
        <f>IF(Table1[[#This Row],[For Sale or For Lease?]]="For Sale",Table1[[#This Row],[Office UFA (Net) (sf)]]-Table1[[#This Row],[Pre-leased space (Usable FA) (sf)]]-Table1[[#This Row],[Pre-sold (Usable FA) (sf)]]-Table1[[#This Row],[Self-use space (Usable FA) (sf)]],0)</f>
        <v>193064.25</v>
      </c>
      <c r="AE40" s="82">
        <f>IF(Table1[[#This Row],[For Sale or For Lease?]]="Uncertain",Table1[[#This Row],[Office UFA (Net) (sf)]]-Table1[[#This Row],[Pre-leased space (Usable FA) (sf)]]-Table1[[#This Row],[Pre-sold (Usable FA) (sf)]]-Table1[[#This Row],[Self-use space (Usable FA) (sf)]],0)</f>
        <v>0</v>
      </c>
      <c r="AF40" s="86">
        <f>1-SUM(Table1[[#This Row],[Space available for lease (Usable FA) (sf)]:[Space available uncertain of use (Usable FA) (sf)]])/Table1[[#This Row],[Office UFA (Net) (sf)]]</f>
        <v>0</v>
      </c>
      <c r="AG40" s="79" t="s">
        <v>89</v>
      </c>
      <c r="AH40" s="84" t="s">
        <v>103</v>
      </c>
      <c r="AI40" s="79" t="s">
        <v>92</v>
      </c>
      <c r="AJ40" s="83">
        <v>41609</v>
      </c>
      <c r="AK40" s="83">
        <v>41677</v>
      </c>
      <c r="AL40" s="85" t="s">
        <v>30</v>
      </c>
      <c r="AM40" s="85" t="s">
        <v>287</v>
      </c>
      <c r="AN40" s="79" t="s">
        <v>73</v>
      </c>
      <c r="AO40" s="77" t="s">
        <v>704</v>
      </c>
      <c r="AP40" s="77" t="s">
        <v>82</v>
      </c>
      <c r="AQ40" s="77" t="s">
        <v>726</v>
      </c>
      <c r="AR40" s="79" t="s">
        <v>2344</v>
      </c>
      <c r="AS40" s="79"/>
      <c r="AT40" s="80"/>
      <c r="AU40" s="80"/>
      <c r="AV40" s="77"/>
    </row>
    <row r="41" spans="1:48" ht="15" hidden="1" customHeight="1" x14ac:dyDescent="0.35">
      <c r="A41" s="77"/>
      <c r="B41" s="77" t="s">
        <v>776</v>
      </c>
      <c r="C41" s="77" t="s">
        <v>1169</v>
      </c>
      <c r="D41" s="77"/>
      <c r="E41" s="79" t="s">
        <v>1</v>
      </c>
      <c r="F41" s="77" t="str">
        <f>VLOOKUP(Table1[[#This Row],[CBRE sub-markets]],Reference!$A$2:$B$31,2,FALSE)</f>
        <v>Central</v>
      </c>
      <c r="G41" s="77">
        <f>VLOOKUP(Table1[[#This Row],[CBRE sub-markets]],Reference!$A$2:$D$31,3,FALSE)</f>
        <v>1</v>
      </c>
      <c r="H41" s="79" t="str">
        <f>VLOOKUP(Table1[[#This Row],[CBRE sub-markets]],Reference!$A$2:$D$31,4,FALSE)</f>
        <v>Hong Kong Island</v>
      </c>
      <c r="I41" s="80">
        <v>2014</v>
      </c>
      <c r="J41" s="80">
        <v>1</v>
      </c>
      <c r="K41" s="81" t="str">
        <f>IF(ISNUMBER(Table1[[#This Row],[Qtr]]),CONCATENATE(Table1[[#This Row],[Year]]," Q",Table1[[#This Row],[Qtr]]),CONCATENATE(Table1[[#This Row],[Year]],Table1[[#This Row],[Qtr]]))</f>
        <v>2014 Q1</v>
      </c>
      <c r="L41" s="80" t="s">
        <v>20</v>
      </c>
      <c r="M41" s="80" t="s">
        <v>84</v>
      </c>
      <c r="N41" s="80">
        <v>1</v>
      </c>
      <c r="O41" s="80">
        <v>27</v>
      </c>
      <c r="P41" s="80"/>
      <c r="Q41" s="82">
        <f>+W41/O41</f>
        <v>2731.7407407407409</v>
      </c>
      <c r="R41" s="82">
        <f t="shared" si="4"/>
        <v>1912.2222222222224</v>
      </c>
      <c r="S41" s="80" t="str">
        <f t="shared" si="3"/>
        <v>No</v>
      </c>
      <c r="T41" s="82"/>
      <c r="U41" s="82"/>
      <c r="V41" s="82">
        <f>W41/10.7639</f>
        <v>6852.2561525097781</v>
      </c>
      <c r="W41" s="82">
        <v>73757</v>
      </c>
      <c r="X41" s="82">
        <f>Y41/10.7639</f>
        <v>4796.5885970698355</v>
      </c>
      <c r="Y41" s="82">
        <v>51630</v>
      </c>
      <c r="Z41" s="82"/>
      <c r="AA41" s="82"/>
      <c r="AB41" s="82"/>
      <c r="AC41" s="82">
        <f>IF(Table1[[#This Row],[For Sale or For Lease?]]="For Lease",Table1[[#This Row],[Office UFA (Net) (sf)]]-Table1[[#This Row],[Pre-leased space (Usable FA) (sf)]]-Table1[[#This Row],[Pre-sold (Usable FA) (sf)]]-Table1[[#This Row],[Self-use space (Usable FA) (sf)]],0)</f>
        <v>51630</v>
      </c>
      <c r="AD41" s="82">
        <f>IF(Table1[[#This Row],[For Sale or For Lease?]]="For Sale",Table1[[#This Row],[Office UFA (Net) (sf)]]-Table1[[#This Row],[Pre-leased space (Usable FA) (sf)]]-Table1[[#This Row],[Pre-sold (Usable FA) (sf)]]-Table1[[#This Row],[Self-use space (Usable FA) (sf)]],0)</f>
        <v>0</v>
      </c>
      <c r="AE41" s="82">
        <f>IF(Table1[[#This Row],[For Sale or For Lease?]]="Uncertain",Table1[[#This Row],[Office UFA (Net) (sf)]]-Table1[[#This Row],[Pre-leased space (Usable FA) (sf)]]-Table1[[#This Row],[Pre-sold (Usable FA) (sf)]]-Table1[[#This Row],[Self-use space (Usable FA) (sf)]],0)</f>
        <v>0</v>
      </c>
      <c r="AF41" s="86">
        <f>1-SUM(Table1[[#This Row],[Space available for lease (Usable FA) (sf)]:[Space available uncertain of use (Usable FA) (sf)]])/Table1[[#This Row],[Office UFA (Net) (sf)]]</f>
        <v>0</v>
      </c>
      <c r="AG41" s="79" t="s">
        <v>89</v>
      </c>
      <c r="AH41" s="84" t="s">
        <v>103</v>
      </c>
      <c r="AI41" s="79" t="s">
        <v>92</v>
      </c>
      <c r="AJ41" s="83">
        <v>41640</v>
      </c>
      <c r="AK41" s="83">
        <v>41718</v>
      </c>
      <c r="AL41" s="85" t="s">
        <v>30</v>
      </c>
      <c r="AM41" s="85" t="s">
        <v>152</v>
      </c>
      <c r="AN41" s="79" t="s">
        <v>73</v>
      </c>
      <c r="AO41" s="77" t="s">
        <v>705</v>
      </c>
      <c r="AP41" s="77" t="s">
        <v>81</v>
      </c>
      <c r="AQ41" s="77" t="s">
        <v>743</v>
      </c>
      <c r="AR41" s="79" t="s">
        <v>2345</v>
      </c>
      <c r="AS41" s="79"/>
      <c r="AT41" s="80"/>
      <c r="AU41" s="80"/>
      <c r="AV41" s="77"/>
    </row>
    <row r="42" spans="1:48" ht="15" hidden="1" customHeight="1" x14ac:dyDescent="0.35">
      <c r="A42" s="77" t="s">
        <v>172</v>
      </c>
      <c r="B42" s="77" t="s">
        <v>173</v>
      </c>
      <c r="C42" s="77" t="s">
        <v>1170</v>
      </c>
      <c r="D42" s="77"/>
      <c r="E42" s="79" t="s">
        <v>12</v>
      </c>
      <c r="F42" s="77" t="str">
        <f>VLOOKUP(Table1[[#This Row],[CBRE sub-markets]],Reference!$A$2:$B$31,2,FALSE)</f>
        <v>Kowloon Others</v>
      </c>
      <c r="G42" s="77">
        <f>VLOOKUP(Table1[[#This Row],[CBRE sub-markets]],Reference!$A$2:$D$31,3,FALSE)</f>
        <v>8</v>
      </c>
      <c r="H42" s="79" t="str">
        <f>VLOOKUP(Table1[[#This Row],[CBRE sub-markets]],Reference!$A$2:$D$31,4,FALSE)</f>
        <v>Kowloon</v>
      </c>
      <c r="I42" s="80">
        <v>2014</v>
      </c>
      <c r="J42" s="80">
        <v>1</v>
      </c>
      <c r="K42" s="81" t="str">
        <f>IF(ISNUMBER(Table1[[#This Row],[Qtr]]),CONCATENATE(Table1[[#This Row],[Year]]," Q",Table1[[#This Row],[Qtr]]),CONCATENATE(Table1[[#This Row],[Year]],Table1[[#This Row],[Qtr]]))</f>
        <v>2014 Q1</v>
      </c>
      <c r="L42" s="80" t="s">
        <v>20</v>
      </c>
      <c r="M42" s="80" t="s">
        <v>84</v>
      </c>
      <c r="N42" s="80">
        <v>1</v>
      </c>
      <c r="O42" s="80">
        <v>29</v>
      </c>
      <c r="P42" s="80"/>
      <c r="Q42" s="82">
        <f>+W42/O42</f>
        <v>7162.8852413793102</v>
      </c>
      <c r="R42" s="82">
        <f t="shared" si="4"/>
        <v>5551.3288551724136</v>
      </c>
      <c r="S42" s="80" t="str">
        <f t="shared" si="3"/>
        <v>No</v>
      </c>
      <c r="T42" s="82"/>
      <c r="U42" s="82"/>
      <c r="V42" s="82">
        <v>19298</v>
      </c>
      <c r="W42" s="82">
        <f>V42*10.764</f>
        <v>207723.67199999999</v>
      </c>
      <c r="X42" s="82">
        <v>14956.2</v>
      </c>
      <c r="Y42" s="82">
        <f>X42*10.764</f>
        <v>160988.5368</v>
      </c>
      <c r="Z42" s="82"/>
      <c r="AA42" s="82"/>
      <c r="AB42" s="82"/>
      <c r="AC42" s="82">
        <f>IF(Table1[[#This Row],[For Sale or For Lease?]]="For Lease",Table1[[#This Row],[Office UFA (Net) (sf)]]-Table1[[#This Row],[Pre-leased space (Usable FA) (sf)]]-Table1[[#This Row],[Pre-sold (Usable FA) (sf)]]-Table1[[#This Row],[Self-use space (Usable FA) (sf)]],0)</f>
        <v>0</v>
      </c>
      <c r="AD42" s="82">
        <f>IF(Table1[[#This Row],[For Sale or For Lease?]]="For Sale",Table1[[#This Row],[Office UFA (Net) (sf)]]-Table1[[#This Row],[Pre-leased space (Usable FA) (sf)]]-Table1[[#This Row],[Pre-sold (Usable FA) (sf)]]-Table1[[#This Row],[Self-use space (Usable FA) (sf)]],0)</f>
        <v>160988.5368</v>
      </c>
      <c r="AE42" s="82">
        <f>IF(Table1[[#This Row],[For Sale or For Lease?]]="Uncertain",Table1[[#This Row],[Office UFA (Net) (sf)]]-Table1[[#This Row],[Pre-leased space (Usable FA) (sf)]]-Table1[[#This Row],[Pre-sold (Usable FA) (sf)]]-Table1[[#This Row],[Self-use space (Usable FA) (sf)]],0)</f>
        <v>0</v>
      </c>
      <c r="AF42" s="86">
        <f>1-SUM(Table1[[#This Row],[Space available for lease (Usable FA) (sf)]:[Space available uncertain of use (Usable FA) (sf)]])/Table1[[#This Row],[Office UFA (Net) (sf)]]</f>
        <v>0</v>
      </c>
      <c r="AG42" s="79" t="s">
        <v>89</v>
      </c>
      <c r="AH42" s="84" t="s">
        <v>103</v>
      </c>
      <c r="AI42" s="79" t="s">
        <v>92</v>
      </c>
      <c r="AJ42" s="83">
        <v>41640</v>
      </c>
      <c r="AK42" s="83">
        <v>41730</v>
      </c>
      <c r="AL42" s="85" t="s">
        <v>30</v>
      </c>
      <c r="AM42" s="85" t="s">
        <v>501</v>
      </c>
      <c r="AN42" s="79" t="s">
        <v>73</v>
      </c>
      <c r="AO42" s="77" t="s">
        <v>704</v>
      </c>
      <c r="AP42" s="77" t="s">
        <v>82</v>
      </c>
      <c r="AQ42" s="77" t="s">
        <v>816</v>
      </c>
      <c r="AR42" s="79" t="s">
        <v>2423</v>
      </c>
      <c r="AS42" s="79"/>
      <c r="AT42" s="80"/>
      <c r="AU42" s="80"/>
      <c r="AV42" s="77"/>
    </row>
    <row r="43" spans="1:48" ht="15" hidden="1" customHeight="1" x14ac:dyDescent="0.35">
      <c r="A43" s="77"/>
      <c r="B43" s="77" t="s">
        <v>1097</v>
      </c>
      <c r="C43" s="77" t="s">
        <v>1178</v>
      </c>
      <c r="D43" s="77"/>
      <c r="E43" s="79" t="s">
        <v>50</v>
      </c>
      <c r="F43" s="77" t="str">
        <f>VLOOKUP(Table1[[#This Row],[CBRE sub-markets]],Reference!$A$2:$B$31,2,FALSE)</f>
        <v>Kowloon East</v>
      </c>
      <c r="G43" s="77">
        <f>VLOOKUP(Table1[[#This Row],[CBRE sub-markets]],Reference!$A$2:$D$31,3,FALSE)</f>
        <v>7</v>
      </c>
      <c r="H43" s="79" t="str">
        <f>VLOOKUP(Table1[[#This Row],[CBRE sub-markets]],Reference!$A$2:$D$31,4,FALSE)</f>
        <v>Kowloon</v>
      </c>
      <c r="I43" s="80">
        <v>2014</v>
      </c>
      <c r="J43" s="80">
        <v>1</v>
      </c>
      <c r="K43" s="81" t="str">
        <f>IF(ISNUMBER(Table1[[#This Row],[Qtr]]),CONCATENATE(Table1[[#This Row],[Year]]," Q",Table1[[#This Row],[Qtr]]),CONCATENATE(Table1[[#This Row],[Year]],Table1[[#This Row],[Qtr]]))</f>
        <v>2014 Q1</v>
      </c>
      <c r="L43" s="80" t="s">
        <v>748</v>
      </c>
      <c r="M43" s="80" t="s">
        <v>84</v>
      </c>
      <c r="N43" s="80">
        <v>1</v>
      </c>
      <c r="O43" s="80"/>
      <c r="P43" s="80"/>
      <c r="Q43" s="82"/>
      <c r="R43" s="82"/>
      <c r="S43" s="80" t="str">
        <f t="shared" si="3"/>
        <v>Unknown</v>
      </c>
      <c r="T43" s="82"/>
      <c r="U43" s="82"/>
      <c r="V43" s="82">
        <f>W43/10.764</f>
        <v>9476.0312151616508</v>
      </c>
      <c r="W43" s="82">
        <v>102000</v>
      </c>
      <c r="X43" s="82">
        <f>Y43/10.764</f>
        <v>6633.2218506131558</v>
      </c>
      <c r="Y43" s="82">
        <f>W43*0.7</f>
        <v>71400</v>
      </c>
      <c r="Z43" s="82"/>
      <c r="AA43" s="82"/>
      <c r="AB43" s="82"/>
      <c r="AC43" s="82">
        <f>IF(Table1[[#This Row],[For Sale or For Lease?]]="For Lease",Table1[[#This Row],[Office UFA (Net) (sf)]]-Table1[[#This Row],[Pre-leased space (Usable FA) (sf)]]-Table1[[#This Row],[Pre-sold (Usable FA) (sf)]]-Table1[[#This Row],[Self-use space (Usable FA) (sf)]],0)</f>
        <v>0</v>
      </c>
      <c r="AD43" s="82">
        <f>IF(Table1[[#This Row],[For Sale or For Lease?]]="For Sale",Table1[[#This Row],[Office UFA (Net) (sf)]]-Table1[[#This Row],[Pre-leased space (Usable FA) (sf)]]-Table1[[#This Row],[Pre-sold (Usable FA) (sf)]]-Table1[[#This Row],[Self-use space (Usable FA) (sf)]],0)</f>
        <v>0</v>
      </c>
      <c r="AE43" s="82">
        <f>IF(Table1[[#This Row],[For Sale or For Lease?]]="Uncertain",Table1[[#This Row],[Office UFA (Net) (sf)]]-Table1[[#This Row],[Pre-leased space (Usable FA) (sf)]]-Table1[[#This Row],[Pre-sold (Usable FA) (sf)]]-Table1[[#This Row],[Self-use space (Usable FA) (sf)]],0)</f>
        <v>0</v>
      </c>
      <c r="AF43" s="86">
        <f>1-SUM(Table1[[#This Row],[Space available for lease (Usable FA) (sf)]:[Space available uncertain of use (Usable FA) (sf)]])/Table1[[#This Row],[Office UFA (Net) (sf)]]</f>
        <v>1</v>
      </c>
      <c r="AG43" s="79"/>
      <c r="AH43" s="84"/>
      <c r="AI43" s="79"/>
      <c r="AJ43" s="83"/>
      <c r="AK43" s="83"/>
      <c r="AL43" s="85" t="s">
        <v>748</v>
      </c>
      <c r="AM43" s="85"/>
      <c r="AN43" s="79" t="s">
        <v>73</v>
      </c>
      <c r="AO43" s="77"/>
      <c r="AP43" s="77" t="s">
        <v>81</v>
      </c>
      <c r="AQ43" s="77"/>
      <c r="AR43" s="79" t="s">
        <v>1715</v>
      </c>
      <c r="AS43" s="79"/>
      <c r="AT43" s="80"/>
      <c r="AU43" s="80"/>
      <c r="AV43" s="77" t="s">
        <v>2200</v>
      </c>
    </row>
    <row r="44" spans="1:48" ht="15" hidden="1" customHeight="1" x14ac:dyDescent="0.35">
      <c r="A44" s="77"/>
      <c r="B44" s="77" t="s">
        <v>775</v>
      </c>
      <c r="C44" s="77" t="s">
        <v>1171</v>
      </c>
      <c r="D44" s="77" t="s">
        <v>751</v>
      </c>
      <c r="E44" s="79" t="s">
        <v>50</v>
      </c>
      <c r="F44" s="77" t="str">
        <f>VLOOKUP(Table1[[#This Row],[CBRE sub-markets]],Reference!$A$2:$B$31,2,FALSE)</f>
        <v>Kowloon East</v>
      </c>
      <c r="G44" s="77">
        <f>VLOOKUP(Table1[[#This Row],[CBRE sub-markets]],Reference!$A$2:$D$31,3,FALSE)</f>
        <v>7</v>
      </c>
      <c r="H44" s="79" t="str">
        <f>VLOOKUP(Table1[[#This Row],[CBRE sub-markets]],Reference!$A$2:$D$31,4,FALSE)</f>
        <v>Kowloon</v>
      </c>
      <c r="I44" s="80">
        <v>2014</v>
      </c>
      <c r="J44" s="80">
        <v>2</v>
      </c>
      <c r="K44" s="81" t="str">
        <f>IF(ISNUMBER(Table1[[#This Row],[Qtr]]),CONCATENATE(Table1[[#This Row],[Year]]," Q",Table1[[#This Row],[Qtr]]),CONCATENATE(Table1[[#This Row],[Year]],Table1[[#This Row],[Qtr]]))</f>
        <v>2014 Q2</v>
      </c>
      <c r="L44" s="80" t="s">
        <v>748</v>
      </c>
      <c r="M44" s="80" t="s">
        <v>84</v>
      </c>
      <c r="N44" s="80">
        <v>1</v>
      </c>
      <c r="O44" s="80">
        <v>10</v>
      </c>
      <c r="P44" s="80"/>
      <c r="Q44" s="82">
        <f>W44/O44</f>
        <v>23093.4</v>
      </c>
      <c r="R44" s="82">
        <f>Q44*0.75</f>
        <v>17320.050000000003</v>
      </c>
      <c r="S44" s="80" t="str">
        <f t="shared" si="3"/>
        <v>Yes</v>
      </c>
      <c r="T44" s="82"/>
      <c r="U44" s="82"/>
      <c r="V44" s="82">
        <f>W44/10.764</f>
        <v>21454.292084726869</v>
      </c>
      <c r="W44" s="82">
        <v>230934</v>
      </c>
      <c r="X44" s="82">
        <f>V44*0.75</f>
        <v>16090.719063545152</v>
      </c>
      <c r="Y44" s="82">
        <f>X44*10.764</f>
        <v>173200.5</v>
      </c>
      <c r="Z44" s="82"/>
      <c r="AA44" s="82"/>
      <c r="AB44" s="82"/>
      <c r="AC44" s="82">
        <f>IF(Table1[[#This Row],[For Sale or For Lease?]]="For Lease",Table1[[#This Row],[Office UFA (Net) (sf)]]-Table1[[#This Row],[Pre-leased space (Usable FA) (sf)]]-Table1[[#This Row],[Pre-sold (Usable FA) (sf)]]-Table1[[#This Row],[Self-use space (Usable FA) (sf)]],0)</f>
        <v>173200.5</v>
      </c>
      <c r="AD44" s="82">
        <f>IF(Table1[[#This Row],[For Sale or For Lease?]]="For Sale",Table1[[#This Row],[Office UFA (Net) (sf)]]-Table1[[#This Row],[Pre-leased space (Usable FA) (sf)]]-Table1[[#This Row],[Pre-sold (Usable FA) (sf)]]-Table1[[#This Row],[Self-use space (Usable FA) (sf)]],0)</f>
        <v>0</v>
      </c>
      <c r="AE44" s="82">
        <f>IF(Table1[[#This Row],[For Sale or For Lease?]]="Uncertain",Table1[[#This Row],[Office UFA (Net) (sf)]]-Table1[[#This Row],[Pre-leased space (Usable FA) (sf)]]-Table1[[#This Row],[Pre-sold (Usable FA) (sf)]]-Table1[[#This Row],[Self-use space (Usable FA) (sf)]],0)</f>
        <v>0</v>
      </c>
      <c r="AF44" s="86">
        <f>1-SUM(Table1[[#This Row],[Space available for lease (Usable FA) (sf)]:[Space available uncertain of use (Usable FA) (sf)]])/Table1[[#This Row],[Office UFA (Net) (sf)]]</f>
        <v>0</v>
      </c>
      <c r="AG44" s="79"/>
      <c r="AH44" s="84"/>
      <c r="AI44" s="79"/>
      <c r="AJ44" s="83"/>
      <c r="AK44" s="83">
        <v>41429</v>
      </c>
      <c r="AL44" s="85" t="s">
        <v>748</v>
      </c>
      <c r="AM44" s="85" t="s">
        <v>756</v>
      </c>
      <c r="AN44" s="79" t="s">
        <v>73</v>
      </c>
      <c r="AO44" s="77" t="s">
        <v>705</v>
      </c>
      <c r="AP44" s="77" t="s">
        <v>81</v>
      </c>
      <c r="AQ44" s="77" t="s">
        <v>752</v>
      </c>
      <c r="AR44" s="79" t="s">
        <v>2405</v>
      </c>
      <c r="AS44" s="79"/>
      <c r="AT44" s="80"/>
      <c r="AU44" s="80"/>
      <c r="AV44" s="77" t="s">
        <v>2197</v>
      </c>
    </row>
    <row r="45" spans="1:48" ht="15" hidden="1" customHeight="1" x14ac:dyDescent="0.35">
      <c r="A45" s="77"/>
      <c r="B45" s="77" t="s">
        <v>1096</v>
      </c>
      <c r="C45" s="77" t="s">
        <v>1177</v>
      </c>
      <c r="D45" s="77"/>
      <c r="E45" s="79" t="s">
        <v>50</v>
      </c>
      <c r="F45" s="77" t="str">
        <f>VLOOKUP(Table1[[#This Row],[CBRE sub-markets]],Reference!$A$2:$B$31,2,FALSE)</f>
        <v>Kowloon East</v>
      </c>
      <c r="G45" s="77">
        <f>VLOOKUP(Table1[[#This Row],[CBRE sub-markets]],Reference!$A$2:$D$31,3,FALSE)</f>
        <v>7</v>
      </c>
      <c r="H45" s="79" t="str">
        <f>VLOOKUP(Table1[[#This Row],[CBRE sub-markets]],Reference!$A$2:$D$31,4,FALSE)</f>
        <v>Kowloon</v>
      </c>
      <c r="I45" s="80">
        <v>2014</v>
      </c>
      <c r="J45" s="80">
        <v>2</v>
      </c>
      <c r="K45" s="81" t="str">
        <f>IF(ISNUMBER(Table1[[#This Row],[Qtr]]),CONCATENATE(Table1[[#This Row],[Year]]," Q",Table1[[#This Row],[Qtr]]),CONCATENATE(Table1[[#This Row],[Year]],Table1[[#This Row],[Qtr]]))</f>
        <v>2014 Q2</v>
      </c>
      <c r="L45" s="80" t="s">
        <v>748</v>
      </c>
      <c r="M45" s="80" t="s">
        <v>84</v>
      </c>
      <c r="N45" s="80">
        <v>1</v>
      </c>
      <c r="O45" s="80"/>
      <c r="P45" s="80"/>
      <c r="Q45" s="82"/>
      <c r="R45" s="82"/>
      <c r="S45" s="80" t="str">
        <f t="shared" si="3"/>
        <v>Unknown</v>
      </c>
      <c r="T45" s="82"/>
      <c r="U45" s="82"/>
      <c r="V45" s="82">
        <f>W45/10.764</f>
        <v>11148.272017837236</v>
      </c>
      <c r="W45" s="82">
        <v>120000</v>
      </c>
      <c r="X45" s="82">
        <f>Y45/10.764</f>
        <v>7803.7904124860652</v>
      </c>
      <c r="Y45" s="82">
        <f>W45*0.7</f>
        <v>84000</v>
      </c>
      <c r="Z45" s="82"/>
      <c r="AA45" s="82"/>
      <c r="AB45" s="82"/>
      <c r="AC45" s="82">
        <f>IF(Table1[[#This Row],[For Sale or For Lease?]]="For Lease",Table1[[#This Row],[Office UFA (Net) (sf)]]-Table1[[#This Row],[Pre-leased space (Usable FA) (sf)]]-Table1[[#This Row],[Pre-sold (Usable FA) (sf)]]-Table1[[#This Row],[Self-use space (Usable FA) (sf)]],0)</f>
        <v>0</v>
      </c>
      <c r="AD45" s="82">
        <f>IF(Table1[[#This Row],[For Sale or For Lease?]]="For Sale",Table1[[#This Row],[Office UFA (Net) (sf)]]-Table1[[#This Row],[Pre-leased space (Usable FA) (sf)]]-Table1[[#This Row],[Pre-sold (Usable FA) (sf)]]-Table1[[#This Row],[Self-use space (Usable FA) (sf)]],0)</f>
        <v>0</v>
      </c>
      <c r="AE45" s="82">
        <f>IF(Table1[[#This Row],[For Sale or For Lease?]]="Uncertain",Table1[[#This Row],[Office UFA (Net) (sf)]]-Table1[[#This Row],[Pre-leased space (Usable FA) (sf)]]-Table1[[#This Row],[Pre-sold (Usable FA) (sf)]]-Table1[[#This Row],[Self-use space (Usable FA) (sf)]],0)</f>
        <v>0</v>
      </c>
      <c r="AF45" s="86">
        <f>1-SUM(Table1[[#This Row],[Space available for lease (Usable FA) (sf)]:[Space available uncertain of use (Usable FA) (sf)]])/Table1[[#This Row],[Office UFA (Net) (sf)]]</f>
        <v>1</v>
      </c>
      <c r="AG45" s="79"/>
      <c r="AH45" s="84"/>
      <c r="AI45" s="79"/>
      <c r="AJ45" s="83"/>
      <c r="AK45" s="83"/>
      <c r="AL45" s="85" t="s">
        <v>748</v>
      </c>
      <c r="AM45" s="85" t="s">
        <v>1102</v>
      </c>
      <c r="AN45" s="79" t="s">
        <v>73</v>
      </c>
      <c r="AO45" s="77"/>
      <c r="AP45" s="77" t="s">
        <v>81</v>
      </c>
      <c r="AQ45" s="77"/>
      <c r="AR45" s="79" t="s">
        <v>1713</v>
      </c>
      <c r="AS45" s="79"/>
      <c r="AT45" s="80"/>
      <c r="AU45" s="80"/>
      <c r="AV45" s="77" t="s">
        <v>2198</v>
      </c>
    </row>
    <row r="46" spans="1:48" ht="15" hidden="1" customHeight="1" x14ac:dyDescent="0.35">
      <c r="A46" s="77"/>
      <c r="B46" s="77" t="s">
        <v>1095</v>
      </c>
      <c r="C46" s="77" t="s">
        <v>1176</v>
      </c>
      <c r="D46" s="77"/>
      <c r="E46" s="79" t="s">
        <v>50</v>
      </c>
      <c r="F46" s="77" t="str">
        <f>VLOOKUP(Table1[[#This Row],[CBRE sub-markets]],Reference!$A$2:$B$31,2,FALSE)</f>
        <v>Kowloon East</v>
      </c>
      <c r="G46" s="77">
        <f>VLOOKUP(Table1[[#This Row],[CBRE sub-markets]],Reference!$A$2:$D$31,3,FALSE)</f>
        <v>7</v>
      </c>
      <c r="H46" s="79" t="str">
        <f>VLOOKUP(Table1[[#This Row],[CBRE sub-markets]],Reference!$A$2:$D$31,4,FALSE)</f>
        <v>Kowloon</v>
      </c>
      <c r="I46" s="80">
        <v>2014</v>
      </c>
      <c r="J46" s="80">
        <v>3</v>
      </c>
      <c r="K46" s="81" t="str">
        <f>IF(ISNUMBER(Table1[[#This Row],[Qtr]]),CONCATENATE(Table1[[#This Row],[Year]]," Q",Table1[[#This Row],[Qtr]]),CONCATENATE(Table1[[#This Row],[Year]],Table1[[#This Row],[Qtr]]))</f>
        <v>2014 Q3</v>
      </c>
      <c r="L46" s="80" t="s">
        <v>748</v>
      </c>
      <c r="M46" s="80" t="s">
        <v>84</v>
      </c>
      <c r="N46" s="80">
        <v>1</v>
      </c>
      <c r="O46" s="80"/>
      <c r="P46" s="80"/>
      <c r="Q46" s="82"/>
      <c r="R46" s="82"/>
      <c r="S46" s="80" t="str">
        <f t="shared" si="3"/>
        <v>Unknown</v>
      </c>
      <c r="T46" s="82"/>
      <c r="U46" s="82"/>
      <c r="V46" s="82">
        <f>W46/10.764</f>
        <v>10405.053883314753</v>
      </c>
      <c r="W46" s="82">
        <v>112000</v>
      </c>
      <c r="X46" s="82">
        <f>Y46/10.764</f>
        <v>7283.5377183203273</v>
      </c>
      <c r="Y46" s="82">
        <f>W46*0.7</f>
        <v>78400</v>
      </c>
      <c r="Z46" s="82"/>
      <c r="AA46" s="82"/>
      <c r="AB46" s="82"/>
      <c r="AC46" s="82">
        <f>IF(Table1[[#This Row],[For Sale or For Lease?]]="For Lease",Table1[[#This Row],[Office UFA (Net) (sf)]]-Table1[[#This Row],[Pre-leased space (Usable FA) (sf)]]-Table1[[#This Row],[Pre-sold (Usable FA) (sf)]]-Table1[[#This Row],[Self-use space (Usable FA) (sf)]],0)</f>
        <v>0</v>
      </c>
      <c r="AD46" s="82">
        <f>IF(Table1[[#This Row],[For Sale or For Lease?]]="For Sale",Table1[[#This Row],[Office UFA (Net) (sf)]]-Table1[[#This Row],[Pre-leased space (Usable FA) (sf)]]-Table1[[#This Row],[Pre-sold (Usable FA) (sf)]]-Table1[[#This Row],[Self-use space (Usable FA) (sf)]],0)</f>
        <v>0</v>
      </c>
      <c r="AE46" s="82">
        <f>IF(Table1[[#This Row],[For Sale or For Lease?]]="Uncertain",Table1[[#This Row],[Office UFA (Net) (sf)]]-Table1[[#This Row],[Pre-leased space (Usable FA) (sf)]]-Table1[[#This Row],[Pre-sold (Usable FA) (sf)]]-Table1[[#This Row],[Self-use space (Usable FA) (sf)]],0)</f>
        <v>0</v>
      </c>
      <c r="AF46" s="86">
        <f>1-SUM(Table1[[#This Row],[Space available for lease (Usable FA) (sf)]:[Space available uncertain of use (Usable FA) (sf)]])/Table1[[#This Row],[Office UFA (Net) (sf)]]</f>
        <v>1</v>
      </c>
      <c r="AG46" s="79"/>
      <c r="AH46" s="84"/>
      <c r="AI46" s="79"/>
      <c r="AJ46" s="83"/>
      <c r="AK46" s="83"/>
      <c r="AL46" s="85" t="s">
        <v>748</v>
      </c>
      <c r="AM46" s="85" t="s">
        <v>1101</v>
      </c>
      <c r="AN46" s="79" t="s">
        <v>73</v>
      </c>
      <c r="AO46" s="77"/>
      <c r="AP46" s="77" t="s">
        <v>81</v>
      </c>
      <c r="AQ46" s="77"/>
      <c r="AR46" s="79" t="s">
        <v>1714</v>
      </c>
      <c r="AS46" s="79"/>
      <c r="AT46" s="80"/>
      <c r="AU46" s="80"/>
      <c r="AV46" s="77" t="s">
        <v>2199</v>
      </c>
    </row>
    <row r="47" spans="1:48" ht="15" hidden="1" customHeight="1" x14ac:dyDescent="0.35">
      <c r="A47" s="77"/>
      <c r="B47" s="77" t="s">
        <v>1054</v>
      </c>
      <c r="C47" s="77" t="s">
        <v>1172</v>
      </c>
      <c r="D47" s="77"/>
      <c r="E47" s="79" t="s">
        <v>15</v>
      </c>
      <c r="F47" s="77" t="str">
        <f>VLOOKUP(Table1[[#This Row],[CBRE sub-markets]],Reference!$A$2:$B$31,2,FALSE)</f>
        <v>New Territories</v>
      </c>
      <c r="G47" s="77">
        <f>VLOOKUP(Table1[[#This Row],[CBRE sub-markets]],Reference!$A$2:$D$31,3,FALSE)</f>
        <v>9</v>
      </c>
      <c r="H47" s="79" t="str">
        <f>VLOOKUP(Table1[[#This Row],[CBRE sub-markets]],Reference!$A$2:$D$31,4,FALSE)</f>
        <v>New Territories</v>
      </c>
      <c r="I47" s="80">
        <v>2014</v>
      </c>
      <c r="J47" s="80">
        <v>3</v>
      </c>
      <c r="K47" s="81" t="str">
        <f>IF(ISNUMBER(Table1[[#This Row],[Qtr]]),CONCATENATE(Table1[[#This Row],[Year]]," Q",Table1[[#This Row],[Qtr]]),CONCATENATE(Table1[[#This Row],[Year]],Table1[[#This Row],[Qtr]]))</f>
        <v>2014 Q3</v>
      </c>
      <c r="L47" s="80" t="s">
        <v>20</v>
      </c>
      <c r="M47" s="80" t="s">
        <v>84</v>
      </c>
      <c r="N47" s="80">
        <v>1</v>
      </c>
      <c r="O47" s="80">
        <v>33</v>
      </c>
      <c r="P47" s="80">
        <v>22</v>
      </c>
      <c r="Q47" s="82">
        <v>15251</v>
      </c>
      <c r="R47" s="82">
        <f>Q47*0.74</f>
        <v>11285.74</v>
      </c>
      <c r="S47" s="80" t="str">
        <f t="shared" si="3"/>
        <v>No</v>
      </c>
      <c r="T47" s="82"/>
      <c r="U47" s="82"/>
      <c r="V47" s="82">
        <f>W47/10.764</f>
        <v>36838.164251207731</v>
      </c>
      <c r="W47" s="82">
        <v>396526</v>
      </c>
      <c r="X47" s="82">
        <f>Y47/10.764</f>
        <v>27260.241545893721</v>
      </c>
      <c r="Y47" s="82">
        <v>293429.24</v>
      </c>
      <c r="Z47" s="82">
        <v>11285.74</v>
      </c>
      <c r="AA47" s="82"/>
      <c r="AB47" s="82"/>
      <c r="AC47" s="82">
        <f>IF(Table1[[#This Row],[For Sale or For Lease?]]="For Lease",Table1[[#This Row],[Office UFA (Net) (sf)]]-Table1[[#This Row],[Pre-leased space (Usable FA) (sf)]]-Table1[[#This Row],[Pre-sold (Usable FA) (sf)]]-Table1[[#This Row],[Self-use space (Usable FA) (sf)]],0)</f>
        <v>282143.5</v>
      </c>
      <c r="AD47" s="82">
        <f>IF(Table1[[#This Row],[For Sale or For Lease?]]="For Sale",Table1[[#This Row],[Office UFA (Net) (sf)]]-Table1[[#This Row],[Pre-leased space (Usable FA) (sf)]]-Table1[[#This Row],[Pre-sold (Usable FA) (sf)]]-Table1[[#This Row],[Self-use space (Usable FA) (sf)]],0)</f>
        <v>0</v>
      </c>
      <c r="AE47" s="82">
        <f>IF(Table1[[#This Row],[For Sale or For Lease?]]="Uncertain",Table1[[#This Row],[Office UFA (Net) (sf)]]-Table1[[#This Row],[Pre-leased space (Usable FA) (sf)]]-Table1[[#This Row],[Pre-sold (Usable FA) (sf)]]-Table1[[#This Row],[Self-use space (Usable FA) (sf)]],0)</f>
        <v>0</v>
      </c>
      <c r="AF47" s="86">
        <f>1-SUM(Table1[[#This Row],[Space available for lease (Usable FA) (sf)]:[Space available uncertain of use (Usable FA) (sf)]])/Table1[[#This Row],[Office UFA (Net) (sf)]]</f>
        <v>3.8461538461538436E-2</v>
      </c>
      <c r="AG47" s="79" t="s">
        <v>89</v>
      </c>
      <c r="AH47" s="84" t="s">
        <v>103</v>
      </c>
      <c r="AI47" s="79" t="s">
        <v>92</v>
      </c>
      <c r="AJ47" s="83">
        <v>41913</v>
      </c>
      <c r="AK47" s="83">
        <v>41997</v>
      </c>
      <c r="AL47" s="85" t="s">
        <v>30</v>
      </c>
      <c r="AM47" s="85" t="s">
        <v>717</v>
      </c>
      <c r="AN47" s="79" t="s">
        <v>73</v>
      </c>
      <c r="AO47" s="77" t="s">
        <v>705</v>
      </c>
      <c r="AP47" s="77" t="s">
        <v>81</v>
      </c>
      <c r="AQ47" s="77" t="s">
        <v>718</v>
      </c>
      <c r="AR47" s="79" t="s">
        <v>2346</v>
      </c>
      <c r="AS47" s="79"/>
      <c r="AT47" s="80"/>
      <c r="AU47" s="80"/>
      <c r="AV47" s="77"/>
    </row>
    <row r="48" spans="1:48" ht="15" hidden="1" customHeight="1" x14ac:dyDescent="0.35">
      <c r="A48" s="77"/>
      <c r="B48" s="77" t="s">
        <v>1130</v>
      </c>
      <c r="C48" s="77" t="s">
        <v>1131</v>
      </c>
      <c r="D48" s="77"/>
      <c r="E48" s="79" t="s">
        <v>1</v>
      </c>
      <c r="F48" s="77" t="str">
        <f>VLOOKUP(Table1[[#This Row],[CBRE sub-markets]],Reference!$A$2:$B$31,2,FALSE)</f>
        <v>Central</v>
      </c>
      <c r="G48" s="77">
        <f>VLOOKUP(Table1[[#This Row],[CBRE sub-markets]],Reference!$A$2:$D$31,3,FALSE)</f>
        <v>1</v>
      </c>
      <c r="H48" s="79" t="str">
        <f>VLOOKUP(Table1[[#This Row],[CBRE sub-markets]],Reference!$A$2:$D$31,4,FALSE)</f>
        <v>Hong Kong Island</v>
      </c>
      <c r="I48" s="80">
        <v>2014</v>
      </c>
      <c r="J48" s="80">
        <v>4</v>
      </c>
      <c r="K48" s="81" t="str">
        <f>IF(ISNUMBER(Table1[[#This Row],[Qtr]]),CONCATENATE(Table1[[#This Row],[Year]]," Q",Table1[[#This Row],[Qtr]]),CONCATENATE(Table1[[#This Row],[Year]],Table1[[#This Row],[Qtr]]))</f>
        <v>2014 Q4</v>
      </c>
      <c r="L48" s="80" t="s">
        <v>21</v>
      </c>
      <c r="M48" s="80" t="s">
        <v>84</v>
      </c>
      <c r="N48" s="80">
        <v>1</v>
      </c>
      <c r="O48" s="80">
        <v>25</v>
      </c>
      <c r="P48" s="80"/>
      <c r="Q48" s="82">
        <f>Table1[[#This Row],[Office GFA (sf)]]/25</f>
        <v>1542.0506399999999</v>
      </c>
      <c r="R48" s="82">
        <f>Table1[[#This Row],[Office UFA (Net) (sf)]]/25</f>
        <v>793.30679999999995</v>
      </c>
      <c r="S48" s="80" t="str">
        <f t="shared" si="3"/>
        <v>No</v>
      </c>
      <c r="T48" s="82"/>
      <c r="U48" s="82"/>
      <c r="V48" s="82">
        <v>3581.5</v>
      </c>
      <c r="W48" s="82">
        <f>Table1[[#This Row],[Office GFA (sm)]]*10.764</f>
        <v>38551.265999999996</v>
      </c>
      <c r="X48" s="82">
        <v>1842.5</v>
      </c>
      <c r="Y48" s="82">
        <f>Table1[[#This Row],[Office UFA (Net) (sm)]]*10.764</f>
        <v>19832.669999999998</v>
      </c>
      <c r="Z48" s="82"/>
      <c r="AA48" s="82"/>
      <c r="AB48" s="82"/>
      <c r="AC48" s="82">
        <f>IF(Table1[[#This Row],[For Sale or For Lease?]]="For Lease",Table1[[#This Row],[Office UFA (Net) (sf)]]-Table1[[#This Row],[Pre-leased space (Usable FA) (sf)]]-Table1[[#This Row],[Pre-sold (Usable FA) (sf)]]-Table1[[#This Row],[Self-use space (Usable FA) (sf)]],0)</f>
        <v>19832.669999999998</v>
      </c>
      <c r="AD48" s="82">
        <f>IF(Table1[[#This Row],[For Sale or For Lease?]]="For Sale",Table1[[#This Row],[Office UFA (Net) (sf)]]-Table1[[#This Row],[Pre-leased space (Usable FA) (sf)]]-Table1[[#This Row],[Pre-sold (Usable FA) (sf)]]-Table1[[#This Row],[Self-use space (Usable FA) (sf)]],0)</f>
        <v>0</v>
      </c>
      <c r="AE48" s="82">
        <f>IF(Table1[[#This Row],[For Sale or For Lease?]]="Uncertain",Table1[[#This Row],[Office UFA (Net) (sf)]]-Table1[[#This Row],[Pre-leased space (Usable FA) (sf)]]-Table1[[#This Row],[Pre-sold (Usable FA) (sf)]]-Table1[[#This Row],[Self-use space (Usable FA) (sf)]],0)</f>
        <v>0</v>
      </c>
      <c r="AF48" s="86">
        <f>1-SUM(Table1[[#This Row],[Space available for lease (Usable FA) (sf)]:[Space available uncertain of use (Usable FA) (sf)]])/Table1[[#This Row],[Office UFA (Net) (sf)]]</f>
        <v>0</v>
      </c>
      <c r="AG48" s="79" t="s">
        <v>89</v>
      </c>
      <c r="AH48" s="84" t="s">
        <v>103</v>
      </c>
      <c r="AI48" s="79" t="s">
        <v>92</v>
      </c>
      <c r="AJ48" s="83">
        <v>41913</v>
      </c>
      <c r="AK48" s="83">
        <v>42116</v>
      </c>
      <c r="AL48" s="85" t="s">
        <v>30</v>
      </c>
      <c r="AM48" s="85" t="s">
        <v>232</v>
      </c>
      <c r="AN48" s="79" t="s">
        <v>73</v>
      </c>
      <c r="AO48" s="77" t="s">
        <v>705</v>
      </c>
      <c r="AP48" s="77" t="s">
        <v>81</v>
      </c>
      <c r="AQ48" s="77"/>
      <c r="AR48" s="79" t="s">
        <v>1712</v>
      </c>
      <c r="AS48" s="79"/>
      <c r="AT48" s="80"/>
      <c r="AU48" s="80"/>
      <c r="AV48" s="77" t="s">
        <v>2195</v>
      </c>
    </row>
    <row r="49" spans="1:48" ht="15" hidden="1" customHeight="1" x14ac:dyDescent="0.35">
      <c r="A49" s="77"/>
      <c r="B49" s="77" t="s">
        <v>1084</v>
      </c>
      <c r="C49" s="77" t="s">
        <v>1173</v>
      </c>
      <c r="D49" s="77"/>
      <c r="E49" s="79" t="s">
        <v>2</v>
      </c>
      <c r="F49" s="77" t="str">
        <f>VLOOKUP(Table1[[#This Row],[CBRE sub-markets]],Reference!$A$2:$B$31,2,FALSE)</f>
        <v>Admiralty &amp; Sheung Wan</v>
      </c>
      <c r="G49" s="77">
        <f>VLOOKUP(Table1[[#This Row],[CBRE sub-markets]],Reference!$A$2:$D$31,3,FALSE)</f>
        <v>2</v>
      </c>
      <c r="H49" s="79" t="str">
        <f>VLOOKUP(Table1[[#This Row],[CBRE sub-markets]],Reference!$A$2:$D$31,4,FALSE)</f>
        <v>Hong Kong Island</v>
      </c>
      <c r="I49" s="80">
        <v>2014</v>
      </c>
      <c r="J49" s="80">
        <v>4</v>
      </c>
      <c r="K49" s="81" t="str">
        <f>IF(ISNUMBER(Table1[[#This Row],[Qtr]]),CONCATENATE(Table1[[#This Row],[Year]]," Q",Table1[[#This Row],[Qtr]]),CONCATENATE(Table1[[#This Row],[Year]],Table1[[#This Row],[Qtr]]))</f>
        <v>2014 Q4</v>
      </c>
      <c r="L49" s="80" t="s">
        <v>21</v>
      </c>
      <c r="M49" s="80" t="s">
        <v>84</v>
      </c>
      <c r="N49" s="80">
        <v>1</v>
      </c>
      <c r="O49" s="80">
        <v>29</v>
      </c>
      <c r="P49" s="80">
        <v>18</v>
      </c>
      <c r="Q49" s="82">
        <f>Table1[[#This Row],[Office GFA (sf)]]/Table1[[#This Row],[No. of Storeys]]</f>
        <v>2914.7427310344829</v>
      </c>
      <c r="R49" s="82">
        <f>Table1[[#This Row],[Office UFA (Net) (sf)]]/Table1[[#This Row],[No. of Storeys]]</f>
        <v>1857.6808137931032</v>
      </c>
      <c r="S49" s="80" t="str">
        <f t="shared" si="3"/>
        <v>No</v>
      </c>
      <c r="T49" s="82"/>
      <c r="U49" s="82"/>
      <c r="V49" s="82">
        <v>7852.8</v>
      </c>
      <c r="W49" s="82">
        <f>V49*10.764</f>
        <v>84527.539199999999</v>
      </c>
      <c r="X49" s="82">
        <v>5004.8999999999996</v>
      </c>
      <c r="Y49" s="82">
        <f>X49*10.764</f>
        <v>53872.743599999994</v>
      </c>
      <c r="Z49" s="82"/>
      <c r="AA49" s="82"/>
      <c r="AB49" s="82"/>
      <c r="AC49" s="82">
        <f>IF(Table1[[#This Row],[For Sale or For Lease?]]="For Lease",Table1[[#This Row],[Office UFA (Net) (sf)]]-Table1[[#This Row],[Pre-leased space (Usable FA) (sf)]]-Table1[[#This Row],[Pre-sold (Usable FA) (sf)]]-Table1[[#This Row],[Self-use space (Usable FA) (sf)]],0)</f>
        <v>53872.743599999994</v>
      </c>
      <c r="AD49" s="82">
        <f>IF(Table1[[#This Row],[For Sale or For Lease?]]="For Sale",Table1[[#This Row],[Office UFA (Net) (sf)]]-Table1[[#This Row],[Pre-leased space (Usable FA) (sf)]]-Table1[[#This Row],[Pre-sold (Usable FA) (sf)]]-Table1[[#This Row],[Self-use space (Usable FA) (sf)]],0)</f>
        <v>0</v>
      </c>
      <c r="AE49" s="82">
        <f>IF(Table1[[#This Row],[For Sale or For Lease?]]="Uncertain",Table1[[#This Row],[Office UFA (Net) (sf)]]-Table1[[#This Row],[Pre-leased space (Usable FA) (sf)]]-Table1[[#This Row],[Pre-sold (Usable FA) (sf)]]-Table1[[#This Row],[Self-use space (Usable FA) (sf)]],0)</f>
        <v>0</v>
      </c>
      <c r="AF49" s="86">
        <f>1-SUM(Table1[[#This Row],[Space available for lease (Usable FA) (sf)]:[Space available uncertain of use (Usable FA) (sf)]])/Table1[[#This Row],[Office UFA (Net) (sf)]]</f>
        <v>0</v>
      </c>
      <c r="AG49" s="79" t="s">
        <v>89</v>
      </c>
      <c r="AH49" s="84" t="s">
        <v>103</v>
      </c>
      <c r="AI49" s="79" t="s">
        <v>92</v>
      </c>
      <c r="AJ49" s="83">
        <v>41974</v>
      </c>
      <c r="AK49" s="83">
        <v>42116</v>
      </c>
      <c r="AL49" s="85" t="s">
        <v>30</v>
      </c>
      <c r="AM49" s="85" t="s">
        <v>1085</v>
      </c>
      <c r="AN49" s="79" t="s">
        <v>73</v>
      </c>
      <c r="AO49" s="77" t="s">
        <v>705</v>
      </c>
      <c r="AP49" s="77" t="s">
        <v>81</v>
      </c>
      <c r="AQ49" s="77"/>
      <c r="AR49" s="79" t="s">
        <v>2396</v>
      </c>
      <c r="AS49" s="79"/>
      <c r="AT49" s="80"/>
      <c r="AU49" s="80"/>
      <c r="AV49" s="77" t="s">
        <v>2196</v>
      </c>
    </row>
    <row r="50" spans="1:48" ht="15" hidden="1" customHeight="1" x14ac:dyDescent="0.35">
      <c r="A50" s="77"/>
      <c r="B50" s="77" t="s">
        <v>755</v>
      </c>
      <c r="C50" s="77" t="s">
        <v>755</v>
      </c>
      <c r="D50" s="77"/>
      <c r="E50" s="79" t="s">
        <v>50</v>
      </c>
      <c r="F50" s="77" t="str">
        <f>VLOOKUP(Table1[[#This Row],[CBRE sub-markets]],Reference!$A$2:$B$31,2,FALSE)</f>
        <v>Kowloon East</v>
      </c>
      <c r="G50" s="77">
        <f>VLOOKUP(Table1[[#This Row],[CBRE sub-markets]],Reference!$A$2:$D$31,3,FALSE)</f>
        <v>7</v>
      </c>
      <c r="H50" s="79" t="str">
        <f>VLOOKUP(Table1[[#This Row],[CBRE sub-markets]],Reference!$A$2:$D$31,4,FALSE)</f>
        <v>Kowloon</v>
      </c>
      <c r="I50" s="80">
        <v>2014</v>
      </c>
      <c r="J50" s="80">
        <v>4</v>
      </c>
      <c r="K50" s="81" t="str">
        <f>IF(ISNUMBER(Table1[[#This Row],[Qtr]]),CONCATENATE(Table1[[#This Row],[Year]]," Q",Table1[[#This Row],[Qtr]]),CONCATENATE(Table1[[#This Row],[Year]],Table1[[#This Row],[Qtr]]))</f>
        <v>2014 Q4</v>
      </c>
      <c r="L50" s="80" t="s">
        <v>20</v>
      </c>
      <c r="M50" s="80" t="s">
        <v>84</v>
      </c>
      <c r="N50" s="80">
        <v>1</v>
      </c>
      <c r="O50" s="80">
        <v>31</v>
      </c>
      <c r="P50" s="80">
        <v>14</v>
      </c>
      <c r="Q50" s="82">
        <f>3813+802+901+937+855+831+740+2066+1787</f>
        <v>12732</v>
      </c>
      <c r="R50" s="82">
        <f>2594+545+612+637+581+565+503+1405+1215</f>
        <v>8657</v>
      </c>
      <c r="S50" s="80" t="str">
        <f t="shared" si="3"/>
        <v>No</v>
      </c>
      <c r="T50" s="82"/>
      <c r="U50" s="82"/>
      <c r="V50" s="82">
        <f>W50/10.7639</f>
        <v>16559.797099564286</v>
      </c>
      <c r="W50" s="82">
        <f>(3813+802+901+937+855+831+740+2066+1787)*12+12732*2</f>
        <v>178248</v>
      </c>
      <c r="X50" s="82">
        <f>Y50/10.7639</f>
        <v>12332.054366911621</v>
      </c>
      <c r="Y50" s="82">
        <f>(2594+545+612+637+581+565+503+1405+1215)*12+9619*3</f>
        <v>132741</v>
      </c>
      <c r="Z50" s="82"/>
      <c r="AA50" s="82"/>
      <c r="AB50" s="82"/>
      <c r="AC50" s="82">
        <f>IF(Table1[[#This Row],[For Sale or For Lease?]]="For Lease",Table1[[#This Row],[Office UFA (Net) (sf)]]-Table1[[#This Row],[Pre-leased space (Usable FA) (sf)]]-Table1[[#This Row],[Pre-sold (Usable FA) (sf)]]-Table1[[#This Row],[Self-use space (Usable FA) (sf)]],0)</f>
        <v>0</v>
      </c>
      <c r="AD50" s="82">
        <f>IF(Table1[[#This Row],[For Sale or For Lease?]]="For Sale",Table1[[#This Row],[Office UFA (Net) (sf)]]-Table1[[#This Row],[Pre-leased space (Usable FA) (sf)]]-Table1[[#This Row],[Pre-sold (Usable FA) (sf)]]-Table1[[#This Row],[Self-use space (Usable FA) (sf)]],0)</f>
        <v>132741</v>
      </c>
      <c r="AE50" s="82">
        <f>IF(Table1[[#This Row],[For Sale or For Lease?]]="Uncertain",Table1[[#This Row],[Office UFA (Net) (sf)]]-Table1[[#This Row],[Pre-leased space (Usable FA) (sf)]]-Table1[[#This Row],[Pre-sold (Usable FA) (sf)]]-Table1[[#This Row],[Self-use space (Usable FA) (sf)]],0)</f>
        <v>0</v>
      </c>
      <c r="AF50" s="86">
        <f>1-SUM(Table1[[#This Row],[Space available for lease (Usable FA) (sf)]:[Space available uncertain of use (Usable FA) (sf)]])/Table1[[#This Row],[Office UFA (Net) (sf)]]</f>
        <v>0</v>
      </c>
      <c r="AG50" s="79" t="s">
        <v>89</v>
      </c>
      <c r="AH50" s="84" t="s">
        <v>103</v>
      </c>
      <c r="AI50" s="79" t="s">
        <v>92</v>
      </c>
      <c r="AJ50" s="83">
        <v>41974</v>
      </c>
      <c r="AK50" s="83">
        <v>42052</v>
      </c>
      <c r="AL50" s="85" t="s">
        <v>30</v>
      </c>
      <c r="AM50" s="85" t="s">
        <v>501</v>
      </c>
      <c r="AN50" s="79" t="s">
        <v>73</v>
      </c>
      <c r="AO50" s="77" t="s">
        <v>704</v>
      </c>
      <c r="AP50" s="77" t="s">
        <v>82</v>
      </c>
      <c r="AQ50" s="77" t="s">
        <v>1115</v>
      </c>
      <c r="AR50" s="79" t="s">
        <v>2422</v>
      </c>
      <c r="AS50" s="79"/>
      <c r="AT50" s="80"/>
      <c r="AU50" s="80"/>
      <c r="AV50" s="77"/>
    </row>
    <row r="51" spans="1:48" ht="15" hidden="1" customHeight="1" x14ac:dyDescent="0.35">
      <c r="A51" s="77"/>
      <c r="B51" s="77" t="s">
        <v>1098</v>
      </c>
      <c r="C51" s="77" t="s">
        <v>1179</v>
      </c>
      <c r="D51" s="77"/>
      <c r="E51" s="79" t="s">
        <v>50</v>
      </c>
      <c r="F51" s="77" t="str">
        <f>VLOOKUP(Table1[[#This Row],[CBRE sub-markets]],Reference!$A$2:$B$31,2,FALSE)</f>
        <v>Kowloon East</v>
      </c>
      <c r="G51" s="77">
        <f>VLOOKUP(Table1[[#This Row],[CBRE sub-markets]],Reference!$A$2:$D$31,3,FALSE)</f>
        <v>7</v>
      </c>
      <c r="H51" s="79" t="str">
        <f>VLOOKUP(Table1[[#This Row],[CBRE sub-markets]],Reference!$A$2:$D$31,4,FALSE)</f>
        <v>Kowloon</v>
      </c>
      <c r="I51" s="80">
        <v>2014</v>
      </c>
      <c r="J51" s="80">
        <v>4</v>
      </c>
      <c r="K51" s="81" t="str">
        <f>IF(ISNUMBER(Table1[[#This Row],[Qtr]]),CONCATENATE(Table1[[#This Row],[Year]]," Q",Table1[[#This Row],[Qtr]]),CONCATENATE(Table1[[#This Row],[Year]],Table1[[#This Row],[Qtr]]))</f>
        <v>2014 Q4</v>
      </c>
      <c r="L51" s="80" t="s">
        <v>748</v>
      </c>
      <c r="M51" s="80" t="s">
        <v>84</v>
      </c>
      <c r="N51" s="80">
        <v>1</v>
      </c>
      <c r="O51" s="80"/>
      <c r="P51" s="80"/>
      <c r="Q51" s="82"/>
      <c r="R51" s="82"/>
      <c r="S51" s="80" t="str">
        <f t="shared" si="3"/>
        <v>Unknown</v>
      </c>
      <c r="T51" s="82"/>
      <c r="U51" s="82"/>
      <c r="V51" s="82">
        <f>W51/10.764</f>
        <v>6224.4518766257897</v>
      </c>
      <c r="W51" s="82">
        <v>67000</v>
      </c>
      <c r="X51" s="82">
        <f>Y51/10.764</f>
        <v>4357.1163136380528</v>
      </c>
      <c r="Y51" s="82">
        <f>W51*0.7</f>
        <v>46900</v>
      </c>
      <c r="Z51" s="82"/>
      <c r="AA51" s="82"/>
      <c r="AB51" s="82"/>
      <c r="AC51" s="82">
        <f>IF(Table1[[#This Row],[For Sale or For Lease?]]="For Lease",Table1[[#This Row],[Office UFA (Net) (sf)]]-Table1[[#This Row],[Pre-leased space (Usable FA) (sf)]]-Table1[[#This Row],[Pre-sold (Usable FA) (sf)]]-Table1[[#This Row],[Self-use space (Usable FA) (sf)]],0)</f>
        <v>0</v>
      </c>
      <c r="AD51" s="82">
        <f>IF(Table1[[#This Row],[For Sale or For Lease?]]="For Sale",Table1[[#This Row],[Office UFA (Net) (sf)]]-Table1[[#This Row],[Pre-leased space (Usable FA) (sf)]]-Table1[[#This Row],[Pre-sold (Usable FA) (sf)]]-Table1[[#This Row],[Self-use space (Usable FA) (sf)]],0)</f>
        <v>0</v>
      </c>
      <c r="AE51" s="82">
        <f>IF(Table1[[#This Row],[For Sale or For Lease?]]="Uncertain",Table1[[#This Row],[Office UFA (Net) (sf)]]-Table1[[#This Row],[Pre-leased space (Usable FA) (sf)]]-Table1[[#This Row],[Pre-sold (Usable FA) (sf)]]-Table1[[#This Row],[Self-use space (Usable FA) (sf)]],0)</f>
        <v>0</v>
      </c>
      <c r="AF51" s="86">
        <f>1-SUM(Table1[[#This Row],[Space available for lease (Usable FA) (sf)]:[Space available uncertain of use (Usable FA) (sf)]])/Table1[[#This Row],[Office UFA (Net) (sf)]]</f>
        <v>1</v>
      </c>
      <c r="AG51" s="79"/>
      <c r="AH51" s="84"/>
      <c r="AI51" s="79"/>
      <c r="AJ51" s="83"/>
      <c r="AK51" s="83"/>
      <c r="AL51" s="85" t="s">
        <v>748</v>
      </c>
      <c r="AM51" s="85" t="s">
        <v>681</v>
      </c>
      <c r="AN51" s="79" t="s">
        <v>73</v>
      </c>
      <c r="AO51" s="77"/>
      <c r="AP51" s="77" t="s">
        <v>81</v>
      </c>
      <c r="AQ51" s="77"/>
      <c r="AR51" s="79" t="s">
        <v>1716</v>
      </c>
      <c r="AS51" s="79"/>
      <c r="AT51" s="80"/>
      <c r="AU51" s="80"/>
      <c r="AV51" s="77" t="s">
        <v>2201</v>
      </c>
    </row>
    <row r="52" spans="1:48" ht="15" hidden="1" customHeight="1" x14ac:dyDescent="0.35">
      <c r="A52" s="77"/>
      <c r="B52" s="77" t="s">
        <v>833</v>
      </c>
      <c r="C52" s="77" t="s">
        <v>1181</v>
      </c>
      <c r="D52" s="77"/>
      <c r="E52" s="79" t="s">
        <v>130</v>
      </c>
      <c r="F52" s="77" t="str">
        <f>VLOOKUP(Table1[[#This Row],[CBRE sub-markets]],Reference!$A$2:$B$31,2,FALSE)</f>
        <v>Wong Chuk Hang</v>
      </c>
      <c r="G52" s="77">
        <f>VLOOKUP(Table1[[#This Row],[CBRE sub-markets]],Reference!$A$2:$D$31,3,FALSE)</f>
        <v>5</v>
      </c>
      <c r="H52" s="79" t="str">
        <f>VLOOKUP(Table1[[#This Row],[CBRE sub-markets]],Reference!$A$2:$D$31,4,FALSE)</f>
        <v>Hong Kong Island</v>
      </c>
      <c r="I52" s="80">
        <v>2015</v>
      </c>
      <c r="J52" s="80">
        <v>1</v>
      </c>
      <c r="K52" s="81" t="str">
        <f>IF(ISNUMBER(Table1[[#This Row],[Qtr]]),CONCATENATE(Table1[[#This Row],[Year]]," Q",Table1[[#This Row],[Qtr]]),CONCATENATE(Table1[[#This Row],[Year]],Table1[[#This Row],[Qtr]]))</f>
        <v>2015 Q1</v>
      </c>
      <c r="L52" s="80" t="s">
        <v>748</v>
      </c>
      <c r="M52" s="80" t="s">
        <v>84</v>
      </c>
      <c r="N52" s="80">
        <v>1</v>
      </c>
      <c r="O52" s="80">
        <v>23</v>
      </c>
      <c r="P52" s="80"/>
      <c r="Q52" s="82">
        <v>10254</v>
      </c>
      <c r="R52" s="82">
        <f>Q52*0.75</f>
        <v>7690.5</v>
      </c>
      <c r="S52" s="80" t="str">
        <f t="shared" si="3"/>
        <v>No</v>
      </c>
      <c r="T52" s="82"/>
      <c r="U52" s="82"/>
      <c r="V52" s="82">
        <f>W52/10.764</f>
        <v>22296.544035674473</v>
      </c>
      <c r="W52" s="82">
        <v>240000</v>
      </c>
      <c r="X52" s="82">
        <f>Y52/10.764</f>
        <v>15607.58082497213</v>
      </c>
      <c r="Y52" s="82">
        <f>W52*0.7</f>
        <v>168000</v>
      </c>
      <c r="Z52" s="82"/>
      <c r="AA52" s="82"/>
      <c r="AB52" s="82"/>
      <c r="AC52" s="82">
        <f>IF(Table1[[#This Row],[For Sale or For Lease?]]="For Lease",Table1[[#This Row],[Office UFA (Net) (sf)]]-Table1[[#This Row],[Pre-leased space (Usable FA) (sf)]]-Table1[[#This Row],[Pre-sold (Usable FA) (sf)]]-Table1[[#This Row],[Self-use space (Usable FA) (sf)]],0)</f>
        <v>168000</v>
      </c>
      <c r="AD52" s="82">
        <f>IF(Table1[[#This Row],[For Sale or For Lease?]]="For Sale",Table1[[#This Row],[Office UFA (Net) (sf)]]-Table1[[#This Row],[Pre-leased space (Usable FA) (sf)]]-Table1[[#This Row],[Pre-sold (Usable FA) (sf)]]-Table1[[#This Row],[Self-use space (Usable FA) (sf)]],0)</f>
        <v>0</v>
      </c>
      <c r="AE52" s="82">
        <f>IF(Table1[[#This Row],[For Sale or For Lease?]]="Uncertain",Table1[[#This Row],[Office UFA (Net) (sf)]]-Table1[[#This Row],[Pre-leased space (Usable FA) (sf)]]-Table1[[#This Row],[Pre-sold (Usable FA) (sf)]]-Table1[[#This Row],[Self-use space (Usable FA) (sf)]],0)</f>
        <v>0</v>
      </c>
      <c r="AF52" s="86">
        <f>1-SUM(Table1[[#This Row],[Space available for lease (Usable FA) (sf)]:[Space available uncertain of use (Usable FA) (sf)]])/Table1[[#This Row],[Office UFA (Net) (sf)]]</f>
        <v>0</v>
      </c>
      <c r="AG52" s="79" t="s">
        <v>89</v>
      </c>
      <c r="AH52" s="84"/>
      <c r="AI52" s="79" t="s">
        <v>836</v>
      </c>
      <c r="AJ52" s="83">
        <v>41306</v>
      </c>
      <c r="AK52" s="83">
        <v>42125</v>
      </c>
      <c r="AL52" s="85" t="s">
        <v>748</v>
      </c>
      <c r="AM52" s="85" t="s">
        <v>835</v>
      </c>
      <c r="AN52" s="79" t="s">
        <v>73</v>
      </c>
      <c r="AO52" s="77" t="s">
        <v>705</v>
      </c>
      <c r="AP52" s="77" t="s">
        <v>81</v>
      </c>
      <c r="AQ52" s="77" t="s">
        <v>837</v>
      </c>
      <c r="AR52" s="79" t="s">
        <v>1717</v>
      </c>
      <c r="AS52" s="79"/>
      <c r="AT52" s="80"/>
      <c r="AU52" s="80"/>
      <c r="AV52" s="77" t="s">
        <v>2202</v>
      </c>
    </row>
    <row r="53" spans="1:48" ht="15" hidden="1" customHeight="1" x14ac:dyDescent="0.35">
      <c r="A53" s="77" t="s">
        <v>1200</v>
      </c>
      <c r="B53" s="77" t="s">
        <v>1209</v>
      </c>
      <c r="C53" s="77" t="s">
        <v>1078</v>
      </c>
      <c r="D53" s="77"/>
      <c r="E53" s="79" t="s">
        <v>12</v>
      </c>
      <c r="F53" s="77" t="str">
        <f>VLOOKUP(Table1[[#This Row],[CBRE sub-markets]],Reference!$A$2:$B$31,2,FALSE)</f>
        <v>Kowloon Others</v>
      </c>
      <c r="G53" s="77">
        <f>VLOOKUP(Table1[[#This Row],[CBRE sub-markets]],Reference!$A$2:$D$31,3,FALSE)</f>
        <v>8</v>
      </c>
      <c r="H53" s="79" t="str">
        <f>VLOOKUP(Table1[[#This Row],[CBRE sub-markets]],Reference!$A$2:$D$31,4,FALSE)</f>
        <v>Kowloon</v>
      </c>
      <c r="I53" s="80">
        <v>2015</v>
      </c>
      <c r="J53" s="80">
        <v>1</v>
      </c>
      <c r="K53" s="81" t="str">
        <f>IF(ISNUMBER(Table1[[#This Row],[Qtr]]),CONCATENATE(Table1[[#This Row],[Year]]," Q",Table1[[#This Row],[Qtr]]),CONCATENATE(Table1[[#This Row],[Year]],Table1[[#This Row],[Qtr]]))</f>
        <v>2015 Q1</v>
      </c>
      <c r="L53" s="80" t="s">
        <v>20</v>
      </c>
      <c r="M53" s="80" t="s">
        <v>84</v>
      </c>
      <c r="N53" s="80">
        <v>1</v>
      </c>
      <c r="O53" s="80" t="s">
        <v>1056</v>
      </c>
      <c r="P53" s="80"/>
      <c r="Q53" s="82">
        <f>W53/24</f>
        <v>7915.4419500000004</v>
      </c>
      <c r="R53" s="82">
        <f>Table1[[#This Row],[Office UFA (Net) (sf)]]/24</f>
        <v>4803.583333333333</v>
      </c>
      <c r="S53" s="80" t="str">
        <f t="shared" si="3"/>
        <v>No</v>
      </c>
      <c r="T53" s="82"/>
      <c r="U53" s="82"/>
      <c r="V53" s="82">
        <v>17648.7</v>
      </c>
      <c r="W53" s="82">
        <f>V53*10.764</f>
        <v>189970.60680000001</v>
      </c>
      <c r="X53" s="82">
        <v>11088.2</v>
      </c>
      <c r="Y53" s="82">
        <v>115286</v>
      </c>
      <c r="Z53" s="82"/>
      <c r="AA53" s="82"/>
      <c r="AB53" s="82">
        <f>Table1[[#This Row],[Office UFA (Net) (sf)]]</f>
        <v>115286</v>
      </c>
      <c r="AC53" s="82">
        <f>IF(Table1[[#This Row],[For Sale or For Lease?]]="For Lease",Table1[[#This Row],[Office UFA (Net) (sf)]]-Table1[[#This Row],[Pre-leased space (Usable FA) (sf)]]-Table1[[#This Row],[Pre-sold (Usable FA) (sf)]]-Table1[[#This Row],[Self-use space (Usable FA) (sf)]],0)</f>
        <v>0</v>
      </c>
      <c r="AD53" s="82">
        <f>IF(Table1[[#This Row],[For Sale or For Lease?]]="For Sale",Table1[[#This Row],[Office UFA (Net) (sf)]]-Table1[[#This Row],[Pre-leased space (Usable FA) (sf)]]-Table1[[#This Row],[Pre-sold (Usable FA) (sf)]]-Table1[[#This Row],[Self-use space (Usable FA) (sf)]],0)</f>
        <v>0</v>
      </c>
      <c r="AE53" s="82">
        <f>IF(Table1[[#This Row],[For Sale or For Lease?]]="Uncertain",Table1[[#This Row],[Office UFA (Net) (sf)]]-Table1[[#This Row],[Pre-leased space (Usable FA) (sf)]]-Table1[[#This Row],[Pre-sold (Usable FA) (sf)]]-Table1[[#This Row],[Self-use space (Usable FA) (sf)]],0)</f>
        <v>0</v>
      </c>
      <c r="AF53" s="86">
        <f>1-SUM(Table1[[#This Row],[Space available for lease (Usable FA) (sf)]:[Space available uncertain of use (Usable FA) (sf)]])/Table1[[#This Row],[Office UFA (Net) (sf)]]</f>
        <v>1</v>
      </c>
      <c r="AG53" s="79" t="s">
        <v>89</v>
      </c>
      <c r="AH53" s="84" t="s">
        <v>103</v>
      </c>
      <c r="AI53" s="79" t="s">
        <v>92</v>
      </c>
      <c r="AJ53" s="83">
        <v>42064</v>
      </c>
      <c r="AK53" s="83">
        <v>42144</v>
      </c>
      <c r="AL53" s="85" t="s">
        <v>30</v>
      </c>
      <c r="AM53" s="85" t="s">
        <v>349</v>
      </c>
      <c r="AN53" s="79" t="s">
        <v>73</v>
      </c>
      <c r="AO53" s="77" t="s">
        <v>705</v>
      </c>
      <c r="AP53" s="77" t="s">
        <v>81</v>
      </c>
      <c r="AQ53" s="77" t="s">
        <v>1210</v>
      </c>
      <c r="AR53" s="79" t="s">
        <v>2353</v>
      </c>
      <c r="AS53" s="79"/>
      <c r="AT53" s="80"/>
      <c r="AU53" s="80"/>
      <c r="AV53" s="77"/>
    </row>
    <row r="54" spans="1:48" ht="15" hidden="1" customHeight="1" x14ac:dyDescent="0.35">
      <c r="A54" s="77"/>
      <c r="B54" s="77" t="s">
        <v>1139</v>
      </c>
      <c r="C54" s="77" t="s">
        <v>1139</v>
      </c>
      <c r="D54" s="77"/>
      <c r="E54" s="79" t="s">
        <v>50</v>
      </c>
      <c r="F54" s="77" t="str">
        <f>VLOOKUP(Table1[[#This Row],[CBRE sub-markets]],Reference!$A$2:$B$31,2,FALSE)</f>
        <v>Kowloon East</v>
      </c>
      <c r="G54" s="77">
        <f>VLOOKUP(Table1[[#This Row],[CBRE sub-markets]],Reference!$A$2:$D$31,3,FALSE)</f>
        <v>7</v>
      </c>
      <c r="H54" s="79" t="str">
        <f>VLOOKUP(Table1[[#This Row],[CBRE sub-markets]],Reference!$A$2:$D$31,4,FALSE)</f>
        <v>Kowloon</v>
      </c>
      <c r="I54" s="80">
        <v>2015</v>
      </c>
      <c r="J54" s="80">
        <v>1</v>
      </c>
      <c r="K54" s="81" t="str">
        <f>IF(ISNUMBER(Table1[[#This Row],[Qtr]]),CONCATENATE(Table1[[#This Row],[Year]]," Q",Table1[[#This Row],[Qtr]]),CONCATENATE(Table1[[#This Row],[Year]],Table1[[#This Row],[Qtr]]))</f>
        <v>2015 Q1</v>
      </c>
      <c r="L54" s="80" t="s">
        <v>20</v>
      </c>
      <c r="M54" s="80" t="s">
        <v>84</v>
      </c>
      <c r="N54" s="80">
        <v>1</v>
      </c>
      <c r="O54" s="80">
        <v>37</v>
      </c>
      <c r="P54" s="80"/>
      <c r="Q54" s="82">
        <f>+W54/O54</f>
        <v>7200.7959891891887</v>
      </c>
      <c r="R54" s="82">
        <f>Table1[[#This Row],[Office UFA (Net) (sf)]]/Table1[[#This Row],[No. of Storeys]]</f>
        <v>5597.5418270270266</v>
      </c>
      <c r="S54" s="80" t="str">
        <f t="shared" si="3"/>
        <v>No</v>
      </c>
      <c r="T54" s="82"/>
      <c r="U54" s="82"/>
      <c r="V54" s="82">
        <v>24751.9</v>
      </c>
      <c r="W54" s="82">
        <f>+V54*10.764</f>
        <v>266429.45159999997</v>
      </c>
      <c r="X54" s="82">
        <v>19240.900000000001</v>
      </c>
      <c r="Y54" s="82">
        <f>X54*10.764</f>
        <v>207109.04759999999</v>
      </c>
      <c r="Z54" s="82"/>
      <c r="AA54" s="82"/>
      <c r="AB54" s="82"/>
      <c r="AC54" s="82">
        <f>IF(Table1[[#This Row],[For Sale or For Lease?]]="For Lease",Table1[[#This Row],[Office UFA (Net) (sf)]]-Table1[[#This Row],[Pre-leased space (Usable FA) (sf)]]-Table1[[#This Row],[Pre-sold (Usable FA) (sf)]]-Table1[[#This Row],[Self-use space (Usable FA) (sf)]],0)</f>
        <v>0</v>
      </c>
      <c r="AD54" s="82">
        <f>IF(Table1[[#This Row],[For Sale or For Lease?]]="For Sale",Table1[[#This Row],[Office UFA (Net) (sf)]]-Table1[[#This Row],[Pre-leased space (Usable FA) (sf)]]-Table1[[#This Row],[Pre-sold (Usable FA) (sf)]]-Table1[[#This Row],[Self-use space (Usable FA) (sf)]],0)</f>
        <v>207109.04759999999</v>
      </c>
      <c r="AE54" s="82">
        <f>IF(Table1[[#This Row],[For Sale or For Lease?]]="Uncertain",Table1[[#This Row],[Office UFA (Net) (sf)]]-Table1[[#This Row],[Pre-leased space (Usable FA) (sf)]]-Table1[[#This Row],[Pre-sold (Usable FA) (sf)]]-Table1[[#This Row],[Self-use space (Usable FA) (sf)]],0)</f>
        <v>0</v>
      </c>
      <c r="AF54" s="86">
        <f>1-SUM(Table1[[#This Row],[Space available for lease (Usable FA) (sf)]:[Space available uncertain of use (Usable FA) (sf)]])/Table1[[#This Row],[Office UFA (Net) (sf)]]</f>
        <v>0</v>
      </c>
      <c r="AG54" s="79" t="s">
        <v>89</v>
      </c>
      <c r="AH54" s="84" t="s">
        <v>103</v>
      </c>
      <c r="AI54" s="79" t="s">
        <v>92</v>
      </c>
      <c r="AJ54" s="83">
        <v>42036</v>
      </c>
      <c r="AK54" s="83">
        <v>42116</v>
      </c>
      <c r="AL54" s="85" t="s">
        <v>30</v>
      </c>
      <c r="AM54" s="85" t="s">
        <v>501</v>
      </c>
      <c r="AN54" s="79" t="s">
        <v>73</v>
      </c>
      <c r="AO54" s="77" t="s">
        <v>704</v>
      </c>
      <c r="AP54" s="77" t="s">
        <v>82</v>
      </c>
      <c r="AQ54" s="77" t="s">
        <v>1198</v>
      </c>
      <c r="AR54" s="79" t="s">
        <v>2424</v>
      </c>
      <c r="AS54" s="79"/>
      <c r="AT54" s="80"/>
      <c r="AU54" s="80"/>
      <c r="AV54" s="77"/>
    </row>
    <row r="55" spans="1:48" ht="15" hidden="1" customHeight="1" x14ac:dyDescent="0.35">
      <c r="A55" s="77"/>
      <c r="B55" s="77" t="s">
        <v>1052</v>
      </c>
      <c r="C55" s="77" t="s">
        <v>742</v>
      </c>
      <c r="D55" s="77"/>
      <c r="E55" s="79" t="s">
        <v>50</v>
      </c>
      <c r="F55" s="77" t="str">
        <f>VLOOKUP(Table1[[#This Row],[CBRE sub-markets]],Reference!$A$2:$B$31,2,FALSE)</f>
        <v>Kowloon East</v>
      </c>
      <c r="G55" s="77">
        <f>VLOOKUP(Table1[[#This Row],[CBRE sub-markets]],Reference!$A$2:$D$31,3,FALSE)</f>
        <v>7</v>
      </c>
      <c r="H55" s="79" t="str">
        <f>VLOOKUP(Table1[[#This Row],[CBRE sub-markets]],Reference!$A$2:$D$31,4,FALSE)</f>
        <v>Kowloon</v>
      </c>
      <c r="I55" s="80">
        <v>2015</v>
      </c>
      <c r="J55" s="80">
        <v>1</v>
      </c>
      <c r="K55" s="81" t="str">
        <f>IF(ISNUMBER(Table1[[#This Row],[Qtr]]),CONCATENATE(Table1[[#This Row],[Year]]," Q",Table1[[#This Row],[Qtr]]),CONCATENATE(Table1[[#This Row],[Year]],Table1[[#This Row],[Qtr]]))</f>
        <v>2015 Q1</v>
      </c>
      <c r="L55" s="80" t="s">
        <v>20</v>
      </c>
      <c r="M55" s="80" t="s">
        <v>84</v>
      </c>
      <c r="N55" s="80">
        <v>1</v>
      </c>
      <c r="O55" s="80">
        <v>35</v>
      </c>
      <c r="P55" s="80">
        <v>18</v>
      </c>
      <c r="Q55" s="82">
        <f>2296+1600+1187+1459+1329+1445+1715+1908+2061</f>
        <v>15000</v>
      </c>
      <c r="R55" s="82">
        <f>1561+1088+807+992+904+982+1166+1298+1402</f>
        <v>10200</v>
      </c>
      <c r="S55" s="80" t="str">
        <f t="shared" si="3"/>
        <v>No</v>
      </c>
      <c r="T55" s="82"/>
      <c r="U55" s="82"/>
      <c r="V55" s="82">
        <f>Table1[[#This Row],[Office GFA (sf)]]/10.764</f>
        <v>25286.696395392049</v>
      </c>
      <c r="W55" s="82">
        <f>(2296+1600+1187+1459+1329+1445+1715+1908+1487)+(2296+1600+1187+1459+1329+1445+1715+1908+1503)+(2296+1600+1187+1459+1329+1445+1715+1908+2061)*8+(2296+1590+1151+1418+1294+1439+3627+2062)*2+(2296+1763+1201+1449+1331+1437+3627+2490)*3+15594*3</f>
        <v>272186</v>
      </c>
      <c r="X55" s="82">
        <f>Y55/10.764</f>
        <v>17540.598290598293</v>
      </c>
      <c r="Y55" s="82">
        <f>(1561+1088+807+992+904+982+1166+1298+1011)+(1561+1088+807+992+904+982+1166+1298+1023)+(1561+1088+807+992+904+982+1166+1298+1402)*8+(1561+1081+783+964+880+978+2502+1402)*2+(1561+1199+817+985+905+977+2502+1693)*3+11786*3</f>
        <v>188807</v>
      </c>
      <c r="Z55" s="82"/>
      <c r="AA55" s="82">
        <f>1561+1298+1561+1088+807+992+904+982+1088+982+1166+1298+2502+2502+2502+1693+2502+977+2502</f>
        <v>28907</v>
      </c>
      <c r="AB55" s="82"/>
      <c r="AC55" s="82">
        <f>IF(Table1[[#This Row],[For Sale or For Lease?]]="For Lease",Table1[[#This Row],[Office UFA (Net) (sf)]]-Table1[[#This Row],[Pre-leased space (Usable FA) (sf)]]-Table1[[#This Row],[Pre-sold (Usable FA) (sf)]]-Table1[[#This Row],[Self-use space (Usable FA) (sf)]],0)</f>
        <v>0</v>
      </c>
      <c r="AD55" s="82">
        <f>IF(Table1[[#This Row],[For Sale or For Lease?]]="For Sale",Table1[[#This Row],[Office UFA (Net) (sf)]]-Table1[[#This Row],[Pre-leased space (Usable FA) (sf)]]-Table1[[#This Row],[Pre-sold (Usable FA) (sf)]]-Table1[[#This Row],[Self-use space (Usable FA) (sf)]],0)</f>
        <v>159900</v>
      </c>
      <c r="AE55" s="82">
        <f>IF(Table1[[#This Row],[For Sale or For Lease?]]="Uncertain",Table1[[#This Row],[Office UFA (Net) (sf)]]-Table1[[#This Row],[Pre-leased space (Usable FA) (sf)]]-Table1[[#This Row],[Pre-sold (Usable FA) (sf)]]-Table1[[#This Row],[Self-use space (Usable FA) (sf)]],0)</f>
        <v>0</v>
      </c>
      <c r="AF55" s="86">
        <f>1-SUM(Table1[[#This Row],[Space available for lease (Usable FA) (sf)]:[Space available uncertain of use (Usable FA) (sf)]])/Table1[[#This Row],[Office UFA (Net) (sf)]]</f>
        <v>0.1531034336650654</v>
      </c>
      <c r="AG55" s="79" t="s">
        <v>89</v>
      </c>
      <c r="AH55" s="84" t="s">
        <v>103</v>
      </c>
      <c r="AI55" s="79" t="s">
        <v>92</v>
      </c>
      <c r="AJ55" s="83">
        <v>42005</v>
      </c>
      <c r="AK55" s="83">
        <v>42116</v>
      </c>
      <c r="AL55" s="85" t="s">
        <v>32</v>
      </c>
      <c r="AM55" s="85" t="s">
        <v>501</v>
      </c>
      <c r="AN55" s="79" t="s">
        <v>73</v>
      </c>
      <c r="AO55" s="77" t="s">
        <v>704</v>
      </c>
      <c r="AP55" s="77" t="s">
        <v>82</v>
      </c>
      <c r="AQ55" s="77" t="s">
        <v>1197</v>
      </c>
      <c r="AR55" s="79" t="s">
        <v>2425</v>
      </c>
      <c r="AS55" s="79"/>
      <c r="AT55" s="80"/>
      <c r="AU55" s="80"/>
      <c r="AV55" s="77"/>
    </row>
    <row r="56" spans="1:48" ht="15" hidden="1" customHeight="1" x14ac:dyDescent="0.35">
      <c r="A56" s="77"/>
      <c r="B56" s="77" t="s">
        <v>1099</v>
      </c>
      <c r="C56" s="77" t="s">
        <v>1183</v>
      </c>
      <c r="D56" s="77"/>
      <c r="E56" s="79" t="s">
        <v>50</v>
      </c>
      <c r="F56" s="77" t="str">
        <f>VLOOKUP(Table1[[#This Row],[CBRE sub-markets]],Reference!$A$2:$B$31,2,FALSE)</f>
        <v>Kowloon East</v>
      </c>
      <c r="G56" s="77">
        <f>VLOOKUP(Table1[[#This Row],[CBRE sub-markets]],Reference!$A$2:$D$31,3,FALSE)</f>
        <v>7</v>
      </c>
      <c r="H56" s="79" t="str">
        <f>VLOOKUP(Table1[[#This Row],[CBRE sub-markets]],Reference!$A$2:$D$31,4,FALSE)</f>
        <v>Kowloon</v>
      </c>
      <c r="I56" s="80">
        <v>2015</v>
      </c>
      <c r="J56" s="80">
        <v>1</v>
      </c>
      <c r="K56" s="81" t="str">
        <f>IF(ISNUMBER(Table1[[#This Row],[Qtr]]),CONCATENATE(Table1[[#This Row],[Year]]," Q",Table1[[#This Row],[Qtr]]),CONCATENATE(Table1[[#This Row],[Year]],Table1[[#This Row],[Qtr]]))</f>
        <v>2015 Q1</v>
      </c>
      <c r="L56" s="80" t="s">
        <v>748</v>
      </c>
      <c r="M56" s="80" t="s">
        <v>84</v>
      </c>
      <c r="N56" s="80">
        <v>1</v>
      </c>
      <c r="O56" s="80"/>
      <c r="P56" s="80"/>
      <c r="Q56" s="82"/>
      <c r="R56" s="82"/>
      <c r="S56" s="80" t="str">
        <f t="shared" si="3"/>
        <v>Unknown</v>
      </c>
      <c r="T56" s="82"/>
      <c r="U56" s="82"/>
      <c r="V56" s="82">
        <f>W56/10.764</f>
        <v>13985.228539576367</v>
      </c>
      <c r="W56" s="82">
        <v>150537</v>
      </c>
      <c r="X56" s="82">
        <f>Y56/10.764</f>
        <v>9789.6599777034553</v>
      </c>
      <c r="Y56" s="82">
        <f>W56*0.7</f>
        <v>105375.9</v>
      </c>
      <c r="Z56" s="82"/>
      <c r="AA56" s="82"/>
      <c r="AB56" s="82"/>
      <c r="AC56" s="82">
        <f>IF(Table1[[#This Row],[For Sale or For Lease?]]="For Lease",Table1[[#This Row],[Office UFA (Net) (sf)]]-Table1[[#This Row],[Pre-leased space (Usable FA) (sf)]]-Table1[[#This Row],[Pre-sold (Usable FA) (sf)]]-Table1[[#This Row],[Self-use space (Usable FA) (sf)]],0)</f>
        <v>0</v>
      </c>
      <c r="AD56" s="82">
        <f>IF(Table1[[#This Row],[For Sale or For Lease?]]="For Sale",Table1[[#This Row],[Office UFA (Net) (sf)]]-Table1[[#This Row],[Pre-leased space (Usable FA) (sf)]]-Table1[[#This Row],[Pre-sold (Usable FA) (sf)]]-Table1[[#This Row],[Self-use space (Usable FA) (sf)]],0)</f>
        <v>0</v>
      </c>
      <c r="AE56" s="82">
        <f>IF(Table1[[#This Row],[For Sale or For Lease?]]="Uncertain",Table1[[#This Row],[Office UFA (Net) (sf)]]-Table1[[#This Row],[Pre-leased space (Usable FA) (sf)]]-Table1[[#This Row],[Pre-sold (Usable FA) (sf)]]-Table1[[#This Row],[Self-use space (Usable FA) (sf)]],0)</f>
        <v>0</v>
      </c>
      <c r="AF56" s="86">
        <f>1-SUM(Table1[[#This Row],[Space available for lease (Usable FA) (sf)]:[Space available uncertain of use (Usable FA) (sf)]])/Table1[[#This Row],[Office UFA (Net) (sf)]]</f>
        <v>1</v>
      </c>
      <c r="AG56" s="79"/>
      <c r="AH56" s="84"/>
      <c r="AI56" s="79"/>
      <c r="AJ56" s="83"/>
      <c r="AK56" s="83"/>
      <c r="AL56" s="85" t="s">
        <v>748</v>
      </c>
      <c r="AM56" s="85" t="s">
        <v>1103</v>
      </c>
      <c r="AN56" s="79" t="s">
        <v>73</v>
      </c>
      <c r="AO56" s="77"/>
      <c r="AP56" s="77" t="s">
        <v>81</v>
      </c>
      <c r="AQ56" s="77"/>
      <c r="AR56" s="79" t="s">
        <v>2407</v>
      </c>
      <c r="AS56" s="79"/>
      <c r="AT56" s="80"/>
      <c r="AU56" s="80"/>
      <c r="AV56" s="77" t="s">
        <v>2204</v>
      </c>
    </row>
    <row r="57" spans="1:48" ht="15" hidden="1" customHeight="1" x14ac:dyDescent="0.35">
      <c r="A57" s="77"/>
      <c r="B57" s="77" t="s">
        <v>1077</v>
      </c>
      <c r="C57" s="77" t="s">
        <v>1175</v>
      </c>
      <c r="D57" s="77"/>
      <c r="E57" s="79" t="s">
        <v>15</v>
      </c>
      <c r="F57" s="77" t="str">
        <f>VLOOKUP(Table1[[#This Row],[CBRE sub-markets]],Reference!$A$2:$B$31,2,FALSE)</f>
        <v>New Territories</v>
      </c>
      <c r="G57" s="77">
        <f>VLOOKUP(Table1[[#This Row],[CBRE sub-markets]],Reference!$A$2:$D$31,3,FALSE)</f>
        <v>9</v>
      </c>
      <c r="H57" s="79" t="str">
        <f>VLOOKUP(Table1[[#This Row],[CBRE sub-markets]],Reference!$A$2:$D$31,4,FALSE)</f>
        <v>New Territories</v>
      </c>
      <c r="I57" s="80">
        <v>2015</v>
      </c>
      <c r="J57" s="80">
        <v>1</v>
      </c>
      <c r="K57" s="81" t="str">
        <f>IF(ISNUMBER(Table1[[#This Row],[Qtr]]),CONCATENATE(Table1[[#This Row],[Year]]," Q",Table1[[#This Row],[Qtr]]),CONCATENATE(Table1[[#This Row],[Year]],Table1[[#This Row],[Qtr]]))</f>
        <v>2015 Q1</v>
      </c>
      <c r="L57" s="80" t="s">
        <v>748</v>
      </c>
      <c r="M57" s="80" t="s">
        <v>84</v>
      </c>
      <c r="N57" s="80">
        <v>1</v>
      </c>
      <c r="O57" s="80">
        <v>13</v>
      </c>
      <c r="P57" s="80"/>
      <c r="Q57" s="82">
        <f>W57/O57</f>
        <v>23076.923076923078</v>
      </c>
      <c r="R57" s="82">
        <f>Q57*0.75</f>
        <v>17307.692307692309</v>
      </c>
      <c r="S57" s="80" t="str">
        <f t="shared" si="3"/>
        <v>Yes</v>
      </c>
      <c r="T57" s="82"/>
      <c r="U57" s="82"/>
      <c r="V57" s="82">
        <f>W57/10.764</f>
        <v>27870.680044593089</v>
      </c>
      <c r="W57" s="82">
        <v>300000</v>
      </c>
      <c r="X57" s="82">
        <f>V57*0.75</f>
        <v>20903.010033444818</v>
      </c>
      <c r="Y57" s="82">
        <f>X57*10.764</f>
        <v>225000</v>
      </c>
      <c r="Z57" s="82"/>
      <c r="AA57" s="82"/>
      <c r="AB57" s="82"/>
      <c r="AC57" s="82">
        <f>IF(Table1[[#This Row],[For Sale or For Lease?]]="For Lease",Table1[[#This Row],[Office UFA (Net) (sf)]]-Table1[[#This Row],[Pre-leased space (Usable FA) (sf)]]-Table1[[#This Row],[Pre-sold (Usable FA) (sf)]]-Table1[[#This Row],[Self-use space (Usable FA) (sf)]],0)</f>
        <v>225000</v>
      </c>
      <c r="AD57" s="82">
        <f>IF(Table1[[#This Row],[For Sale or For Lease?]]="For Sale",Table1[[#This Row],[Office UFA (Net) (sf)]]-Table1[[#This Row],[Pre-leased space (Usable FA) (sf)]]-Table1[[#This Row],[Pre-sold (Usable FA) (sf)]]-Table1[[#This Row],[Self-use space (Usable FA) (sf)]],0)</f>
        <v>0</v>
      </c>
      <c r="AE57" s="82">
        <f>IF(Table1[[#This Row],[For Sale or For Lease?]]="Uncertain",Table1[[#This Row],[Office UFA (Net) (sf)]]-Table1[[#This Row],[Pre-leased space (Usable FA) (sf)]]-Table1[[#This Row],[Pre-sold (Usable FA) (sf)]]-Table1[[#This Row],[Self-use space (Usable FA) (sf)]],0)</f>
        <v>0</v>
      </c>
      <c r="AF57" s="86">
        <f>1-SUM(Table1[[#This Row],[Space available for lease (Usable FA) (sf)]:[Space available uncertain of use (Usable FA) (sf)]])/Table1[[#This Row],[Office UFA (Net) (sf)]]</f>
        <v>0</v>
      </c>
      <c r="AG57" s="79"/>
      <c r="AH57" s="84"/>
      <c r="AI57" s="79"/>
      <c r="AJ57" s="83"/>
      <c r="AK57" s="83">
        <v>41429</v>
      </c>
      <c r="AL57" s="85" t="s">
        <v>748</v>
      </c>
      <c r="AM57" s="85" t="s">
        <v>1076</v>
      </c>
      <c r="AN57" s="79" t="s">
        <v>73</v>
      </c>
      <c r="AO57" s="77" t="s">
        <v>705</v>
      </c>
      <c r="AP57" s="77" t="s">
        <v>81</v>
      </c>
      <c r="AQ57" s="77"/>
      <c r="AR57" s="79" t="s">
        <v>2408</v>
      </c>
      <c r="AS57" s="79"/>
      <c r="AT57" s="80"/>
      <c r="AU57" s="80"/>
      <c r="AV57" s="77" t="s">
        <v>2206</v>
      </c>
    </row>
    <row r="58" spans="1:48" ht="15" hidden="1" customHeight="1" x14ac:dyDescent="0.35">
      <c r="A58" s="77"/>
      <c r="B58" s="77" t="s">
        <v>1051</v>
      </c>
      <c r="C58" s="77" t="s">
        <v>552</v>
      </c>
      <c r="D58" s="77"/>
      <c r="E58" s="79" t="s">
        <v>130</v>
      </c>
      <c r="F58" s="77" t="str">
        <f>VLOOKUP(Table1[[#This Row],[CBRE sub-markets]],Reference!$A$2:$B$31,2,FALSE)</f>
        <v>Wong Chuk Hang</v>
      </c>
      <c r="G58" s="77">
        <f>VLOOKUP(Table1[[#This Row],[CBRE sub-markets]],Reference!$A$2:$D$31,3,FALSE)</f>
        <v>5</v>
      </c>
      <c r="H58" s="79" t="str">
        <f>VLOOKUP(Table1[[#This Row],[CBRE sub-markets]],Reference!$A$2:$D$31,4,FALSE)</f>
        <v>Hong Kong Island</v>
      </c>
      <c r="I58" s="80">
        <v>2015</v>
      </c>
      <c r="J58" s="80">
        <v>2</v>
      </c>
      <c r="K58" s="81" t="str">
        <f>IF(ISNUMBER(Table1[[#This Row],[Qtr]]),CONCATENATE(Table1[[#This Row],[Year]]," Q",Table1[[#This Row],[Qtr]]),CONCATENATE(Table1[[#This Row],[Year]],Table1[[#This Row],[Qtr]]))</f>
        <v>2015 Q2</v>
      </c>
      <c r="L58" s="80" t="s">
        <v>20</v>
      </c>
      <c r="M58" s="80" t="s">
        <v>84</v>
      </c>
      <c r="N58" s="80">
        <v>1</v>
      </c>
      <c r="O58" s="80">
        <v>32</v>
      </c>
      <c r="P58" s="80">
        <v>27</v>
      </c>
      <c r="Q58" s="82">
        <v>5225</v>
      </c>
      <c r="R58" s="82">
        <v>3135</v>
      </c>
      <c r="S58" s="80" t="str">
        <f t="shared" si="3"/>
        <v>No</v>
      </c>
      <c r="T58" s="82"/>
      <c r="U58" s="82"/>
      <c r="V58" s="82">
        <f>W58/10.764</f>
        <v>12756.967670011149</v>
      </c>
      <c r="W58" s="82">
        <v>137316</v>
      </c>
      <c r="X58" s="82">
        <f>Y58/10.764</f>
        <v>7654.2177629134158</v>
      </c>
      <c r="Y58" s="82">
        <v>82390</v>
      </c>
      <c r="Z58" s="82"/>
      <c r="AA58" s="82">
        <f>Y58</f>
        <v>82390</v>
      </c>
      <c r="AB58" s="82"/>
      <c r="AC58" s="82">
        <f>IF(Table1[[#This Row],[For Sale or For Lease?]]="For Lease",Table1[[#This Row],[Office UFA (Net) (sf)]]-Table1[[#This Row],[Pre-leased space (Usable FA) (sf)]]-Table1[[#This Row],[Pre-sold (Usable FA) (sf)]]-Table1[[#This Row],[Self-use space (Usable FA) (sf)]],0)</f>
        <v>0</v>
      </c>
      <c r="AD58" s="82">
        <f>IF(Table1[[#This Row],[For Sale or For Lease?]]="For Sale",Table1[[#This Row],[Office UFA (Net) (sf)]]-Table1[[#This Row],[Pre-leased space (Usable FA) (sf)]]-Table1[[#This Row],[Pre-sold (Usable FA) (sf)]]-Table1[[#This Row],[Self-use space (Usable FA) (sf)]],0)</f>
        <v>0</v>
      </c>
      <c r="AE58" s="82">
        <f>IF(Table1[[#This Row],[For Sale or For Lease?]]="Uncertain",Table1[[#This Row],[Office UFA (Net) (sf)]]-Table1[[#This Row],[Pre-leased space (Usable FA) (sf)]]-Table1[[#This Row],[Pre-sold (Usable FA) (sf)]]-Table1[[#This Row],[Self-use space (Usable FA) (sf)]],0)</f>
        <v>0</v>
      </c>
      <c r="AF58" s="86">
        <f>1-SUM(Table1[[#This Row],[Space available for lease (Usable FA) (sf)]:[Space available uncertain of use (Usable FA) (sf)]])/Table1[[#This Row],[Office UFA (Net) (sf)]]</f>
        <v>1</v>
      </c>
      <c r="AG58" s="79" t="s">
        <v>89</v>
      </c>
      <c r="AH58" s="84" t="s">
        <v>103</v>
      </c>
      <c r="AI58" s="79" t="s">
        <v>92</v>
      </c>
      <c r="AJ58" s="83">
        <v>42125</v>
      </c>
      <c r="AK58" s="83">
        <v>42199</v>
      </c>
      <c r="AL58" s="85" t="s">
        <v>30</v>
      </c>
      <c r="AM58" s="85" t="s">
        <v>114</v>
      </c>
      <c r="AN58" s="79" t="s">
        <v>73</v>
      </c>
      <c r="AO58" s="77" t="s">
        <v>704</v>
      </c>
      <c r="AP58" s="77" t="s">
        <v>82</v>
      </c>
      <c r="AQ58" s="77" t="s">
        <v>1073</v>
      </c>
      <c r="AR58" s="79" t="s">
        <v>2350</v>
      </c>
      <c r="AS58" s="79"/>
      <c r="AT58" s="80"/>
      <c r="AU58" s="80"/>
      <c r="AV58" s="77"/>
    </row>
    <row r="59" spans="1:48" ht="15" hidden="1" customHeight="1" x14ac:dyDescent="0.35">
      <c r="A59" s="77"/>
      <c r="B59" s="77" t="s">
        <v>782</v>
      </c>
      <c r="C59" s="77" t="s">
        <v>1174</v>
      </c>
      <c r="D59" s="77"/>
      <c r="E59" s="79" t="s">
        <v>50</v>
      </c>
      <c r="F59" s="77" t="str">
        <f>VLOOKUP(Table1[[#This Row],[CBRE sub-markets]],Reference!$A$2:$B$31,2,FALSE)</f>
        <v>Kowloon East</v>
      </c>
      <c r="G59" s="77">
        <f>VLOOKUP(Table1[[#This Row],[CBRE sub-markets]],Reference!$A$2:$D$31,3,FALSE)</f>
        <v>7</v>
      </c>
      <c r="H59" s="79" t="str">
        <f>VLOOKUP(Table1[[#This Row],[CBRE sub-markets]],Reference!$A$2:$D$31,4,FALSE)</f>
        <v>Kowloon</v>
      </c>
      <c r="I59" s="80">
        <v>2015</v>
      </c>
      <c r="J59" s="80">
        <v>2</v>
      </c>
      <c r="K59" s="81" t="str">
        <f>IF(ISNUMBER(Table1[[#This Row],[Qtr]]),CONCATENATE(Table1[[#This Row],[Year]]," Q",Table1[[#This Row],[Qtr]]),CONCATENATE(Table1[[#This Row],[Year]],Table1[[#This Row],[Qtr]]))</f>
        <v>2015 Q2</v>
      </c>
      <c r="L59" s="80" t="s">
        <v>748</v>
      </c>
      <c r="M59" s="80" t="s">
        <v>84</v>
      </c>
      <c r="N59" s="80">
        <v>1</v>
      </c>
      <c r="O59" s="80">
        <v>12</v>
      </c>
      <c r="P59" s="80"/>
      <c r="Q59" s="82">
        <f>W59/O59</f>
        <v>17185.416666666668</v>
      </c>
      <c r="R59" s="82">
        <f>Q59*0.75</f>
        <v>12889.0625</v>
      </c>
      <c r="S59" s="80" t="str">
        <f t="shared" si="3"/>
        <v>No</v>
      </c>
      <c r="T59" s="82"/>
      <c r="U59" s="82"/>
      <c r="V59" s="82">
        <f>W59/10.764</f>
        <v>19158.769973987368</v>
      </c>
      <c r="W59" s="82">
        <v>206225</v>
      </c>
      <c r="X59" s="82">
        <f>V59*0.75</f>
        <v>14369.077480490527</v>
      </c>
      <c r="Y59" s="82">
        <f>X59*10.764</f>
        <v>154668.75000000003</v>
      </c>
      <c r="Z59" s="82"/>
      <c r="AA59" s="82"/>
      <c r="AB59" s="82"/>
      <c r="AC59" s="82">
        <f>IF(Table1[[#This Row],[For Sale or For Lease?]]="For Lease",Table1[[#This Row],[Office UFA (Net) (sf)]]-Table1[[#This Row],[Pre-leased space (Usable FA) (sf)]]-Table1[[#This Row],[Pre-sold (Usable FA) (sf)]]-Table1[[#This Row],[Self-use space (Usable FA) (sf)]],0)</f>
        <v>154668.75000000003</v>
      </c>
      <c r="AD59" s="82">
        <f>IF(Table1[[#This Row],[For Sale or For Lease?]]="For Sale",Table1[[#This Row],[Office UFA (Net) (sf)]]-Table1[[#This Row],[Pre-leased space (Usable FA) (sf)]]-Table1[[#This Row],[Pre-sold (Usable FA) (sf)]]-Table1[[#This Row],[Self-use space (Usable FA) (sf)]],0)</f>
        <v>0</v>
      </c>
      <c r="AE59" s="82">
        <f>IF(Table1[[#This Row],[For Sale or For Lease?]]="Uncertain",Table1[[#This Row],[Office UFA (Net) (sf)]]-Table1[[#This Row],[Pre-leased space (Usable FA) (sf)]]-Table1[[#This Row],[Pre-sold (Usable FA) (sf)]]-Table1[[#This Row],[Self-use space (Usable FA) (sf)]],0)</f>
        <v>0</v>
      </c>
      <c r="AF59" s="86">
        <f>1-SUM(Table1[[#This Row],[Space available for lease (Usable FA) (sf)]:[Space available uncertain of use (Usable FA) (sf)]])/Table1[[#This Row],[Office UFA (Net) (sf)]]</f>
        <v>0</v>
      </c>
      <c r="AG59" s="79"/>
      <c r="AH59" s="84"/>
      <c r="AI59" s="79"/>
      <c r="AJ59" s="83"/>
      <c r="AK59" s="83">
        <v>41429</v>
      </c>
      <c r="AL59" s="85" t="s">
        <v>748</v>
      </c>
      <c r="AM59" s="85" t="s">
        <v>681</v>
      </c>
      <c r="AN59" s="79" t="s">
        <v>73</v>
      </c>
      <c r="AO59" s="77" t="s">
        <v>705</v>
      </c>
      <c r="AP59" s="77" t="s">
        <v>81</v>
      </c>
      <c r="AQ59" s="77"/>
      <c r="AR59" s="79" t="s">
        <v>2406</v>
      </c>
      <c r="AS59" s="79"/>
      <c r="AT59" s="80"/>
      <c r="AU59" s="80"/>
      <c r="AV59" s="77" t="s">
        <v>2203</v>
      </c>
    </row>
    <row r="60" spans="1:48" ht="15" hidden="1" customHeight="1" x14ac:dyDescent="0.35">
      <c r="A60" s="77"/>
      <c r="B60" s="77" t="s">
        <v>1223</v>
      </c>
      <c r="C60" s="77" t="s">
        <v>1182</v>
      </c>
      <c r="D60" s="77"/>
      <c r="E60" s="79" t="s">
        <v>50</v>
      </c>
      <c r="F60" s="77" t="str">
        <f>VLOOKUP(Table1[[#This Row],[CBRE sub-markets]],Reference!$A$2:$B$31,2,FALSE)</f>
        <v>Kowloon East</v>
      </c>
      <c r="G60" s="77">
        <f>VLOOKUP(Table1[[#This Row],[CBRE sub-markets]],Reference!$A$2:$D$31,3,FALSE)</f>
        <v>7</v>
      </c>
      <c r="H60" s="79" t="str">
        <f>VLOOKUP(Table1[[#This Row],[CBRE sub-markets]],Reference!$A$2:$D$31,4,FALSE)</f>
        <v>Kowloon</v>
      </c>
      <c r="I60" s="80">
        <v>2015</v>
      </c>
      <c r="J60" s="80">
        <v>2</v>
      </c>
      <c r="K60" s="81" t="str">
        <f>IF(ISNUMBER(Table1[[#This Row],[Qtr]]),CONCATENATE(Table1[[#This Row],[Year]]," Q",Table1[[#This Row],[Qtr]]),CONCATENATE(Table1[[#This Row],[Year]],Table1[[#This Row],[Qtr]]))</f>
        <v>2015 Q2</v>
      </c>
      <c r="L60" s="80" t="s">
        <v>748</v>
      </c>
      <c r="M60" s="80" t="s">
        <v>84</v>
      </c>
      <c r="N60" s="80">
        <v>1</v>
      </c>
      <c r="O60" s="80"/>
      <c r="P60" s="80"/>
      <c r="Q60" s="82"/>
      <c r="R60" s="82"/>
      <c r="S60" s="80" t="str">
        <f t="shared" si="3"/>
        <v>Unknown</v>
      </c>
      <c r="T60" s="82"/>
      <c r="U60" s="82"/>
      <c r="V60" s="82">
        <f>W60/10.764</f>
        <v>9694.3515421776301</v>
      </c>
      <c r="W60" s="82">
        <v>104350</v>
      </c>
      <c r="X60" s="82">
        <f>Y60/10.764</f>
        <v>6786.0460795243407</v>
      </c>
      <c r="Y60" s="82">
        <f>W60*0.7</f>
        <v>73045</v>
      </c>
      <c r="Z60" s="82"/>
      <c r="AA60" s="82"/>
      <c r="AB60" s="82"/>
      <c r="AC60" s="82">
        <f>IF(Table1[[#This Row],[For Sale or For Lease?]]="For Lease",Table1[[#This Row],[Office UFA (Net) (sf)]]-Table1[[#This Row],[Pre-leased space (Usable FA) (sf)]]-Table1[[#This Row],[Pre-sold (Usable FA) (sf)]]-Table1[[#This Row],[Self-use space (Usable FA) (sf)]],0)</f>
        <v>0</v>
      </c>
      <c r="AD60" s="82">
        <f>IF(Table1[[#This Row],[For Sale or For Lease?]]="For Sale",Table1[[#This Row],[Office UFA (Net) (sf)]]-Table1[[#This Row],[Pre-leased space (Usable FA) (sf)]]-Table1[[#This Row],[Pre-sold (Usable FA) (sf)]]-Table1[[#This Row],[Self-use space (Usable FA) (sf)]],0)</f>
        <v>0</v>
      </c>
      <c r="AE60" s="82">
        <f>IF(Table1[[#This Row],[For Sale or For Lease?]]="Uncertain",Table1[[#This Row],[Office UFA (Net) (sf)]]-Table1[[#This Row],[Pre-leased space (Usable FA) (sf)]]-Table1[[#This Row],[Pre-sold (Usable FA) (sf)]]-Table1[[#This Row],[Self-use space (Usable FA) (sf)]],0)</f>
        <v>0</v>
      </c>
      <c r="AF60" s="86">
        <f>1-SUM(Table1[[#This Row],[Space available for lease (Usable FA) (sf)]:[Space available uncertain of use (Usable FA) (sf)]])/Table1[[#This Row],[Office UFA (Net) (sf)]]</f>
        <v>1</v>
      </c>
      <c r="AG60" s="79"/>
      <c r="AH60" s="84"/>
      <c r="AI60" s="79"/>
      <c r="AJ60" s="83"/>
      <c r="AK60" s="83"/>
      <c r="AL60" s="85" t="s">
        <v>748</v>
      </c>
      <c r="AM60" s="85"/>
      <c r="AN60" s="79" t="s">
        <v>73</v>
      </c>
      <c r="AO60" s="77"/>
      <c r="AP60" s="77" t="s">
        <v>81</v>
      </c>
      <c r="AQ60" s="77"/>
      <c r="AR60" s="79" t="s">
        <v>1718</v>
      </c>
      <c r="AS60" s="79"/>
      <c r="AT60" s="80"/>
      <c r="AU60" s="80"/>
      <c r="AV60" s="77" t="s">
        <v>2205</v>
      </c>
    </row>
    <row r="61" spans="1:48" ht="15" hidden="1" customHeight="1" x14ac:dyDescent="0.35">
      <c r="A61" s="77"/>
      <c r="B61" s="77" t="s">
        <v>1221</v>
      </c>
      <c r="C61" s="77" t="s">
        <v>1180</v>
      </c>
      <c r="D61" s="77" t="s">
        <v>415</v>
      </c>
      <c r="E61" s="79" t="s">
        <v>162</v>
      </c>
      <c r="F61" s="77" t="str">
        <f>VLOOKUP(Table1[[#This Row],[CBRE sub-markets]],Reference!$A$2:$B$31,2,FALSE)</f>
        <v>Kowloon East</v>
      </c>
      <c r="G61" s="77">
        <f>VLOOKUP(Table1[[#This Row],[CBRE sub-markets]],Reference!$A$2:$D$31,3,FALSE)</f>
        <v>7</v>
      </c>
      <c r="H61" s="79" t="str">
        <f>VLOOKUP(Table1[[#This Row],[CBRE sub-markets]],Reference!$A$2:$D$31,4,FALSE)</f>
        <v>Kowloon</v>
      </c>
      <c r="I61" s="80">
        <v>2015</v>
      </c>
      <c r="J61" s="80">
        <v>2</v>
      </c>
      <c r="K61" s="81" t="str">
        <f>IF(ISNUMBER(Table1[[#This Row],[Qtr]]),CONCATENATE(Table1[[#This Row],[Year]]," Q",Table1[[#This Row],[Qtr]]),CONCATENATE(Table1[[#This Row],[Year]],Table1[[#This Row],[Qtr]]))</f>
        <v>2015 Q2</v>
      </c>
      <c r="L61" s="80" t="s">
        <v>20</v>
      </c>
      <c r="M61" s="80" t="s">
        <v>84</v>
      </c>
      <c r="N61" s="80">
        <v>2</v>
      </c>
      <c r="O61" s="80" t="s">
        <v>204</v>
      </c>
      <c r="P61" s="80"/>
      <c r="Q61" s="82">
        <f>+W61/N61/21</f>
        <v>21781.620342857143</v>
      </c>
      <c r="R61" s="82">
        <f>Table1[[#This Row],[Office UFA (Net) (sf)]]/Table1[[#This Row],[No. of Blocks]]/21</f>
        <v>16533.914057142854</v>
      </c>
      <c r="S61" s="80" t="str">
        <f t="shared" si="3"/>
        <v>Yes</v>
      </c>
      <c r="T61" s="82"/>
      <c r="U61" s="82"/>
      <c r="V61" s="82">
        <f>Table1[[#This Row],[Office GFA (sf)]]/10.7639</f>
        <v>84990.389579984956</v>
      </c>
      <c r="W61" s="82">
        <v>914828.05440000002</v>
      </c>
      <c r="X61" s="82">
        <f>Table1[[#This Row],[Office UFA (Net) (sf)]]/10.7639</f>
        <v>64514.199351536146</v>
      </c>
      <c r="Y61" s="82">
        <v>694424.39039999992</v>
      </c>
      <c r="Z61" s="82"/>
      <c r="AA61" s="82">
        <f>Y61</f>
        <v>694424.39039999992</v>
      </c>
      <c r="AB61" s="82"/>
      <c r="AC61" s="82">
        <f>IF(Table1[[#This Row],[For Sale or For Lease?]]="For Lease",Table1[[#This Row],[Office UFA (Net) (sf)]]-Table1[[#This Row],[Pre-leased space (Usable FA) (sf)]]-Table1[[#This Row],[Pre-sold (Usable FA) (sf)]]-Table1[[#This Row],[Self-use space (Usable FA) (sf)]],0)</f>
        <v>0</v>
      </c>
      <c r="AD61" s="82">
        <f>IF(Table1[[#This Row],[For Sale or For Lease?]]="For Sale",Table1[[#This Row],[Office UFA (Net) (sf)]]-Table1[[#This Row],[Pre-leased space (Usable FA) (sf)]]-Table1[[#This Row],[Pre-sold (Usable FA) (sf)]]-Table1[[#This Row],[Self-use space (Usable FA) (sf)]],0)</f>
        <v>0</v>
      </c>
      <c r="AE61" s="82">
        <f>IF(Table1[[#This Row],[For Sale or For Lease?]]="Uncertain",Table1[[#This Row],[Office UFA (Net) (sf)]]-Table1[[#This Row],[Pre-leased space (Usable FA) (sf)]]-Table1[[#This Row],[Pre-sold (Usable FA) (sf)]]-Table1[[#This Row],[Self-use space (Usable FA) (sf)]],0)</f>
        <v>0</v>
      </c>
      <c r="AF61" s="86">
        <f>1-SUM(Table1[[#This Row],[Space available for lease (Usable FA) (sf)]:[Space available uncertain of use (Usable FA) (sf)]])/Table1[[#This Row],[Office UFA (Net) (sf)]]</f>
        <v>1</v>
      </c>
      <c r="AG61" s="79" t="s">
        <v>89</v>
      </c>
      <c r="AH61" s="84" t="s">
        <v>103</v>
      </c>
      <c r="AI61" s="79" t="s">
        <v>92</v>
      </c>
      <c r="AJ61" s="83">
        <v>42125</v>
      </c>
      <c r="AK61" s="83">
        <v>42144</v>
      </c>
      <c r="AL61" s="85" t="s">
        <v>29</v>
      </c>
      <c r="AM61" s="85" t="s">
        <v>369</v>
      </c>
      <c r="AN61" s="79" t="s">
        <v>73</v>
      </c>
      <c r="AO61" s="77" t="s">
        <v>704</v>
      </c>
      <c r="AP61" s="77" t="s">
        <v>81</v>
      </c>
      <c r="AQ61" s="77" t="s">
        <v>1211</v>
      </c>
      <c r="AR61" s="79" t="s">
        <v>2352</v>
      </c>
      <c r="AS61" s="79"/>
      <c r="AT61" s="80"/>
      <c r="AU61" s="80"/>
      <c r="AV61" s="77"/>
    </row>
    <row r="62" spans="1:48" ht="15" hidden="1" customHeight="1" x14ac:dyDescent="0.35">
      <c r="A62" s="77"/>
      <c r="B62" s="77" t="s">
        <v>1086</v>
      </c>
      <c r="C62" s="77" t="s">
        <v>187</v>
      </c>
      <c r="D62" s="77"/>
      <c r="E62" s="79" t="s">
        <v>8</v>
      </c>
      <c r="F62" s="77" t="str">
        <f>VLOOKUP(Table1[[#This Row],[CBRE sub-markets]],Reference!$A$2:$B$31,2,FALSE)</f>
        <v>Tsim Sha Tsui</v>
      </c>
      <c r="G62" s="77">
        <f>VLOOKUP(Table1[[#This Row],[CBRE sub-markets]],Reference!$A$2:$D$31,3,FALSE)</f>
        <v>6</v>
      </c>
      <c r="H62" s="79" t="str">
        <f>VLOOKUP(Table1[[#This Row],[CBRE sub-markets]],Reference!$A$2:$D$31,4,FALSE)</f>
        <v>Kowloon</v>
      </c>
      <c r="I62" s="80">
        <v>2015</v>
      </c>
      <c r="J62" s="80">
        <v>2</v>
      </c>
      <c r="K62" s="81" t="str">
        <f>IF(ISNUMBER(Table1[[#This Row],[Qtr]]),CONCATENATE(Table1[[#This Row],[Year]]," Q",Table1[[#This Row],[Qtr]]),CONCATENATE(Table1[[#This Row],[Year]],Table1[[#This Row],[Qtr]]))</f>
        <v>2015 Q2</v>
      </c>
      <c r="L62" s="80" t="s">
        <v>20</v>
      </c>
      <c r="M62" s="80" t="s">
        <v>84</v>
      </c>
      <c r="N62" s="80">
        <v>1</v>
      </c>
      <c r="O62" s="80" t="s">
        <v>655</v>
      </c>
      <c r="P62" s="80">
        <v>9</v>
      </c>
      <c r="Q62" s="82">
        <v>9634</v>
      </c>
      <c r="R62" s="82">
        <f>Table1[[#This Row],[Floor Plate (GFA) (sf)]]*0.7</f>
        <v>6743.7999999999993</v>
      </c>
      <c r="S62" s="80" t="str">
        <f t="shared" si="3"/>
        <v>No</v>
      </c>
      <c r="T62" s="82"/>
      <c r="U62" s="82"/>
      <c r="V62" s="82">
        <f>W62/10.764</f>
        <v>8081.1036789297668</v>
      </c>
      <c r="W62" s="82">
        <f>9874+9834+9774+9714+9634+9578+9525+9473+9579</f>
        <v>86985</v>
      </c>
      <c r="X62" s="82">
        <f>Y62/10.764</f>
        <v>5656.7725752508359</v>
      </c>
      <c r="Y62" s="82">
        <f>+W62*0.7</f>
        <v>60889.499999999993</v>
      </c>
      <c r="Z62" s="82">
        <f>(9473+9874)*0.7</f>
        <v>13542.9</v>
      </c>
      <c r="AA62" s="82"/>
      <c r="AB62" s="82"/>
      <c r="AC62" s="82">
        <f>IF(Table1[[#This Row],[For Sale or For Lease?]]="For Lease",Table1[[#This Row],[Office UFA (Net) (sf)]]-Table1[[#This Row],[Pre-leased space (Usable FA) (sf)]]-Table1[[#This Row],[Pre-sold (Usable FA) (sf)]]-Table1[[#This Row],[Self-use space (Usable FA) (sf)]],0)</f>
        <v>47346.599999999991</v>
      </c>
      <c r="AD62" s="82">
        <f>IF(Table1[[#This Row],[For Sale or For Lease?]]="For Sale",Table1[[#This Row],[Office UFA (Net) (sf)]]-Table1[[#This Row],[Pre-leased space (Usable FA) (sf)]]-Table1[[#This Row],[Pre-sold (Usable FA) (sf)]]-Table1[[#This Row],[Self-use space (Usable FA) (sf)]],0)</f>
        <v>0</v>
      </c>
      <c r="AE62" s="82">
        <f>IF(Table1[[#This Row],[For Sale or For Lease?]]="Uncertain",Table1[[#This Row],[Office UFA (Net) (sf)]]-Table1[[#This Row],[Pre-leased space (Usable FA) (sf)]]-Table1[[#This Row],[Pre-sold (Usable FA) (sf)]]-Table1[[#This Row],[Self-use space (Usable FA) (sf)]],0)</f>
        <v>0</v>
      </c>
      <c r="AF62" s="86">
        <f>1-SUM(Table1[[#This Row],[Space available for lease (Usable FA) (sf)]:[Space available uncertain of use (Usable FA) (sf)]])/Table1[[#This Row],[Office UFA (Net) (sf)]]</f>
        <v>0.22241765821693404</v>
      </c>
      <c r="AG62" s="79" t="s">
        <v>89</v>
      </c>
      <c r="AH62" s="84" t="s">
        <v>103</v>
      </c>
      <c r="AI62" s="79" t="s">
        <v>92</v>
      </c>
      <c r="AJ62" s="83">
        <v>42156</v>
      </c>
      <c r="AK62" s="83">
        <v>42237</v>
      </c>
      <c r="AL62" s="85" t="s">
        <v>30</v>
      </c>
      <c r="AM62" s="85" t="s">
        <v>1070</v>
      </c>
      <c r="AN62" s="79" t="s">
        <v>73</v>
      </c>
      <c r="AO62" s="77" t="s">
        <v>705</v>
      </c>
      <c r="AP62" s="77" t="s">
        <v>81</v>
      </c>
      <c r="AQ62" s="77" t="s">
        <v>1212</v>
      </c>
      <c r="AR62" s="79" t="s">
        <v>2351</v>
      </c>
      <c r="AS62" s="79"/>
      <c r="AT62" s="80"/>
      <c r="AU62" s="80"/>
      <c r="AV62" s="77"/>
    </row>
    <row r="63" spans="1:48" ht="15" hidden="1" customHeight="1" x14ac:dyDescent="0.35">
      <c r="A63" s="77" t="s">
        <v>1201</v>
      </c>
      <c r="B63" s="77" t="s">
        <v>1213</v>
      </c>
      <c r="C63" s="77" t="s">
        <v>1233</v>
      </c>
      <c r="D63" s="77"/>
      <c r="E63" s="79" t="s">
        <v>5</v>
      </c>
      <c r="F63" s="77" t="str">
        <f>VLOOKUP(Table1[[#This Row],[CBRE sub-markets]],Reference!$A$2:$B$31,2,FALSE)</f>
        <v>Wan Chai &amp; Causeway Bay</v>
      </c>
      <c r="G63" s="77">
        <f>VLOOKUP(Table1[[#This Row],[CBRE sub-markets]],Reference!$A$2:$D$31,3,FALSE)</f>
        <v>3</v>
      </c>
      <c r="H63" s="79" t="str">
        <f>VLOOKUP(Table1[[#This Row],[CBRE sub-markets]],Reference!$A$2:$D$31,4,FALSE)</f>
        <v>Hong Kong Island</v>
      </c>
      <c r="I63" s="80">
        <v>2015</v>
      </c>
      <c r="J63" s="80">
        <v>3</v>
      </c>
      <c r="K63" s="81" t="str">
        <f>IF(ISNUMBER(Table1[[#This Row],[Qtr]]),CONCATENATE(Table1[[#This Row],[Year]]," Q",Table1[[#This Row],[Qtr]]),CONCATENATE(Table1[[#This Row],[Year]],Table1[[#This Row],[Qtr]]))</f>
        <v>2015 Q3</v>
      </c>
      <c r="L63" s="80" t="s">
        <v>20</v>
      </c>
      <c r="M63" s="80" t="s">
        <v>84</v>
      </c>
      <c r="N63" s="80">
        <v>1</v>
      </c>
      <c r="O63" s="80" t="s">
        <v>337</v>
      </c>
      <c r="P63" s="80">
        <v>16</v>
      </c>
      <c r="Q63" s="82">
        <v>11712</v>
      </c>
      <c r="R63" s="82">
        <f>Q63*0.7</f>
        <v>8198.4</v>
      </c>
      <c r="S63" s="80" t="str">
        <f t="shared" si="3"/>
        <v>No</v>
      </c>
      <c r="T63" s="82"/>
      <c r="U63" s="82"/>
      <c r="V63" s="82">
        <f>Table1[[#This Row],[Office GFA (sf)]]/10.764</f>
        <v>17031.865477517651</v>
      </c>
      <c r="W63" s="82">
        <f>10034+9329+11712*14</f>
        <v>183331</v>
      </c>
      <c r="X63" s="82">
        <f>Table1[[#This Row],[Office UFA (Net) (sf)]]/10.764</f>
        <v>11922.305834262357</v>
      </c>
      <c r="Y63" s="82">
        <f>Table1[[#This Row],[Office GFA (sf)]]*0.7</f>
        <v>128331.7</v>
      </c>
      <c r="Z63" s="82">
        <f>(10034+9329+11712+5758)*0.7</f>
        <v>25783.1</v>
      </c>
      <c r="AA63" s="82"/>
      <c r="AB63" s="82"/>
      <c r="AC63" s="82">
        <f>IF(Table1[[#This Row],[For Sale or For Lease?]]="For Lease",Table1[[#This Row],[Office UFA (Net) (sf)]]-Table1[[#This Row],[Pre-leased space (Usable FA) (sf)]]-Table1[[#This Row],[Pre-sold (Usable FA) (sf)]]-Table1[[#This Row],[Self-use space (Usable FA) (sf)]],0)</f>
        <v>102548.6</v>
      </c>
      <c r="AD63" s="82">
        <f>IF(Table1[[#This Row],[For Sale or For Lease?]]="For Sale",Table1[[#This Row],[Office UFA (Net) (sf)]]-Table1[[#This Row],[Pre-leased space (Usable FA) (sf)]]-Table1[[#This Row],[Pre-sold (Usable FA) (sf)]]-Table1[[#This Row],[Self-use space (Usable FA) (sf)]],0)</f>
        <v>0</v>
      </c>
      <c r="AE63" s="82">
        <f>IF(Table1[[#This Row],[For Sale or For Lease?]]="Uncertain",Table1[[#This Row],[Office UFA (Net) (sf)]]-Table1[[#This Row],[Pre-leased space (Usable FA) (sf)]]-Table1[[#This Row],[Pre-sold (Usable FA) (sf)]]-Table1[[#This Row],[Self-use space (Usable FA) (sf)]],0)</f>
        <v>0</v>
      </c>
      <c r="AF63" s="86">
        <f>1-SUM(Table1[[#This Row],[Space available for lease (Usable FA) (sf)]:[Space available uncertain of use (Usable FA) (sf)]])/Table1[[#This Row],[Office UFA (Net) (sf)]]</f>
        <v>0.20090982976146965</v>
      </c>
      <c r="AG63" s="79" t="s">
        <v>179</v>
      </c>
      <c r="AH63" s="84" t="s">
        <v>103</v>
      </c>
      <c r="AI63" s="79" t="s">
        <v>92</v>
      </c>
      <c r="AJ63" s="83">
        <v>42248</v>
      </c>
      <c r="AK63" s="83">
        <v>42360</v>
      </c>
      <c r="AL63" s="85" t="s">
        <v>30</v>
      </c>
      <c r="AM63" s="85" t="s">
        <v>305</v>
      </c>
      <c r="AN63" s="79" t="s">
        <v>73</v>
      </c>
      <c r="AO63" s="77" t="s">
        <v>705</v>
      </c>
      <c r="AP63" s="77" t="s">
        <v>81</v>
      </c>
      <c r="AQ63" s="77" t="s">
        <v>1091</v>
      </c>
      <c r="AR63" s="79" t="s">
        <v>2347</v>
      </c>
      <c r="AS63" s="79"/>
      <c r="AT63" s="80"/>
      <c r="AU63" s="80"/>
      <c r="AV63" s="77"/>
    </row>
    <row r="64" spans="1:48" ht="15" hidden="1" customHeight="1" x14ac:dyDescent="0.35">
      <c r="A64" s="77"/>
      <c r="B64" s="77" t="s">
        <v>787</v>
      </c>
      <c r="C64" s="77" t="s">
        <v>787</v>
      </c>
      <c r="D64" s="77" t="s">
        <v>808</v>
      </c>
      <c r="E64" s="79" t="s">
        <v>130</v>
      </c>
      <c r="F64" s="77" t="str">
        <f>VLOOKUP(Table1[[#This Row],[CBRE sub-markets]],Reference!$A$2:$B$31,2,FALSE)</f>
        <v>Wong Chuk Hang</v>
      </c>
      <c r="G64" s="77">
        <f>VLOOKUP(Table1[[#This Row],[CBRE sub-markets]],Reference!$A$2:$D$31,3,FALSE)</f>
        <v>5</v>
      </c>
      <c r="H64" s="79" t="str">
        <f>VLOOKUP(Table1[[#This Row],[CBRE sub-markets]],Reference!$A$2:$D$31,4,FALSE)</f>
        <v>Hong Kong Island</v>
      </c>
      <c r="I64" s="80">
        <v>2015</v>
      </c>
      <c r="J64" s="80">
        <v>4</v>
      </c>
      <c r="K64" s="81" t="str">
        <f>IF(ISNUMBER(Table1[[#This Row],[Qtr]]),CONCATENATE(Table1[[#This Row],[Year]]," Q",Table1[[#This Row],[Qtr]]),CONCATENATE(Table1[[#This Row],[Year]],Table1[[#This Row],[Qtr]]))</f>
        <v>2015 Q4</v>
      </c>
      <c r="L64" s="80" t="s">
        <v>20</v>
      </c>
      <c r="M64" s="80" t="s">
        <v>84</v>
      </c>
      <c r="N64" s="80">
        <v>1</v>
      </c>
      <c r="O64" s="80" t="s">
        <v>788</v>
      </c>
      <c r="P64" s="80">
        <v>10</v>
      </c>
      <c r="Q64" s="82">
        <v>11744</v>
      </c>
      <c r="R64" s="82">
        <f>Table1[[#This Row],[Floor Plate (GFA) (sf)]]*0.65</f>
        <v>7633.6</v>
      </c>
      <c r="S64" s="80" t="str">
        <f t="shared" si="3"/>
        <v>No</v>
      </c>
      <c r="T64" s="82"/>
      <c r="U64" s="82"/>
      <c r="V64" s="82">
        <f>Table1[[#This Row],[Office GFA (sf)]]/10.7639</f>
        <v>30549.522013396632</v>
      </c>
      <c r="W64" s="82">
        <f>28*Table1[[#This Row],[Floor Plate (GFA) (sf)]]</f>
        <v>328832</v>
      </c>
      <c r="X64" s="82">
        <f>Table1[[#This Row],[Office UFA (Net) (sf)]]/10.7639</f>
        <v>19857.189308707813</v>
      </c>
      <c r="Y64" s="82">
        <f>Table1[[#This Row],[Office GFA (sf)]]*0.65</f>
        <v>213740.80000000002</v>
      </c>
      <c r="Z64" s="82"/>
      <c r="AA64" s="82"/>
      <c r="AB64" s="82"/>
      <c r="AC64" s="82">
        <f>IF(Table1[[#This Row],[For Sale or For Lease?]]="For Lease",Table1[[#This Row],[Office UFA (Net) (sf)]]-Table1[[#This Row],[Pre-leased space (Usable FA) (sf)]]-Table1[[#This Row],[Pre-sold (Usable FA) (sf)]]-Table1[[#This Row],[Self-use space (Usable FA) (sf)]],0)</f>
        <v>213740.80000000002</v>
      </c>
      <c r="AD64" s="82">
        <f>IF(Table1[[#This Row],[For Sale or For Lease?]]="For Sale",Table1[[#This Row],[Office UFA (Net) (sf)]]-Table1[[#This Row],[Pre-leased space (Usable FA) (sf)]]-Table1[[#This Row],[Pre-sold (Usable FA) (sf)]]-Table1[[#This Row],[Self-use space (Usable FA) (sf)]],0)</f>
        <v>0</v>
      </c>
      <c r="AE64" s="82">
        <f>IF(Table1[[#This Row],[For Sale or For Lease?]]="Uncertain",Table1[[#This Row],[Office UFA (Net) (sf)]]-Table1[[#This Row],[Pre-leased space (Usable FA) (sf)]]-Table1[[#This Row],[Pre-sold (Usable FA) (sf)]]-Table1[[#This Row],[Self-use space (Usable FA) (sf)]],0)</f>
        <v>0</v>
      </c>
      <c r="AF64" s="86">
        <f>1-SUM(Table1[[#This Row],[Space available for lease (Usable FA) (sf)]:[Space available uncertain of use (Usable FA) (sf)]])/Table1[[#This Row],[Office UFA (Net) (sf)]]</f>
        <v>0</v>
      </c>
      <c r="AG64" s="79" t="s">
        <v>89</v>
      </c>
      <c r="AH64" s="84" t="s">
        <v>103</v>
      </c>
      <c r="AI64" s="79" t="s">
        <v>92</v>
      </c>
      <c r="AJ64" s="83">
        <v>42339</v>
      </c>
      <c r="AK64" s="83">
        <v>42419</v>
      </c>
      <c r="AL64" s="85" t="s">
        <v>30</v>
      </c>
      <c r="AM64" s="85" t="s">
        <v>1247</v>
      </c>
      <c r="AN64" s="79" t="s">
        <v>73</v>
      </c>
      <c r="AO64" s="77" t="s">
        <v>705</v>
      </c>
      <c r="AP64" s="77" t="s">
        <v>81</v>
      </c>
      <c r="AQ64" s="77" t="s">
        <v>1243</v>
      </c>
      <c r="AR64" s="79" t="s">
        <v>2348</v>
      </c>
      <c r="AS64" s="79"/>
      <c r="AT64" s="80"/>
      <c r="AU64" s="80"/>
      <c r="AV64" s="77"/>
    </row>
    <row r="65" spans="1:48" ht="15" hidden="1" customHeight="1" x14ac:dyDescent="0.35">
      <c r="A65" s="77" t="s">
        <v>1224</v>
      </c>
      <c r="B65" s="77" t="s">
        <v>1116</v>
      </c>
      <c r="C65" s="77" t="s">
        <v>1184</v>
      </c>
      <c r="D65" s="77"/>
      <c r="E65" s="79" t="s">
        <v>130</v>
      </c>
      <c r="F65" s="77" t="str">
        <f>VLOOKUP(Table1[[#This Row],[CBRE sub-markets]],Reference!$A$2:$B$31,2,FALSE)</f>
        <v>Wong Chuk Hang</v>
      </c>
      <c r="G65" s="77">
        <f>VLOOKUP(Table1[[#This Row],[CBRE sub-markets]],Reference!$A$2:$D$31,3,FALSE)</f>
        <v>5</v>
      </c>
      <c r="H65" s="79" t="str">
        <f>VLOOKUP(Table1[[#This Row],[CBRE sub-markets]],Reference!$A$2:$D$31,4,FALSE)</f>
        <v>Hong Kong Island</v>
      </c>
      <c r="I65" s="80">
        <v>2015</v>
      </c>
      <c r="J65" s="80">
        <v>4</v>
      </c>
      <c r="K65" s="81" t="str">
        <f>IF(ISNUMBER(Table1[[#This Row],[Qtr]]),CONCATENATE(Table1[[#This Row],[Year]]," Q",Table1[[#This Row],[Qtr]]),CONCATENATE(Table1[[#This Row],[Year]],Table1[[#This Row],[Qtr]]))</f>
        <v>2015 Q4</v>
      </c>
      <c r="L65" s="80" t="s">
        <v>20</v>
      </c>
      <c r="M65" s="80" t="s">
        <v>84</v>
      </c>
      <c r="N65" s="80">
        <v>1</v>
      </c>
      <c r="O65" s="80" t="s">
        <v>546</v>
      </c>
      <c r="P65" s="80">
        <v>26</v>
      </c>
      <c r="Q65" s="82">
        <v>7050</v>
      </c>
      <c r="R65" s="82">
        <f>Q65*0.75</f>
        <v>5287.5</v>
      </c>
      <c r="S65" s="80" t="str">
        <f t="shared" si="3"/>
        <v>No</v>
      </c>
      <c r="T65" s="82"/>
      <c r="U65" s="82"/>
      <c r="V65" s="82">
        <f>W65/10.7639</f>
        <v>17029.143711851651</v>
      </c>
      <c r="W65" s="82">
        <f>Table1[[#This Row],[Floor Plate (GFA) (sf)]]*Table1[[#This Row],[No. of Storeys for Office]]</f>
        <v>183300</v>
      </c>
      <c r="X65" s="82">
        <f>Y65/10.764</f>
        <v>12771.739130434784</v>
      </c>
      <c r="Y65" s="82">
        <f>+W65*0.75</f>
        <v>137475</v>
      </c>
      <c r="Z65" s="82"/>
      <c r="AA65" s="82"/>
      <c r="AB65" s="82"/>
      <c r="AC65" s="82">
        <f>IF(Table1[[#This Row],[For Sale or For Lease?]]="For Lease",Table1[[#This Row],[Office UFA (Net) (sf)]]-Table1[[#This Row],[Pre-leased space (Usable FA) (sf)]]-Table1[[#This Row],[Pre-sold (Usable FA) (sf)]]-Table1[[#This Row],[Self-use space (Usable FA) (sf)]],0)</f>
        <v>137475</v>
      </c>
      <c r="AD65" s="82">
        <f>IF(Table1[[#This Row],[For Sale or For Lease?]]="For Sale",Table1[[#This Row],[Office UFA (Net) (sf)]]-Table1[[#This Row],[Pre-leased space (Usable FA) (sf)]]-Table1[[#This Row],[Pre-sold (Usable FA) (sf)]]-Table1[[#This Row],[Self-use space (Usable FA) (sf)]],0)</f>
        <v>0</v>
      </c>
      <c r="AE65" s="82">
        <f>IF(Table1[[#This Row],[For Sale or For Lease?]]="Uncertain",Table1[[#This Row],[Office UFA (Net) (sf)]]-Table1[[#This Row],[Pre-leased space (Usable FA) (sf)]]-Table1[[#This Row],[Pre-sold (Usable FA) (sf)]]-Table1[[#This Row],[Self-use space (Usable FA) (sf)]],0)</f>
        <v>0</v>
      </c>
      <c r="AF65" s="86">
        <f>1-SUM(Table1[[#This Row],[Space available for lease (Usable FA) (sf)]:[Space available uncertain of use (Usable FA) (sf)]])/Table1[[#This Row],[Office UFA (Net) (sf)]]</f>
        <v>0</v>
      </c>
      <c r="AG65" s="79" t="s">
        <v>89</v>
      </c>
      <c r="AH65" s="84" t="s">
        <v>103</v>
      </c>
      <c r="AI65" s="79" t="s">
        <v>92</v>
      </c>
      <c r="AJ65" s="83">
        <v>42309</v>
      </c>
      <c r="AK65" s="83">
        <v>42369</v>
      </c>
      <c r="AL65" s="85" t="s">
        <v>30</v>
      </c>
      <c r="AM65" s="85" t="s">
        <v>547</v>
      </c>
      <c r="AN65" s="79" t="s">
        <v>73</v>
      </c>
      <c r="AO65" s="77" t="s">
        <v>705</v>
      </c>
      <c r="AP65" s="77" t="s">
        <v>81</v>
      </c>
      <c r="AQ65" s="77" t="s">
        <v>1207</v>
      </c>
      <c r="AR65" s="79" t="s">
        <v>2349</v>
      </c>
      <c r="AS65" s="79"/>
      <c r="AT65" s="80"/>
      <c r="AU65" s="80"/>
      <c r="AV65" s="77"/>
    </row>
    <row r="66" spans="1:48" ht="15" hidden="1" customHeight="1" x14ac:dyDescent="0.35">
      <c r="A66" s="77"/>
      <c r="B66" s="77" t="s">
        <v>1860</v>
      </c>
      <c r="C66" s="77" t="s">
        <v>1235</v>
      </c>
      <c r="D66" s="77" t="s">
        <v>495</v>
      </c>
      <c r="E66" s="79" t="s">
        <v>57</v>
      </c>
      <c r="F66" s="77" t="str">
        <f>VLOOKUP(Table1[[#This Row],[CBRE sub-markets]],Reference!$A$2:$B$31,2,FALSE)</f>
        <v>New Territories</v>
      </c>
      <c r="G66" s="77">
        <f>VLOOKUP(Table1[[#This Row],[CBRE sub-markets]],Reference!$A$2:$D$31,3,FALSE)</f>
        <v>9</v>
      </c>
      <c r="H66" s="79" t="str">
        <f>VLOOKUP(Table1[[#This Row],[CBRE sub-markets]],Reference!$A$2:$D$31,4,FALSE)</f>
        <v>New Territories</v>
      </c>
      <c r="I66" s="80">
        <v>2015</v>
      </c>
      <c r="J66" s="80">
        <v>4</v>
      </c>
      <c r="K66" s="81" t="str">
        <f>IF(ISNUMBER(Table1[[#This Row],[Qtr]]),CONCATENATE(Table1[[#This Row],[Year]]," Q",Table1[[#This Row],[Qtr]]),CONCATENATE(Table1[[#This Row],[Year]],Table1[[#This Row],[Qtr]]))</f>
        <v>2015 Q4</v>
      </c>
      <c r="L66" s="80" t="s">
        <v>20</v>
      </c>
      <c r="M66" s="80" t="s">
        <v>84</v>
      </c>
      <c r="N66" s="80">
        <v>1</v>
      </c>
      <c r="O66" s="80" t="s">
        <v>246</v>
      </c>
      <c r="P66" s="80">
        <v>16</v>
      </c>
      <c r="Q66" s="82">
        <f>1728+759+853+1303+801+757+734+1299+775+876+1722+965+100+1054</f>
        <v>13726</v>
      </c>
      <c r="R66" s="82">
        <f>1175+516+580+886+545+515+499+883+527+596+1171+656+680+717</f>
        <v>9946</v>
      </c>
      <c r="S66" s="80" t="str">
        <f t="shared" ref="S66:S97" si="5">IF(AND(ISNUMBER(R66),R66&gt;=15000),"Yes",IF(R66="","Unknown","No"))</f>
        <v>No</v>
      </c>
      <c r="T66" s="82"/>
      <c r="U66" s="82"/>
      <c r="V66" s="82">
        <f>Table1[[#This Row],[Office GFA (sf)]]/10.764</f>
        <v>21938.591601635082</v>
      </c>
      <c r="W66" s="82">
        <f>(1728+759+853+1303+801+757+734+1299+775+876+1722+965+1000+1054)+(6860+1419+1303+801+757+734+1299+1453)+(1728+759+853+1303+801+757+734+1299+775+876+1722+965+1000+1054)*4+(1728+759+853+1306+801+757+734+1299+775+876+1725+965+1000+1054)+(1728+759+853+1315+801+757+734+1299+775+876+1734+965+1000+1054)+(1728+762+856+1329+797+757+729+1299+778+879+1749+962+1000+1051)+(1728+762+856+1349+797+757+729+1299+778+879+1768+962+1000+1051)+(1728+762+856+1374+799+757+729+1299+778+879+1793+962+1000+1051)+(1728+762+856+1397+806+757+729+1299+778+879+1816+969+1000+1051)+(1728+762+856+1419+818+757+729+1299+778+879+1838+981+1000+1051)+(1728+762+856+1443+832+762+729+1299+778+879+1862+994+1006+1051)+(1728+762+856+1466+846+772+729+1299+778+879+1885+1006+1016+1051)+(1728+762+856+1488+860+785+731+1299+778+879+1907+1019+1029+1054)</f>
        <v>236147</v>
      </c>
      <c r="X66" s="82">
        <v>26584</v>
      </c>
      <c r="Y66" s="82">
        <f>(1175+516+580+886+545+515+499+883+527+896+1171+656+680+717)+(5072+965+886+545+515+499+883+988)+(1175+516+580+886+545+515+499+883+527+596+1171+656+680+717)*4+(1175+516+580+888+545+515+499+883+527+596+1173+656+680+717)+(1175+516+580+894+545+515+499+883+527+596+1179+656+680+717)+(1175+518+582+904+542+515+496+883+529+598+1189+654+680+715)+(1175+518+582+917+542+515+496+883+529+598+1202+654+680+715)+(1175+518+582+934+543+515+496+883+529+598+1219+654+680+715)+(1175+518+582+950+548+515+496+883+529+598+1235+659+680+715)+(1175+518+582+965+556+515+496+883+529+598+1250+667+680+715)+(1175+518+582+981+556+518+496+883+529+598+1266+676+9684+715)+(1175+518+582+997+575+525+496+883+529+598+1282+684+691+715)+(1175+518+582+1012+585+534+497+883+529+598+1297+693+700+717)</f>
        <v>170281</v>
      </c>
      <c r="Z66" s="82"/>
      <c r="AA66" s="82">
        <f>Table1[[#This Row],[Office UFA (Net) (sf)]]-(556+515+496+598+950+518+904+894+516)</f>
        <v>164334</v>
      </c>
      <c r="AB66" s="82"/>
      <c r="AC66" s="82">
        <f>IF(Table1[[#This Row],[For Sale or For Lease?]]="For Lease",Table1[[#This Row],[Office UFA (Net) (sf)]]-Table1[[#This Row],[Pre-leased space (Usable FA) (sf)]]-Table1[[#This Row],[Pre-sold (Usable FA) (sf)]]-Table1[[#This Row],[Self-use space (Usable FA) (sf)]],0)</f>
        <v>0</v>
      </c>
      <c r="AD66" s="82">
        <f>IF(Table1[[#This Row],[For Sale or For Lease?]]="For Sale",Table1[[#This Row],[Office UFA (Net) (sf)]]-Table1[[#This Row],[Pre-leased space (Usable FA) (sf)]]-Table1[[#This Row],[Pre-sold (Usable FA) (sf)]]-Table1[[#This Row],[Self-use space (Usable FA) (sf)]],0)</f>
        <v>5947</v>
      </c>
      <c r="AE66" s="82">
        <f>IF(Table1[[#This Row],[For Sale or For Lease?]]="Uncertain",Table1[[#This Row],[Office UFA (Net) (sf)]]-Table1[[#This Row],[Pre-leased space (Usable FA) (sf)]]-Table1[[#This Row],[Pre-sold (Usable FA) (sf)]]-Table1[[#This Row],[Self-use space (Usable FA) (sf)]],0)</f>
        <v>0</v>
      </c>
      <c r="AF66" s="86">
        <f>1-SUM(Table1[[#This Row],[Space available for lease (Usable FA) (sf)]:[Space available uncertain of use (Usable FA) (sf)]])/Table1[[#This Row],[Office UFA (Net) (sf)]]</f>
        <v>0.965075375408883</v>
      </c>
      <c r="AG66" s="79" t="s">
        <v>179</v>
      </c>
      <c r="AH66" s="84" t="s">
        <v>103</v>
      </c>
      <c r="AI66" s="79" t="s">
        <v>92</v>
      </c>
      <c r="AJ66" s="83">
        <v>42278</v>
      </c>
      <c r="AK66" s="83">
        <v>42360</v>
      </c>
      <c r="AL66" s="85" t="s">
        <v>29</v>
      </c>
      <c r="AM66" s="85" t="s">
        <v>501</v>
      </c>
      <c r="AN66" s="79" t="s">
        <v>73</v>
      </c>
      <c r="AO66" s="77" t="s">
        <v>704</v>
      </c>
      <c r="AP66" s="77" t="s">
        <v>82</v>
      </c>
      <c r="AQ66" s="77" t="s">
        <v>1105</v>
      </c>
      <c r="AR66" s="79" t="s">
        <v>2354</v>
      </c>
      <c r="AS66" s="79"/>
      <c r="AT66" s="80"/>
      <c r="AU66" s="80"/>
      <c r="AV66" s="77"/>
    </row>
    <row r="67" spans="1:48" ht="15" hidden="1" customHeight="1" x14ac:dyDescent="0.35">
      <c r="A67" s="77"/>
      <c r="B67" s="77" t="s">
        <v>1216</v>
      </c>
      <c r="C67" s="77" t="s">
        <v>1071</v>
      </c>
      <c r="D67" s="77"/>
      <c r="E67" s="79" t="s">
        <v>1</v>
      </c>
      <c r="F67" s="77" t="str">
        <f>VLOOKUP(Table1[[#This Row],[CBRE sub-markets]],Reference!$A$2:$B$31,2,FALSE)</f>
        <v>Central</v>
      </c>
      <c r="G67" s="77">
        <f>VLOOKUP(Table1[[#This Row],[CBRE sub-markets]],Reference!$A$2:$D$31,3,FALSE)</f>
        <v>1</v>
      </c>
      <c r="H67" s="79" t="str">
        <f>VLOOKUP(Table1[[#This Row],[CBRE sub-markets]],Reference!$A$2:$D$31,4,FALSE)</f>
        <v>Hong Kong Island</v>
      </c>
      <c r="I67" s="80">
        <v>2016</v>
      </c>
      <c r="J67" s="80">
        <v>1</v>
      </c>
      <c r="K67" s="81" t="str">
        <f>IF(ISNUMBER(Table1[[#This Row],[Qtr]]),CONCATENATE(Table1[[#This Row],[Year]]," Q",Table1[[#This Row],[Qtr]]),CONCATENATE(Table1[[#This Row],[Year]],Table1[[#This Row],[Qtr]]))</f>
        <v>2016 Q1</v>
      </c>
      <c r="L67" s="80" t="s">
        <v>20</v>
      </c>
      <c r="M67" s="80" t="s">
        <v>84</v>
      </c>
      <c r="N67" s="80">
        <v>1</v>
      </c>
      <c r="O67" s="80" t="s">
        <v>1055</v>
      </c>
      <c r="P67" s="80">
        <v>21</v>
      </c>
      <c r="Q67" s="82">
        <v>4235</v>
      </c>
      <c r="R67" s="82">
        <f>Table1[[#This Row],[Floor Plate (GFA) (sf)]]*0.7</f>
        <v>2964.5</v>
      </c>
      <c r="S67" s="80" t="str">
        <f t="shared" si="5"/>
        <v>No</v>
      </c>
      <c r="T67" s="82"/>
      <c r="U67" s="82"/>
      <c r="V67" s="82">
        <f>Table1[[#This Row],[Office GFA (sf)]]/10.764</f>
        <v>8212.9319955406918</v>
      </c>
      <c r="W67" s="82">
        <f>4100+4235*14+4275+4148*4+4147</f>
        <v>88404</v>
      </c>
      <c r="X67" s="82">
        <f>Table1[[#This Row],[Office UFA (Net) (sf)]]/10.764</f>
        <v>5749.0523968784837</v>
      </c>
      <c r="Y67" s="82">
        <f>Table1[[#This Row],[Office GFA (sf)]]*0.7</f>
        <v>61882.799999999996</v>
      </c>
      <c r="Z67" s="82">
        <f>2965*4+5929+2904*2</f>
        <v>23597</v>
      </c>
      <c r="AA67" s="82"/>
      <c r="AB67" s="82">
        <f>2870+2964*6+2992+2903+2902</f>
        <v>29451</v>
      </c>
      <c r="AC67" s="82">
        <f>IF(Table1[[#This Row],[For Sale or For Lease?]]="For Lease",Table1[[#This Row],[Office UFA (Net) (sf)]]-Table1[[#This Row],[Pre-leased space (Usable FA) (sf)]]-Table1[[#This Row],[Pre-sold (Usable FA) (sf)]]-Table1[[#This Row],[Self-use space (Usable FA) (sf)]],0)</f>
        <v>8834.7999999999956</v>
      </c>
      <c r="AD67" s="82">
        <f>IF(Table1[[#This Row],[For Sale or For Lease?]]="For Sale",Table1[[#This Row],[Office UFA (Net) (sf)]]-Table1[[#This Row],[Pre-leased space (Usable FA) (sf)]]-Table1[[#This Row],[Pre-sold (Usable FA) (sf)]]-Table1[[#This Row],[Self-use space (Usable FA) (sf)]],0)</f>
        <v>0</v>
      </c>
      <c r="AE67" s="82">
        <f>IF(Table1[[#This Row],[For Sale or For Lease?]]="Uncertain",Table1[[#This Row],[Office UFA (Net) (sf)]]-Table1[[#This Row],[Pre-leased space (Usable FA) (sf)]]-Table1[[#This Row],[Pre-sold (Usable FA) (sf)]]-Table1[[#This Row],[Self-use space (Usable FA) (sf)]],0)</f>
        <v>0</v>
      </c>
      <c r="AF67" s="86">
        <f>1-SUM(Table1[[#This Row],[Space available for lease (Usable FA) (sf)]:[Space available uncertain of use (Usable FA) (sf)]])/Table1[[#This Row],[Office UFA (Net) (sf)]]</f>
        <v>0.85723335078567886</v>
      </c>
      <c r="AG67" s="79" t="s">
        <v>89</v>
      </c>
      <c r="AH67" s="84" t="s">
        <v>103</v>
      </c>
      <c r="AI67" s="79" t="s">
        <v>92</v>
      </c>
      <c r="AJ67" s="83">
        <v>42401</v>
      </c>
      <c r="AK67" s="83">
        <v>42480</v>
      </c>
      <c r="AL67" s="85" t="s">
        <v>30</v>
      </c>
      <c r="AM67" s="85" t="s">
        <v>439</v>
      </c>
      <c r="AN67" s="79" t="s">
        <v>73</v>
      </c>
      <c r="AO67" s="77" t="s">
        <v>705</v>
      </c>
      <c r="AP67" s="77" t="s">
        <v>81</v>
      </c>
      <c r="AQ67" s="77" t="s">
        <v>1239</v>
      </c>
      <c r="AR67" s="79" t="s">
        <v>2355</v>
      </c>
      <c r="AS67" s="79"/>
      <c r="AT67" s="80"/>
      <c r="AU67" s="80"/>
      <c r="AV67" s="77"/>
    </row>
    <row r="68" spans="1:48" ht="15" hidden="1" customHeight="1" x14ac:dyDescent="0.35">
      <c r="A68" s="77"/>
      <c r="B68" s="77" t="s">
        <v>1072</v>
      </c>
      <c r="C68" s="77" t="s">
        <v>1323</v>
      </c>
      <c r="D68" s="77" t="s">
        <v>422</v>
      </c>
      <c r="E68" s="79" t="s">
        <v>1125</v>
      </c>
      <c r="F68" s="77" t="str">
        <f>VLOOKUP(Table1[[#This Row],[CBRE sub-markets]],Reference!$A$2:$B$31,2,FALSE)</f>
        <v>Kowloon Others</v>
      </c>
      <c r="G68" s="77">
        <f>VLOOKUP(Table1[[#This Row],[CBRE sub-markets]],Reference!$A$2:$D$31,3,FALSE)</f>
        <v>8</v>
      </c>
      <c r="H68" s="79" t="str">
        <f>VLOOKUP(Table1[[#This Row],[CBRE sub-markets]],Reference!$A$2:$D$31,4,FALSE)</f>
        <v>Kowloon</v>
      </c>
      <c r="I68" s="80">
        <v>2016</v>
      </c>
      <c r="J68" s="80">
        <v>1</v>
      </c>
      <c r="K68" s="81" t="str">
        <f>IF(ISNUMBER(Table1[[#This Row],[Qtr]]),CONCATENATE(Table1[[#This Row],[Year]]," Q",Table1[[#This Row],[Qtr]]),CONCATENATE(Table1[[#This Row],[Year]],Table1[[#This Row],[Qtr]]))</f>
        <v>2016 Q1</v>
      </c>
      <c r="L68" s="80" t="s">
        <v>20</v>
      </c>
      <c r="M68" s="80" t="s">
        <v>84</v>
      </c>
      <c r="N68" s="80">
        <v>2</v>
      </c>
      <c r="O68" s="80" t="s">
        <v>741</v>
      </c>
      <c r="P68" s="80">
        <v>14</v>
      </c>
      <c r="Q68" s="82">
        <f>(24000+17000)/2</f>
        <v>20500</v>
      </c>
      <c r="R68" s="82">
        <f>Q68*(Y68/W68)</f>
        <v>14965</v>
      </c>
      <c r="S68" s="80" t="str">
        <f t="shared" si="5"/>
        <v>No</v>
      </c>
      <c r="T68" s="82"/>
      <c r="U68" s="82"/>
      <c r="V68" s="82">
        <f>W68/10.764</f>
        <v>56856.187290969901</v>
      </c>
      <c r="W68" s="82">
        <f>357000+255000</f>
        <v>612000</v>
      </c>
      <c r="X68" s="82">
        <f>Y68/10.764</f>
        <v>41505.016722408029</v>
      </c>
      <c r="Y68" s="82">
        <f>W68*0.73</f>
        <v>446760</v>
      </c>
      <c r="Z68" s="82"/>
      <c r="AA68" s="82">
        <f>357000*0.68</f>
        <v>242760.00000000003</v>
      </c>
      <c r="AB68" s="82"/>
      <c r="AC68" s="82">
        <f>IF(Table1[[#This Row],[For Sale or For Lease?]]="For Lease",Table1[[#This Row],[Office UFA (Net) (sf)]]-Table1[[#This Row],[Pre-leased space (Usable FA) (sf)]]-Table1[[#This Row],[Pre-sold (Usable FA) (sf)]]-Table1[[#This Row],[Self-use space (Usable FA) (sf)]],0)</f>
        <v>0</v>
      </c>
      <c r="AD68" s="82">
        <f>IF(Table1[[#This Row],[For Sale or For Lease?]]="For Sale",Table1[[#This Row],[Office UFA (Net) (sf)]]-Table1[[#This Row],[Pre-leased space (Usable FA) (sf)]]-Table1[[#This Row],[Pre-sold (Usable FA) (sf)]]-Table1[[#This Row],[Self-use space (Usable FA) (sf)]],0)</f>
        <v>203999.99999999997</v>
      </c>
      <c r="AE68" s="82">
        <f>IF(Table1[[#This Row],[For Sale or For Lease?]]="Uncertain",Table1[[#This Row],[Office UFA (Net) (sf)]]-Table1[[#This Row],[Pre-leased space (Usable FA) (sf)]]-Table1[[#This Row],[Pre-sold (Usable FA) (sf)]]-Table1[[#This Row],[Self-use space (Usable FA) (sf)]],0)</f>
        <v>0</v>
      </c>
      <c r="AF68" s="86">
        <f>1-SUM(Table1[[#This Row],[Space available for lease (Usable FA) (sf)]:[Space available uncertain of use (Usable FA) (sf)]])/Table1[[#This Row],[Office UFA (Net) (sf)]]</f>
        <v>0.54337899543378998</v>
      </c>
      <c r="AG68" s="79" t="s">
        <v>89</v>
      </c>
      <c r="AH68" s="84" t="s">
        <v>103</v>
      </c>
      <c r="AI68" s="79" t="s">
        <v>92</v>
      </c>
      <c r="AJ68" s="83">
        <v>42370</v>
      </c>
      <c r="AK68" s="83">
        <v>42446</v>
      </c>
      <c r="AL68" s="85" t="s">
        <v>29</v>
      </c>
      <c r="AM68" s="85" t="s">
        <v>1229</v>
      </c>
      <c r="AN68" s="79" t="s">
        <v>73</v>
      </c>
      <c r="AO68" s="77" t="s">
        <v>704</v>
      </c>
      <c r="AP68" s="77" t="s">
        <v>81</v>
      </c>
      <c r="AQ68" s="77" t="s">
        <v>1199</v>
      </c>
      <c r="AR68" s="79" t="s">
        <v>2426</v>
      </c>
      <c r="AS68" s="79"/>
      <c r="AT68" s="80"/>
      <c r="AU68" s="80"/>
      <c r="AV68" s="77"/>
    </row>
    <row r="69" spans="1:48" ht="15" hidden="1" customHeight="1" x14ac:dyDescent="0.35">
      <c r="A69" s="77"/>
      <c r="B69" s="77" t="s">
        <v>1248</v>
      </c>
      <c r="C69" s="77" t="s">
        <v>1236</v>
      </c>
      <c r="D69" s="77" t="s">
        <v>1237</v>
      </c>
      <c r="E69" s="79" t="s">
        <v>11</v>
      </c>
      <c r="F69" s="77" t="str">
        <f>VLOOKUP(Table1[[#This Row],[CBRE sub-markets]],Reference!$A$2:$B$31,2,FALSE)</f>
        <v>Kowloon Others</v>
      </c>
      <c r="G69" s="77">
        <f>VLOOKUP(Table1[[#This Row],[CBRE sub-markets]],Reference!$A$2:$D$31,3,FALSE)</f>
        <v>8</v>
      </c>
      <c r="H69" s="79" t="str">
        <f>VLOOKUP(Table1[[#This Row],[CBRE sub-markets]],Reference!$A$2:$D$31,4,FALSE)</f>
        <v>Kowloon</v>
      </c>
      <c r="I69" s="80">
        <v>2016</v>
      </c>
      <c r="J69" s="80">
        <v>2</v>
      </c>
      <c r="K69" s="81" t="str">
        <f>IF(ISNUMBER(Table1[[#This Row],[Qtr]]),CONCATENATE(Table1[[#This Row],[Year]]," Q",Table1[[#This Row],[Qtr]]),CONCATENATE(Table1[[#This Row],[Year]],Table1[[#This Row],[Qtr]]))</f>
        <v>2016 Q2</v>
      </c>
      <c r="L69" s="80" t="s">
        <v>20</v>
      </c>
      <c r="M69" s="80" t="s">
        <v>84</v>
      </c>
      <c r="N69" s="80">
        <v>1</v>
      </c>
      <c r="O69" s="80">
        <v>28</v>
      </c>
      <c r="P69" s="80">
        <v>16</v>
      </c>
      <c r="Q69" s="82">
        <v>18923</v>
      </c>
      <c r="R69" s="82">
        <v>12889</v>
      </c>
      <c r="S69" s="80" t="str">
        <f t="shared" si="5"/>
        <v>No</v>
      </c>
      <c r="T69" s="82"/>
      <c r="U69" s="82"/>
      <c r="V69" s="82">
        <f>W69/10.764</f>
        <v>28278.428093645485</v>
      </c>
      <c r="W69" s="105">
        <v>304389</v>
      </c>
      <c r="X69" s="82">
        <f>Y69/10.764</f>
        <v>19404.496469713864</v>
      </c>
      <c r="Y69" s="82">
        <v>208870</v>
      </c>
      <c r="Z69" s="82"/>
      <c r="AA69" s="82">
        <f>Table1[[#This Row],[Office UFA (Net) (sf)]]</f>
        <v>208870</v>
      </c>
      <c r="AB69" s="82"/>
      <c r="AC69" s="82">
        <f>IF(Table1[[#This Row],[For Sale or For Lease?]]="For Lease",Table1[[#This Row],[Office UFA (Net) (sf)]]-Table1[[#This Row],[Pre-leased space (Usable FA) (sf)]]-Table1[[#This Row],[Pre-sold (Usable FA) (sf)]]-Table1[[#This Row],[Self-use space (Usable FA) (sf)]],0)</f>
        <v>0</v>
      </c>
      <c r="AD69" s="82">
        <f>IF(Table1[[#This Row],[For Sale or For Lease?]]="For Sale",Table1[[#This Row],[Office UFA (Net) (sf)]]-Table1[[#This Row],[Pre-leased space (Usable FA) (sf)]]-Table1[[#This Row],[Pre-sold (Usable FA) (sf)]]-Table1[[#This Row],[Self-use space (Usable FA) (sf)]],0)</f>
        <v>0</v>
      </c>
      <c r="AE69" s="82">
        <f>IF(Table1[[#This Row],[For Sale or For Lease?]]="Uncertain",Table1[[#This Row],[Office UFA (Net) (sf)]]-Table1[[#This Row],[Pre-leased space (Usable FA) (sf)]]-Table1[[#This Row],[Pre-sold (Usable FA) (sf)]]-Table1[[#This Row],[Self-use space (Usable FA) (sf)]],0)</f>
        <v>0</v>
      </c>
      <c r="AF69" s="86">
        <f>1-SUM(Table1[[#This Row],[Space available for lease (Usable FA) (sf)]:[Space available uncertain of use (Usable FA) (sf)]])/Table1[[#This Row],[Office UFA (Net) (sf)]]</f>
        <v>1</v>
      </c>
      <c r="AG69" s="79" t="s">
        <v>89</v>
      </c>
      <c r="AH69" s="84" t="s">
        <v>103</v>
      </c>
      <c r="AI69" s="79" t="s">
        <v>92</v>
      </c>
      <c r="AJ69" s="83">
        <v>42461</v>
      </c>
      <c r="AK69" s="83">
        <v>41206</v>
      </c>
      <c r="AL69" s="85" t="s">
        <v>30</v>
      </c>
      <c r="AM69" s="85" t="s">
        <v>501</v>
      </c>
      <c r="AN69" s="79" t="s">
        <v>73</v>
      </c>
      <c r="AO69" s="77" t="s">
        <v>704</v>
      </c>
      <c r="AP69" s="77" t="s">
        <v>82</v>
      </c>
      <c r="AQ69" s="77" t="s">
        <v>1245</v>
      </c>
      <c r="AR69" s="79" t="s">
        <v>2427</v>
      </c>
      <c r="AS69" s="79"/>
      <c r="AT69" s="80"/>
      <c r="AU69" s="80"/>
      <c r="AV69" s="77"/>
    </row>
    <row r="70" spans="1:48" ht="15" hidden="1" customHeight="1" x14ac:dyDescent="0.35">
      <c r="A70" s="77"/>
      <c r="B70" s="77" t="s">
        <v>1335</v>
      </c>
      <c r="C70" s="77" t="s">
        <v>1202</v>
      </c>
      <c r="D70" s="77" t="s">
        <v>500</v>
      </c>
      <c r="E70" s="79" t="s">
        <v>57</v>
      </c>
      <c r="F70" s="77" t="str">
        <f>VLOOKUP(Table1[[#This Row],[CBRE sub-markets]],Reference!$A$2:$B$31,2,FALSE)</f>
        <v>New Territories</v>
      </c>
      <c r="G70" s="77">
        <f>VLOOKUP(Table1[[#This Row],[CBRE sub-markets]],Reference!$A$2:$D$31,3,FALSE)</f>
        <v>9</v>
      </c>
      <c r="H70" s="79" t="str">
        <f>VLOOKUP(Table1[[#This Row],[CBRE sub-markets]],Reference!$A$2:$D$31,4,FALSE)</f>
        <v>New Territories</v>
      </c>
      <c r="I70" s="80">
        <v>2016</v>
      </c>
      <c r="J70" s="80">
        <v>2</v>
      </c>
      <c r="K70" s="81" t="str">
        <f>IF(ISNUMBER(Table1[[#This Row],[Qtr]]),CONCATENATE(Table1[[#This Row],[Year]]," Q",Table1[[#This Row],[Qtr]]),CONCATENATE(Table1[[#This Row],[Year]],Table1[[#This Row],[Qtr]]))</f>
        <v>2016 Q2</v>
      </c>
      <c r="L70" s="80" t="s">
        <v>20</v>
      </c>
      <c r="M70" s="80" t="s">
        <v>84</v>
      </c>
      <c r="N70" s="80">
        <v>1</v>
      </c>
      <c r="O70" s="80" t="s">
        <v>337</v>
      </c>
      <c r="P70" s="80">
        <v>20</v>
      </c>
      <c r="Q70" s="82">
        <f>39980.8*10.7639/25</f>
        <v>17213.973324800001</v>
      </c>
      <c r="R70" s="82">
        <f>Q70*(Y70/W70)</f>
        <v>11822.534842917816</v>
      </c>
      <c r="S70" s="80" t="str">
        <f t="shared" si="5"/>
        <v>No</v>
      </c>
      <c r="T70" s="82"/>
      <c r="U70" s="82"/>
      <c r="V70" s="82">
        <f>Table1[[#This Row],[Office GFA (sf)]]/10.764</f>
        <v>29144.555927164623</v>
      </c>
      <c r="W70" s="82">
        <f>(868+1437+726+832+747+694+1470+900+900+1560+729+790+882+766+1524+865)*11+15690+(868+1438+725+832+747+710+1454+894+894+1541+749+790+882+765+1525+865)*6+(1072+1438+725+832+747+710+1454+1096+7605)*2</f>
        <v>313712</v>
      </c>
      <c r="X70" s="82">
        <f>Table1[[#This Row],[Office UFA (Net) (sf)]]/10.764</f>
        <v>20016.443701226312</v>
      </c>
      <c r="Y70" s="82">
        <f>(590+977+494+566+508+472+1000+612+612+1061+496+537+600+521+1036+588)*11+11865+(590+978+493+566+508+483+989+608+608+1048+509+537+600+520+1037+588)*6+(729+978+493+566+508+483+989+745+5634)*2</f>
        <v>215457</v>
      </c>
      <c r="Z70" s="82"/>
      <c r="AA70" s="82">
        <f>Table1[[#This Row],[Office UFA (Net) (sf)]]-(590+989+520+588+1000+1061+590+977+1000*4+612*5+612*3+1061*3+1036*4+588*2)</f>
        <v>191743</v>
      </c>
      <c r="AB70" s="82"/>
      <c r="AC70" s="82">
        <f>IF(Table1[[#This Row],[For Sale or For Lease?]]="For Lease",Table1[[#This Row],[Office UFA (Net) (sf)]]-Table1[[#This Row],[Pre-leased space (Usable FA) (sf)]]-Table1[[#This Row],[Pre-sold (Usable FA) (sf)]]-Table1[[#This Row],[Self-use space (Usable FA) (sf)]],0)</f>
        <v>0</v>
      </c>
      <c r="AD70" s="82">
        <f>IF(Table1[[#This Row],[For Sale or For Lease?]]="For Sale",Table1[[#This Row],[Office UFA (Net) (sf)]]-Table1[[#This Row],[Pre-leased space (Usable FA) (sf)]]-Table1[[#This Row],[Pre-sold (Usable FA) (sf)]]-Table1[[#This Row],[Self-use space (Usable FA) (sf)]],0)</f>
        <v>23714</v>
      </c>
      <c r="AE70" s="82">
        <f>IF(Table1[[#This Row],[For Sale or For Lease?]]="Uncertain",Table1[[#This Row],[Office UFA (Net) (sf)]]-Table1[[#This Row],[Pre-leased space (Usable FA) (sf)]]-Table1[[#This Row],[Pre-sold (Usable FA) (sf)]]-Table1[[#This Row],[Self-use space (Usable FA) (sf)]],0)</f>
        <v>0</v>
      </c>
      <c r="AF70" s="86">
        <f>1-SUM(Table1[[#This Row],[Space available for lease (Usable FA) (sf)]:[Space available uncertain of use (Usable FA) (sf)]])/Table1[[#This Row],[Office UFA (Net) (sf)]]</f>
        <v>0.88993627498758454</v>
      </c>
      <c r="AG70" s="79" t="s">
        <v>89</v>
      </c>
      <c r="AH70" s="84" t="s">
        <v>103</v>
      </c>
      <c r="AI70" s="79" t="s">
        <v>92</v>
      </c>
      <c r="AJ70" s="83">
        <v>41883</v>
      </c>
      <c r="AK70" s="83">
        <v>41982</v>
      </c>
      <c r="AL70" s="85" t="s">
        <v>29</v>
      </c>
      <c r="AM70" s="85" t="s">
        <v>501</v>
      </c>
      <c r="AN70" s="79" t="s">
        <v>73</v>
      </c>
      <c r="AO70" s="77" t="s">
        <v>704</v>
      </c>
      <c r="AP70" s="77" t="s">
        <v>82</v>
      </c>
      <c r="AQ70" s="77" t="s">
        <v>1333</v>
      </c>
      <c r="AR70" s="79" t="s">
        <v>2357</v>
      </c>
      <c r="AS70" s="79"/>
      <c r="AT70" s="80"/>
      <c r="AU70" s="80"/>
      <c r="AV70" s="77"/>
    </row>
    <row r="71" spans="1:48" ht="15" hidden="1" customHeight="1" x14ac:dyDescent="0.35">
      <c r="A71" s="77"/>
      <c r="B71" s="77" t="s">
        <v>1089</v>
      </c>
      <c r="C71" s="77" t="s">
        <v>1081</v>
      </c>
      <c r="D71" s="77"/>
      <c r="E71" s="79" t="s">
        <v>1</v>
      </c>
      <c r="F71" s="77" t="str">
        <f>VLOOKUP(Table1[[#This Row],[CBRE sub-markets]],Reference!$A$2:$B$31,2,FALSE)</f>
        <v>Central</v>
      </c>
      <c r="G71" s="77">
        <f>VLOOKUP(Table1[[#This Row],[CBRE sub-markets]],Reference!$A$2:$D$31,3,FALSE)</f>
        <v>1</v>
      </c>
      <c r="H71" s="79" t="str">
        <f>VLOOKUP(Table1[[#This Row],[CBRE sub-markets]],Reference!$A$2:$D$31,4,FALSE)</f>
        <v>Hong Kong Island</v>
      </c>
      <c r="I71" s="80">
        <v>2016</v>
      </c>
      <c r="J71" s="80">
        <v>4</v>
      </c>
      <c r="K71" s="81" t="str">
        <f>IF(ISNUMBER(Table1[[#This Row],[Qtr]]),CONCATENATE(Table1[[#This Row],[Year]]," Q",Table1[[#This Row],[Qtr]]),CONCATENATE(Table1[[#This Row],[Year]],Table1[[#This Row],[Qtr]]))</f>
        <v>2016 Q4</v>
      </c>
      <c r="L71" s="80" t="s">
        <v>21</v>
      </c>
      <c r="M71" s="80" t="s">
        <v>84</v>
      </c>
      <c r="N71" s="80">
        <v>1</v>
      </c>
      <c r="O71" s="80" t="s">
        <v>191</v>
      </c>
      <c r="P71" s="80"/>
      <c r="Q71" s="82">
        <v>3475</v>
      </c>
      <c r="R71" s="82">
        <f>Q71*(Y71/W71)</f>
        <v>1542.3556499709716</v>
      </c>
      <c r="S71" s="80" t="str">
        <f t="shared" si="5"/>
        <v>No</v>
      </c>
      <c r="T71" s="82"/>
      <c r="U71" s="82"/>
      <c r="V71" s="82">
        <v>7578.8</v>
      </c>
      <c r="W71" s="82">
        <f>IF(ISBLANK(V71),"",V71*10.764)</f>
        <v>81578.203200000004</v>
      </c>
      <c r="X71" s="82">
        <v>3363.8</v>
      </c>
      <c r="Y71" s="82">
        <f>IF(ISBLANK(X71),"",X71*10.764)</f>
        <v>36207.943200000002</v>
      </c>
      <c r="Z71" s="82"/>
      <c r="AA71" s="82"/>
      <c r="AB71" s="82"/>
      <c r="AC71" s="82">
        <f>IF(Table1[[#This Row],[For Sale or For Lease?]]="For Lease",Table1[[#This Row],[Office UFA (Net) (sf)]]-Table1[[#This Row],[Pre-leased space (Usable FA) (sf)]]-Table1[[#This Row],[Pre-sold (Usable FA) (sf)]]-Table1[[#This Row],[Self-use space (Usable FA) (sf)]],0)</f>
        <v>36207.943200000002</v>
      </c>
      <c r="AD71" s="82">
        <f>IF(Table1[[#This Row],[For Sale or For Lease?]]="For Sale",Table1[[#This Row],[Office UFA (Net) (sf)]]-Table1[[#This Row],[Pre-leased space (Usable FA) (sf)]]-Table1[[#This Row],[Pre-sold (Usable FA) (sf)]]-Table1[[#This Row],[Self-use space (Usable FA) (sf)]],0)</f>
        <v>0</v>
      </c>
      <c r="AE71" s="82">
        <f>IF(Table1[[#This Row],[For Sale or For Lease?]]="Uncertain",Table1[[#This Row],[Office UFA (Net) (sf)]]-Table1[[#This Row],[Pre-leased space (Usable FA) (sf)]]-Table1[[#This Row],[Pre-sold (Usable FA) (sf)]]-Table1[[#This Row],[Self-use space (Usable FA) (sf)]],0)</f>
        <v>0</v>
      </c>
      <c r="AF71" s="86">
        <f>1-SUM(Table1[[#This Row],[Space available for lease (Usable FA) (sf)]:[Space available uncertain of use (Usable FA) (sf)]])/Table1[[#This Row],[Office UFA (Net) (sf)]]</f>
        <v>0</v>
      </c>
      <c r="AG71" s="79" t="s">
        <v>89</v>
      </c>
      <c r="AH71" s="84" t="s">
        <v>103</v>
      </c>
      <c r="AI71" s="79" t="s">
        <v>92</v>
      </c>
      <c r="AJ71" s="83">
        <v>42675</v>
      </c>
      <c r="AK71" s="83">
        <v>43282</v>
      </c>
      <c r="AL71" s="85" t="s">
        <v>30</v>
      </c>
      <c r="AM71" s="85" t="s">
        <v>338</v>
      </c>
      <c r="AN71" s="79" t="s">
        <v>73</v>
      </c>
      <c r="AO71" s="77" t="s">
        <v>705</v>
      </c>
      <c r="AP71" s="77" t="s">
        <v>81</v>
      </c>
      <c r="AQ71" s="77" t="s">
        <v>786</v>
      </c>
      <c r="AR71" s="79" t="s">
        <v>1719</v>
      </c>
      <c r="AS71" s="79"/>
      <c r="AT71" s="80"/>
      <c r="AU71" s="80"/>
      <c r="AV71" s="77" t="s">
        <v>2207</v>
      </c>
    </row>
    <row r="72" spans="1:48" ht="15" hidden="1" customHeight="1" x14ac:dyDescent="0.35">
      <c r="A72" s="77"/>
      <c r="B72" s="77" t="s">
        <v>1120</v>
      </c>
      <c r="C72" s="77" t="s">
        <v>843</v>
      </c>
      <c r="D72" s="77" t="s">
        <v>1121</v>
      </c>
      <c r="E72" s="79" t="s">
        <v>171</v>
      </c>
      <c r="F72" s="77" t="str">
        <f>VLOOKUP(Table1[[#This Row],[CBRE sub-markets]],Reference!$A$2:$B$31,2,FALSE)</f>
        <v>Kowloon East</v>
      </c>
      <c r="G72" s="77">
        <f>VLOOKUP(Table1[[#This Row],[CBRE sub-markets]],Reference!$A$2:$D$31,3,FALSE)</f>
        <v>7</v>
      </c>
      <c r="H72" s="79" t="str">
        <f>VLOOKUP(Table1[[#This Row],[CBRE sub-markets]],Reference!$A$2:$D$31,4,FALSE)</f>
        <v>Kowloon</v>
      </c>
      <c r="I72" s="80">
        <v>2016</v>
      </c>
      <c r="J72" s="80">
        <v>4</v>
      </c>
      <c r="K72" s="81" t="str">
        <f>IF(ISNUMBER(Table1[[#This Row],[Qtr]]),CONCATENATE(Table1[[#This Row],[Year]]," Q",Table1[[#This Row],[Qtr]]),CONCATENATE(Table1[[#This Row],[Year]],Table1[[#This Row],[Qtr]]))</f>
        <v>2016 Q4</v>
      </c>
      <c r="L72" s="80" t="s">
        <v>748</v>
      </c>
      <c r="M72" s="80" t="s">
        <v>84</v>
      </c>
      <c r="N72" s="80">
        <v>1</v>
      </c>
      <c r="O72" s="80"/>
      <c r="P72" s="80"/>
      <c r="Q72" s="82">
        <v>18754</v>
      </c>
      <c r="R72" s="82">
        <f>Q72*0.75</f>
        <v>14065.5</v>
      </c>
      <c r="S72" s="80" t="str">
        <f t="shared" si="5"/>
        <v>No</v>
      </c>
      <c r="T72" s="82"/>
      <c r="U72" s="82"/>
      <c r="V72" s="82">
        <f>W72/10.764</f>
        <v>16299.424005945746</v>
      </c>
      <c r="W72" s="82">
        <v>175447</v>
      </c>
      <c r="X72" s="82">
        <f>Y72/10.764</f>
        <v>12224.56800445931</v>
      </c>
      <c r="Y72" s="82">
        <f>W72*0.75</f>
        <v>131585.25</v>
      </c>
      <c r="Z72" s="82"/>
      <c r="AA72" s="82"/>
      <c r="AB72" s="82"/>
      <c r="AC72" s="82">
        <f>IF(Table1[[#This Row],[For Sale or For Lease?]]="For Lease",Table1[[#This Row],[Office UFA (Net) (sf)]]-Table1[[#This Row],[Pre-leased space (Usable FA) (sf)]]-Table1[[#This Row],[Pre-sold (Usable FA) (sf)]]-Table1[[#This Row],[Self-use space (Usable FA) (sf)]],0)</f>
        <v>131585.25</v>
      </c>
      <c r="AD72" s="82">
        <f>IF(Table1[[#This Row],[For Sale or For Lease?]]="For Sale",Table1[[#This Row],[Office UFA (Net) (sf)]]-Table1[[#This Row],[Pre-leased space (Usable FA) (sf)]]-Table1[[#This Row],[Pre-sold (Usable FA) (sf)]]-Table1[[#This Row],[Self-use space (Usable FA) (sf)]],0)</f>
        <v>0</v>
      </c>
      <c r="AE72" s="82">
        <f>IF(Table1[[#This Row],[For Sale or For Lease?]]="Uncertain",Table1[[#This Row],[Office UFA (Net) (sf)]]-Table1[[#This Row],[Pre-leased space (Usable FA) (sf)]]-Table1[[#This Row],[Pre-sold (Usable FA) (sf)]]-Table1[[#This Row],[Self-use space (Usable FA) (sf)]],0)</f>
        <v>0</v>
      </c>
      <c r="AF72" s="86">
        <f>1-SUM(Table1[[#This Row],[Space available for lease (Usable FA) (sf)]:[Space available uncertain of use (Usable FA) (sf)]])/Table1[[#This Row],[Office UFA (Net) (sf)]]</f>
        <v>0</v>
      </c>
      <c r="AG72" s="79" t="s">
        <v>89</v>
      </c>
      <c r="AH72" s="84"/>
      <c r="AI72" s="79" t="s">
        <v>1122</v>
      </c>
      <c r="AJ72" s="83">
        <v>42110</v>
      </c>
      <c r="AK72" s="83">
        <v>42110</v>
      </c>
      <c r="AL72" s="85" t="s">
        <v>748</v>
      </c>
      <c r="AM72" s="85"/>
      <c r="AN72" s="79" t="s">
        <v>73</v>
      </c>
      <c r="AO72" s="77" t="s">
        <v>705</v>
      </c>
      <c r="AP72" s="77" t="s">
        <v>81</v>
      </c>
      <c r="AQ72" s="77"/>
      <c r="AR72" s="79" t="s">
        <v>1720</v>
      </c>
      <c r="AS72" s="79"/>
      <c r="AT72" s="80"/>
      <c r="AU72" s="80"/>
      <c r="AV72" s="77" t="s">
        <v>2208</v>
      </c>
    </row>
    <row r="73" spans="1:48" ht="15" hidden="1" customHeight="1" x14ac:dyDescent="0.35">
      <c r="A73" s="77"/>
      <c r="B73" s="77" t="s">
        <v>783</v>
      </c>
      <c r="C73" s="77" t="s">
        <v>1185</v>
      </c>
      <c r="D73" s="77" t="s">
        <v>426</v>
      </c>
      <c r="E73" s="79" t="s">
        <v>171</v>
      </c>
      <c r="F73" s="77" t="str">
        <f>VLOOKUP(Table1[[#This Row],[CBRE sub-markets]],Reference!$A$2:$B$31,2,FALSE)</f>
        <v>Kowloon East</v>
      </c>
      <c r="G73" s="77">
        <f>VLOOKUP(Table1[[#This Row],[CBRE sub-markets]],Reference!$A$2:$D$31,3,FALSE)</f>
        <v>7</v>
      </c>
      <c r="H73" s="79" t="str">
        <f>VLOOKUP(Table1[[#This Row],[CBRE sub-markets]],Reference!$A$2:$D$31,4,FALSE)</f>
        <v>Kowloon</v>
      </c>
      <c r="I73" s="80">
        <v>2016</v>
      </c>
      <c r="J73" s="80">
        <v>4</v>
      </c>
      <c r="K73" s="81" t="str">
        <f>IF(ISNUMBER(Table1[[#This Row],[Qtr]]),CONCATENATE(Table1[[#This Row],[Year]]," Q",Table1[[#This Row],[Qtr]]),CONCATENATE(Table1[[#This Row],[Year]],Table1[[#This Row],[Qtr]]))</f>
        <v>2016 Q4</v>
      </c>
      <c r="L73" s="80" t="s">
        <v>20</v>
      </c>
      <c r="M73" s="80" t="s">
        <v>84</v>
      </c>
      <c r="N73" s="80">
        <v>1</v>
      </c>
      <c r="O73" s="80" t="s">
        <v>400</v>
      </c>
      <c r="P73" s="80" t="s">
        <v>1324</v>
      </c>
      <c r="Q73" s="82">
        <f>+W73/28</f>
        <v>26392.071428571428</v>
      </c>
      <c r="R73" s="82">
        <f>Q73*(Y73/W73)</f>
        <v>17765.68392857143</v>
      </c>
      <c r="S73" s="80" t="str">
        <f t="shared" si="5"/>
        <v>Yes</v>
      </c>
      <c r="T73" s="82"/>
      <c r="U73" s="82"/>
      <c r="V73" s="82">
        <f>Table1[[#This Row],[Office GFA (sf)]]/10.7639</f>
        <v>68653.369132006061</v>
      </c>
      <c r="W73" s="82">
        <f>34990*3+34890*5+31431*7+31291+31420*4+26318+28126*2</f>
        <v>738978</v>
      </c>
      <c r="X73" s="82">
        <f>Y73/10.764</f>
        <v>46213.224637681167</v>
      </c>
      <c r="Y73" s="82">
        <v>497439.15</v>
      </c>
      <c r="Z73" s="82"/>
      <c r="AA73" s="82"/>
      <c r="AB73" s="82">
        <f>(31420+26318+28126*2)*0.65</f>
        <v>74093.5</v>
      </c>
      <c r="AC73" s="82">
        <f>IF(Table1[[#This Row],[For Sale or For Lease?]]="For Lease",Table1[[#This Row],[Office UFA (Net) (sf)]]-Table1[[#This Row],[Pre-leased space (Usable FA) (sf)]]-Table1[[#This Row],[Pre-sold (Usable FA) (sf)]]-Table1[[#This Row],[Self-use space (Usable FA) (sf)]],0)</f>
        <v>423345.65</v>
      </c>
      <c r="AD73" s="82">
        <f>IF(Table1[[#This Row],[For Sale or For Lease?]]="For Sale",Table1[[#This Row],[Office UFA (Net) (sf)]]-Table1[[#This Row],[Pre-leased space (Usable FA) (sf)]]-Table1[[#This Row],[Pre-sold (Usable FA) (sf)]]-Table1[[#This Row],[Self-use space (Usable FA) (sf)]],0)</f>
        <v>0</v>
      </c>
      <c r="AE73" s="82">
        <f>IF(Table1[[#This Row],[For Sale or For Lease?]]="Uncertain",Table1[[#This Row],[Office UFA (Net) (sf)]]-Table1[[#This Row],[Pre-leased space (Usable FA) (sf)]]-Table1[[#This Row],[Pre-sold (Usable FA) (sf)]]-Table1[[#This Row],[Self-use space (Usable FA) (sf)]],0)</f>
        <v>0</v>
      </c>
      <c r="AF73" s="86">
        <f>1-SUM(Table1[[#This Row],[Space available for lease (Usable FA) (sf)]:[Space available uncertain of use (Usable FA) (sf)]])/Table1[[#This Row],[Office UFA (Net) (sf)]]</f>
        <v>0.1489498765828946</v>
      </c>
      <c r="AG73" s="79" t="s">
        <v>89</v>
      </c>
      <c r="AH73" s="84" t="s">
        <v>138</v>
      </c>
      <c r="AI73" s="79" t="s">
        <v>92</v>
      </c>
      <c r="AJ73" s="83">
        <v>41091</v>
      </c>
      <c r="AK73" s="83">
        <v>41206</v>
      </c>
      <c r="AL73" s="85" t="s">
        <v>29</v>
      </c>
      <c r="AM73" s="85" t="s">
        <v>1218</v>
      </c>
      <c r="AN73" s="79" t="s">
        <v>73</v>
      </c>
      <c r="AO73" s="77" t="s">
        <v>705</v>
      </c>
      <c r="AP73" s="77" t="s">
        <v>81</v>
      </c>
      <c r="AQ73" s="77" t="s">
        <v>1204</v>
      </c>
      <c r="AR73" s="79" t="s">
        <v>2356</v>
      </c>
      <c r="AS73" s="79"/>
      <c r="AT73" s="80"/>
      <c r="AU73" s="80"/>
      <c r="AV73" s="77"/>
    </row>
    <row r="74" spans="1:48" ht="15" hidden="1" customHeight="1" x14ac:dyDescent="0.35">
      <c r="A74" s="77"/>
      <c r="B74" s="77" t="s">
        <v>1079</v>
      </c>
      <c r="C74" s="77" t="s">
        <v>1079</v>
      </c>
      <c r="D74" s="77" t="s">
        <v>758</v>
      </c>
      <c r="E74" s="79" t="s">
        <v>50</v>
      </c>
      <c r="F74" s="77" t="str">
        <f>VLOOKUP(Table1[[#This Row],[CBRE sub-markets]],Reference!$A$2:$B$31,2,FALSE)</f>
        <v>Kowloon East</v>
      </c>
      <c r="G74" s="77">
        <f>VLOOKUP(Table1[[#This Row],[CBRE sub-markets]],Reference!$A$2:$D$31,3,FALSE)</f>
        <v>7</v>
      </c>
      <c r="H74" s="79" t="str">
        <f>VLOOKUP(Table1[[#This Row],[CBRE sub-markets]],Reference!$A$2:$D$31,4,FALSE)</f>
        <v>Kowloon</v>
      </c>
      <c r="I74" s="80">
        <v>2016</v>
      </c>
      <c r="J74" s="80">
        <v>4</v>
      </c>
      <c r="K74" s="81" t="str">
        <f>IF(ISNUMBER(Table1[[#This Row],[Qtr]]),CONCATENATE(Table1[[#This Row],[Year]]," Q",Table1[[#This Row],[Qtr]]),CONCATENATE(Table1[[#This Row],[Year]],Table1[[#This Row],[Qtr]]))</f>
        <v>2016 Q4</v>
      </c>
      <c r="L74" s="80" t="s">
        <v>748</v>
      </c>
      <c r="M74" s="80" t="s">
        <v>84</v>
      </c>
      <c r="N74" s="80">
        <v>1</v>
      </c>
      <c r="O74" s="80">
        <v>10</v>
      </c>
      <c r="P74" s="80"/>
      <c r="Q74" s="82">
        <v>14563</v>
      </c>
      <c r="R74" s="82">
        <f>590+977+494+566+508+472+1000+612+612+1061+496+537+600+521+1036+588</f>
        <v>10670</v>
      </c>
      <c r="S74" s="80" t="str">
        <f t="shared" si="5"/>
        <v>No</v>
      </c>
      <c r="T74" s="82"/>
      <c r="U74" s="82"/>
      <c r="V74" s="82">
        <f>W74/10.765</f>
        <v>14972.875058058522</v>
      </c>
      <c r="W74" s="82">
        <v>161183</v>
      </c>
      <c r="X74" s="82">
        <f>Y74/10.765</f>
        <v>11229.656293543892</v>
      </c>
      <c r="Y74" s="82">
        <f>W74*0.75</f>
        <v>120887.25</v>
      </c>
      <c r="Z74" s="82"/>
      <c r="AA74" s="82"/>
      <c r="AB74" s="82"/>
      <c r="AC74" s="82">
        <f>IF(Table1[[#This Row],[For Sale or For Lease?]]="For Lease",Table1[[#This Row],[Office UFA (Net) (sf)]]-Table1[[#This Row],[Pre-leased space (Usable FA) (sf)]]-Table1[[#This Row],[Pre-sold (Usable FA) (sf)]]-Table1[[#This Row],[Self-use space (Usable FA) (sf)]],0)</f>
        <v>120887.25</v>
      </c>
      <c r="AD74" s="82">
        <f>IF(Table1[[#This Row],[For Sale or For Lease?]]="For Sale",Table1[[#This Row],[Office UFA (Net) (sf)]]-Table1[[#This Row],[Pre-leased space (Usable FA) (sf)]]-Table1[[#This Row],[Pre-sold (Usable FA) (sf)]]-Table1[[#This Row],[Self-use space (Usable FA) (sf)]],0)</f>
        <v>0</v>
      </c>
      <c r="AE74" s="82">
        <f>IF(Table1[[#This Row],[For Sale or For Lease?]]="Uncertain",Table1[[#This Row],[Office UFA (Net) (sf)]]-Table1[[#This Row],[Pre-leased space (Usable FA) (sf)]]-Table1[[#This Row],[Pre-sold (Usable FA) (sf)]]-Table1[[#This Row],[Self-use space (Usable FA) (sf)]],0)</f>
        <v>0</v>
      </c>
      <c r="AF74" s="86">
        <f>1-SUM(Table1[[#This Row],[Space available for lease (Usable FA) (sf)]:[Space available uncertain of use (Usable FA) (sf)]])/Table1[[#This Row],[Office UFA (Net) (sf)]]</f>
        <v>0</v>
      </c>
      <c r="AG74" s="79"/>
      <c r="AH74" s="84"/>
      <c r="AI74" s="79"/>
      <c r="AJ74" s="83"/>
      <c r="AK74" s="83">
        <v>41432</v>
      </c>
      <c r="AL74" s="85" t="s">
        <v>748</v>
      </c>
      <c r="AM74" s="85" t="s">
        <v>747</v>
      </c>
      <c r="AN74" s="79" t="s">
        <v>73</v>
      </c>
      <c r="AO74" s="77" t="s">
        <v>705</v>
      </c>
      <c r="AP74" s="77" t="s">
        <v>81</v>
      </c>
      <c r="AQ74" s="77" t="s">
        <v>759</v>
      </c>
      <c r="AR74" s="79" t="s">
        <v>2409</v>
      </c>
      <c r="AS74" s="79"/>
      <c r="AT74" s="80"/>
      <c r="AU74" s="80"/>
      <c r="AV74" s="77" t="s">
        <v>2209</v>
      </c>
    </row>
    <row r="75" spans="1:48" ht="15" hidden="1" customHeight="1" x14ac:dyDescent="0.35">
      <c r="A75" s="77"/>
      <c r="B75" s="77" t="s">
        <v>1117</v>
      </c>
      <c r="C75" s="77" t="s">
        <v>1194</v>
      </c>
      <c r="D75" s="77"/>
      <c r="E75" s="79" t="s">
        <v>130</v>
      </c>
      <c r="F75" s="77" t="str">
        <f>VLOOKUP(Table1[[#This Row],[CBRE sub-markets]],Reference!$A$2:$B$31,2,FALSE)</f>
        <v>Wong Chuk Hang</v>
      </c>
      <c r="G75" s="77">
        <f>VLOOKUP(Table1[[#This Row],[CBRE sub-markets]],Reference!$A$2:$D$31,3,FALSE)</f>
        <v>5</v>
      </c>
      <c r="H75" s="79" t="str">
        <f>VLOOKUP(Table1[[#This Row],[CBRE sub-markets]],Reference!$A$2:$D$31,4,FALSE)</f>
        <v>Hong Kong Island</v>
      </c>
      <c r="I75" s="80">
        <v>2017</v>
      </c>
      <c r="J75" s="80">
        <v>1</v>
      </c>
      <c r="K75" s="81" t="str">
        <f>IF(ISNUMBER(Table1[[#This Row],[Qtr]]),CONCATENATE(Table1[[#This Row],[Year]]," Q",Table1[[#This Row],[Qtr]]),CONCATENATE(Table1[[#This Row],[Year]],Table1[[#This Row],[Qtr]]))</f>
        <v>2017 Q1</v>
      </c>
      <c r="L75" s="80" t="s">
        <v>20</v>
      </c>
      <c r="M75" s="80" t="s">
        <v>84</v>
      </c>
      <c r="N75" s="80">
        <v>1</v>
      </c>
      <c r="O75" s="80" t="s">
        <v>830</v>
      </c>
      <c r="P75" s="80">
        <v>22</v>
      </c>
      <c r="Q75" s="82">
        <v>7050</v>
      </c>
      <c r="R75" s="82">
        <f>Q75*0.75</f>
        <v>5287.5</v>
      </c>
      <c r="S75" s="80" t="str">
        <f t="shared" si="5"/>
        <v>No</v>
      </c>
      <c r="T75" s="82"/>
      <c r="U75" s="82"/>
      <c r="V75" s="82">
        <f>Table1[[#This Row],[Office GFA (sf)]]/10.764</f>
        <v>15064.102564102564</v>
      </c>
      <c r="W75" s="82">
        <f>7050*23</f>
        <v>162150</v>
      </c>
      <c r="X75" s="82">
        <f>Table1[[#This Row],[Office GFA (sf)]]/10.764</f>
        <v>15064.102564102564</v>
      </c>
      <c r="Y75" s="82">
        <f>W75*0.75</f>
        <v>121612.5</v>
      </c>
      <c r="Z75" s="82"/>
      <c r="AA75" s="82"/>
      <c r="AB75" s="82"/>
      <c r="AC75" s="82">
        <f>IF(Table1[[#This Row],[For Sale or For Lease?]]="For Lease",Table1[[#This Row],[Office UFA (Net) (sf)]]-Table1[[#This Row],[Pre-leased space (Usable FA) (sf)]]-Table1[[#This Row],[Pre-sold (Usable FA) (sf)]]-Table1[[#This Row],[Self-use space (Usable FA) (sf)]],0)</f>
        <v>121612.5</v>
      </c>
      <c r="AD75" s="82">
        <f>IF(Table1[[#This Row],[For Sale or For Lease?]]="For Sale",Table1[[#This Row],[Office UFA (Net) (sf)]]-Table1[[#This Row],[Pre-leased space (Usable FA) (sf)]]-Table1[[#This Row],[Pre-sold (Usable FA) (sf)]]-Table1[[#This Row],[Self-use space (Usable FA) (sf)]],0)</f>
        <v>0</v>
      </c>
      <c r="AE75" s="82">
        <f>IF(Table1[[#This Row],[For Sale or For Lease?]]="Uncertain",Table1[[#This Row],[Office UFA (Net) (sf)]]-Table1[[#This Row],[Pre-leased space (Usable FA) (sf)]]-Table1[[#This Row],[Pre-sold (Usable FA) (sf)]]-Table1[[#This Row],[Self-use space (Usable FA) (sf)]],0)</f>
        <v>0</v>
      </c>
      <c r="AF75" s="86">
        <f>1-SUM(Table1[[#This Row],[Space available for lease (Usable FA) (sf)]:[Space available uncertain of use (Usable FA) (sf)]])/Table1[[#This Row],[Office UFA (Net) (sf)]]</f>
        <v>0</v>
      </c>
      <c r="AG75" s="79" t="s">
        <v>89</v>
      </c>
      <c r="AH75" s="84" t="s">
        <v>103</v>
      </c>
      <c r="AI75" s="79" t="s">
        <v>92</v>
      </c>
      <c r="AJ75" s="83">
        <v>41913</v>
      </c>
      <c r="AK75" s="83">
        <v>42116</v>
      </c>
      <c r="AL75" s="85" t="s">
        <v>30</v>
      </c>
      <c r="AM75" s="85" t="s">
        <v>844</v>
      </c>
      <c r="AN75" s="79" t="s">
        <v>73</v>
      </c>
      <c r="AO75" s="77" t="s">
        <v>705</v>
      </c>
      <c r="AP75" s="77" t="s">
        <v>81</v>
      </c>
      <c r="AQ75" s="77" t="s">
        <v>1857</v>
      </c>
      <c r="AR75" s="79" t="s">
        <v>2391</v>
      </c>
      <c r="AS75" s="79"/>
      <c r="AT75" s="80"/>
      <c r="AU75" s="80"/>
      <c r="AV75" s="77"/>
    </row>
    <row r="76" spans="1:48" ht="15" hidden="1" customHeight="1" x14ac:dyDescent="0.35">
      <c r="A76" s="77"/>
      <c r="B76" s="77" t="s">
        <v>1404</v>
      </c>
      <c r="C76" s="77" t="s">
        <v>1193</v>
      </c>
      <c r="D76" s="77"/>
      <c r="E76" s="79" t="s">
        <v>171</v>
      </c>
      <c r="F76" s="77" t="str">
        <f>VLOOKUP(Table1[[#This Row],[CBRE sub-markets]],Reference!$A$2:$B$31,2,FALSE)</f>
        <v>Kowloon East</v>
      </c>
      <c r="G76" s="77">
        <f>VLOOKUP(Table1[[#This Row],[CBRE sub-markets]],Reference!$A$2:$D$31,3,FALSE)</f>
        <v>7</v>
      </c>
      <c r="H76" s="79" t="str">
        <f>VLOOKUP(Table1[[#This Row],[CBRE sub-markets]],Reference!$A$2:$D$31,4,FALSE)</f>
        <v>Kowloon</v>
      </c>
      <c r="I76" s="80">
        <v>2017</v>
      </c>
      <c r="J76" s="80">
        <v>1</v>
      </c>
      <c r="K76" s="81" t="str">
        <f>IF(ISNUMBER(Table1[[#This Row],[Qtr]]),CONCATENATE(Table1[[#This Row],[Year]]," Q",Table1[[#This Row],[Qtr]]),CONCATENATE(Table1[[#This Row],[Year]],Table1[[#This Row],[Qtr]]))</f>
        <v>2017 Q1</v>
      </c>
      <c r="L76" s="80" t="s">
        <v>748</v>
      </c>
      <c r="M76" s="80" t="s">
        <v>84</v>
      </c>
      <c r="N76" s="80">
        <v>1</v>
      </c>
      <c r="O76" s="80"/>
      <c r="P76" s="80"/>
      <c r="Q76" s="82"/>
      <c r="R76" s="82"/>
      <c r="S76" s="80" t="str">
        <f t="shared" si="5"/>
        <v>Unknown</v>
      </c>
      <c r="T76" s="82"/>
      <c r="U76" s="82"/>
      <c r="V76" s="82">
        <f>W76/10.764</f>
        <v>10405.053883314753</v>
      </c>
      <c r="W76" s="82">
        <v>112000</v>
      </c>
      <c r="X76" s="82">
        <f>Y76/10.764</f>
        <v>7803.7904124860652</v>
      </c>
      <c r="Y76" s="82">
        <f>W76*0.75</f>
        <v>84000</v>
      </c>
      <c r="Z76" s="82"/>
      <c r="AA76" s="82"/>
      <c r="AB76" s="82"/>
      <c r="AC76" s="82">
        <f>IF(Table1[[#This Row],[For Sale or For Lease?]]="For Lease",Table1[[#This Row],[Office UFA (Net) (sf)]]-Table1[[#This Row],[Pre-leased space (Usable FA) (sf)]]-Table1[[#This Row],[Pre-sold (Usable FA) (sf)]]-Table1[[#This Row],[Self-use space (Usable FA) (sf)]],0)</f>
        <v>84000</v>
      </c>
      <c r="AD76" s="82">
        <f>IF(Table1[[#This Row],[For Sale or For Lease?]]="For Sale",Table1[[#This Row],[Office UFA (Net) (sf)]]-Table1[[#This Row],[Pre-leased space (Usable FA) (sf)]]-Table1[[#This Row],[Pre-sold (Usable FA) (sf)]]-Table1[[#This Row],[Self-use space (Usable FA) (sf)]],0)</f>
        <v>0</v>
      </c>
      <c r="AE76" s="82">
        <f>IF(Table1[[#This Row],[For Sale or For Lease?]]="Uncertain",Table1[[#This Row],[Office UFA (Net) (sf)]]-Table1[[#This Row],[Pre-leased space (Usable FA) (sf)]]-Table1[[#This Row],[Pre-sold (Usable FA) (sf)]]-Table1[[#This Row],[Self-use space (Usable FA) (sf)]],0)</f>
        <v>0</v>
      </c>
      <c r="AF76" s="86">
        <f>1-SUM(Table1[[#This Row],[Space available for lease (Usable FA) (sf)]:[Space available uncertain of use (Usable FA) (sf)]])/Table1[[#This Row],[Office UFA (Net) (sf)]]</f>
        <v>0</v>
      </c>
      <c r="AG76" s="79"/>
      <c r="AH76" s="84"/>
      <c r="AI76" s="79"/>
      <c r="AJ76" s="83"/>
      <c r="AK76" s="83"/>
      <c r="AL76" s="85" t="s">
        <v>748</v>
      </c>
      <c r="AM76" s="85" t="s">
        <v>1100</v>
      </c>
      <c r="AN76" s="79" t="s">
        <v>73</v>
      </c>
      <c r="AO76" s="77" t="s">
        <v>705</v>
      </c>
      <c r="AP76" s="77" t="s">
        <v>81</v>
      </c>
      <c r="AQ76" s="77"/>
      <c r="AR76" s="79" t="s">
        <v>1723</v>
      </c>
      <c r="AS76" s="79"/>
      <c r="AT76" s="80"/>
      <c r="AU76" s="80"/>
      <c r="AV76" s="77" t="s">
        <v>2213</v>
      </c>
    </row>
    <row r="77" spans="1:48" ht="15" hidden="1" customHeight="1" x14ac:dyDescent="0.35">
      <c r="A77" s="77"/>
      <c r="B77" s="77" t="s">
        <v>1090</v>
      </c>
      <c r="C77" s="77" t="s">
        <v>1080</v>
      </c>
      <c r="D77" s="77"/>
      <c r="E77" s="79" t="s">
        <v>1</v>
      </c>
      <c r="F77" s="77" t="str">
        <f>VLOOKUP(Table1[[#This Row],[CBRE sub-markets]],Reference!$A$2:$B$31,2,FALSE)</f>
        <v>Central</v>
      </c>
      <c r="G77" s="77">
        <f>VLOOKUP(Table1[[#This Row],[CBRE sub-markets]],Reference!$A$2:$D$31,3,FALSE)</f>
        <v>1</v>
      </c>
      <c r="H77" s="79" t="str">
        <f>VLOOKUP(Table1[[#This Row],[CBRE sub-markets]],Reference!$A$2:$D$31,4,FALSE)</f>
        <v>Hong Kong Island</v>
      </c>
      <c r="I77" s="80">
        <v>2017</v>
      </c>
      <c r="J77" s="80">
        <v>3</v>
      </c>
      <c r="K77" s="81" t="str">
        <f>IF(ISNUMBER(Table1[[#This Row],[Qtr]]),CONCATENATE(Table1[[#This Row],[Year]]," Q",Table1[[#This Row],[Qtr]]),CONCATENATE(Table1[[#This Row],[Year]],Table1[[#This Row],[Qtr]]))</f>
        <v>2017 Q3</v>
      </c>
      <c r="L77" s="80" t="s">
        <v>21</v>
      </c>
      <c r="M77" s="80" t="s">
        <v>84</v>
      </c>
      <c r="N77" s="80">
        <v>1</v>
      </c>
      <c r="O77" s="80" t="s">
        <v>102</v>
      </c>
      <c r="P77" s="80"/>
      <c r="Q77" s="82">
        <f>+W77/28</f>
        <v>3219.0510857142858</v>
      </c>
      <c r="R77" s="82">
        <f>Q77*(Y77/W77)</f>
        <v>1913.1856714285714</v>
      </c>
      <c r="S77" s="80" t="str">
        <f t="shared" si="5"/>
        <v>No</v>
      </c>
      <c r="T77" s="82"/>
      <c r="U77" s="82"/>
      <c r="V77" s="82">
        <v>8373.6</v>
      </c>
      <c r="W77" s="82">
        <f>+V77*10.764</f>
        <v>90133.430399999997</v>
      </c>
      <c r="X77" s="82">
        <v>4976.7</v>
      </c>
      <c r="Y77" s="82">
        <f>Table1[[#This Row],[Office UFA (Net) (sm)]]*10.764</f>
        <v>53569.198799999998</v>
      </c>
      <c r="Z77" s="82"/>
      <c r="AA77" s="82"/>
      <c r="AB77" s="82"/>
      <c r="AC77" s="82">
        <f>IF(Table1[[#This Row],[For Sale or For Lease?]]="For Lease",Table1[[#This Row],[Office UFA (Net) (sf)]]-Table1[[#This Row],[Pre-leased space (Usable FA) (sf)]]-Table1[[#This Row],[Pre-sold (Usable FA) (sf)]]-Table1[[#This Row],[Self-use space (Usable FA) (sf)]],0)</f>
        <v>53569.198799999998</v>
      </c>
      <c r="AD77" s="82">
        <f>IF(Table1[[#This Row],[For Sale or For Lease?]]="For Sale",Table1[[#This Row],[Office UFA (Net) (sf)]]-Table1[[#This Row],[Pre-leased space (Usable FA) (sf)]]-Table1[[#This Row],[Pre-sold (Usable FA) (sf)]]-Table1[[#This Row],[Self-use space (Usable FA) (sf)]],0)</f>
        <v>0</v>
      </c>
      <c r="AE77" s="82">
        <f>IF(Table1[[#This Row],[For Sale or For Lease?]]="Uncertain",Table1[[#This Row],[Office UFA (Net) (sf)]]-Table1[[#This Row],[Pre-leased space (Usable FA) (sf)]]-Table1[[#This Row],[Pre-sold (Usable FA) (sf)]]-Table1[[#This Row],[Self-use space (Usable FA) (sf)]],0)</f>
        <v>0</v>
      </c>
      <c r="AF77" s="86">
        <f>1-SUM(Table1[[#This Row],[Space available for lease (Usable FA) (sf)]:[Space available uncertain of use (Usable FA) (sf)]])/Table1[[#This Row],[Office UFA (Net) (sf)]]</f>
        <v>0</v>
      </c>
      <c r="AG77" s="79" t="s">
        <v>89</v>
      </c>
      <c r="AH77" s="84" t="s">
        <v>103</v>
      </c>
      <c r="AI77" s="79" t="s">
        <v>92</v>
      </c>
      <c r="AJ77" s="83">
        <v>42156</v>
      </c>
      <c r="AK77" s="83">
        <v>42300</v>
      </c>
      <c r="AL77" s="85" t="s">
        <v>30</v>
      </c>
      <c r="AM77" s="85" t="s">
        <v>338</v>
      </c>
      <c r="AN77" s="79" t="s">
        <v>73</v>
      </c>
      <c r="AO77" s="77" t="s">
        <v>705</v>
      </c>
      <c r="AP77" s="77" t="s">
        <v>81</v>
      </c>
      <c r="AQ77" s="77" t="s">
        <v>740</v>
      </c>
      <c r="AR77" s="79" t="s">
        <v>2397</v>
      </c>
      <c r="AS77" s="79"/>
      <c r="AT77" s="80"/>
      <c r="AU77" s="80"/>
      <c r="AV77" s="77" t="s">
        <v>2210</v>
      </c>
    </row>
    <row r="78" spans="1:48" ht="15" hidden="1" customHeight="1" x14ac:dyDescent="0.35">
      <c r="A78" s="77"/>
      <c r="B78" s="77" t="s">
        <v>1337</v>
      </c>
      <c r="C78" s="77" t="s">
        <v>1074</v>
      </c>
      <c r="D78" s="77"/>
      <c r="E78" s="79" t="s">
        <v>6</v>
      </c>
      <c r="F78" s="77" t="str">
        <f>VLOOKUP(Table1[[#This Row],[CBRE sub-markets]],Reference!$A$2:$B$31,2,FALSE)</f>
        <v>Hong Kong East</v>
      </c>
      <c r="G78" s="77">
        <f>VLOOKUP(Table1[[#This Row],[CBRE sub-markets]],Reference!$A$2:$D$31,3,FALSE)</f>
        <v>4</v>
      </c>
      <c r="H78" s="79" t="str">
        <f>VLOOKUP(Table1[[#This Row],[CBRE sub-markets]],Reference!$A$2:$D$31,4,FALSE)</f>
        <v>Hong Kong Island</v>
      </c>
      <c r="I78" s="80">
        <v>2017</v>
      </c>
      <c r="J78" s="80">
        <v>3</v>
      </c>
      <c r="K78" s="81" t="str">
        <f>IF(ISNUMBER(Table1[[#This Row],[Qtr]]),CONCATENATE(Table1[[#This Row],[Year]]," Q",Table1[[#This Row],[Qtr]]),CONCATENATE(Table1[[#This Row],[Year]],Table1[[#This Row],[Qtr]]))</f>
        <v>2017 Q3</v>
      </c>
      <c r="L78" s="80" t="s">
        <v>20</v>
      </c>
      <c r="M78" s="80" t="s">
        <v>84</v>
      </c>
      <c r="N78" s="80">
        <v>1</v>
      </c>
      <c r="O78" s="80" t="s">
        <v>482</v>
      </c>
      <c r="P78" s="80">
        <v>20</v>
      </c>
      <c r="Q78" s="82">
        <v>15000</v>
      </c>
      <c r="R78" s="82">
        <f>Q78*0.85</f>
        <v>12750</v>
      </c>
      <c r="S78" s="80" t="str">
        <f t="shared" si="5"/>
        <v>No</v>
      </c>
      <c r="T78" s="82"/>
      <c r="U78" s="82"/>
      <c r="V78" s="82">
        <f>Table1[[#This Row],[Office GFA (sf)]]/10.764</f>
        <v>29486.157562244527</v>
      </c>
      <c r="W78" s="82">
        <f>Table1[[#This Row],[Office UFA (Net) (sf)]]/0.9</f>
        <v>317389.00000000006</v>
      </c>
      <c r="X78" s="82">
        <f>Table1[[#This Row],[Office GFA (sm)]]*0.9</f>
        <v>26537.541806020075</v>
      </c>
      <c r="Y78" s="82">
        <v>285650.10000000003</v>
      </c>
      <c r="Z78" s="82">
        <f>(10179+4836)*0.85</f>
        <v>12762.75</v>
      </c>
      <c r="AA78" s="82"/>
      <c r="AB78" s="82"/>
      <c r="AC78" s="82">
        <f>IF(Table1[[#This Row],[For Sale or For Lease?]]="For Lease",Table1[[#This Row],[Office UFA (Net) (sf)]]-Table1[[#This Row],[Pre-leased space (Usable FA) (sf)]]-Table1[[#This Row],[Pre-sold (Usable FA) (sf)]]-Table1[[#This Row],[Self-use space (Usable FA) (sf)]],0)</f>
        <v>272887.35000000003</v>
      </c>
      <c r="AD78" s="82">
        <f>IF(Table1[[#This Row],[For Sale or For Lease?]]="For Sale",Table1[[#This Row],[Office UFA (Net) (sf)]]-Table1[[#This Row],[Pre-leased space (Usable FA) (sf)]]-Table1[[#This Row],[Pre-sold (Usable FA) (sf)]]-Table1[[#This Row],[Self-use space (Usable FA) (sf)]],0)</f>
        <v>0</v>
      </c>
      <c r="AE78" s="82">
        <f>IF(Table1[[#This Row],[For Sale or For Lease?]]="Uncertain",Table1[[#This Row],[Office UFA (Net) (sf)]]-Table1[[#This Row],[Pre-leased space (Usable FA) (sf)]]-Table1[[#This Row],[Pre-sold (Usable FA) (sf)]]-Table1[[#This Row],[Self-use space (Usable FA) (sf)]],0)</f>
        <v>0</v>
      </c>
      <c r="AF78" s="86">
        <f>1-SUM(Table1[[#This Row],[Space available for lease (Usable FA) (sf)]:[Space available uncertain of use (Usable FA) (sf)]])/Table1[[#This Row],[Office UFA (Net) (sf)]]</f>
        <v>4.4679662286132626E-2</v>
      </c>
      <c r="AG78" s="79" t="s">
        <v>89</v>
      </c>
      <c r="AH78" s="84" t="s">
        <v>103</v>
      </c>
      <c r="AI78" s="79" t="s">
        <v>92</v>
      </c>
      <c r="AJ78" s="83">
        <v>42948</v>
      </c>
      <c r="AK78" s="83">
        <v>43031</v>
      </c>
      <c r="AL78" s="85" t="s">
        <v>29</v>
      </c>
      <c r="AM78" s="85" t="s">
        <v>434</v>
      </c>
      <c r="AN78" s="79" t="s">
        <v>73</v>
      </c>
      <c r="AO78" s="77" t="s">
        <v>705</v>
      </c>
      <c r="AP78" s="77" t="s">
        <v>81</v>
      </c>
      <c r="AQ78" s="77" t="s">
        <v>1242</v>
      </c>
      <c r="AR78" s="79" t="s">
        <v>2359</v>
      </c>
      <c r="AS78" s="79"/>
      <c r="AT78" s="80"/>
      <c r="AU78" s="80"/>
      <c r="AV78" s="77"/>
    </row>
    <row r="79" spans="1:48" ht="15" hidden="1" customHeight="1" x14ac:dyDescent="0.35">
      <c r="A79" s="77"/>
      <c r="B79" s="77" t="s">
        <v>1336</v>
      </c>
      <c r="C79" s="77" t="s">
        <v>1238</v>
      </c>
      <c r="D79" s="77" t="s">
        <v>493</v>
      </c>
      <c r="E79" s="79" t="s">
        <v>1125</v>
      </c>
      <c r="F79" s="77" t="str">
        <f>VLOOKUP(Table1[[#This Row],[CBRE sub-markets]],Reference!$A$2:$B$31,2,FALSE)</f>
        <v>Kowloon Others</v>
      </c>
      <c r="G79" s="77">
        <f>VLOOKUP(Table1[[#This Row],[CBRE sub-markets]],Reference!$A$2:$D$31,3,FALSE)</f>
        <v>8</v>
      </c>
      <c r="H79" s="79" t="str">
        <f>VLOOKUP(Table1[[#This Row],[CBRE sub-markets]],Reference!$A$2:$D$31,4,FALSE)</f>
        <v>Kowloon</v>
      </c>
      <c r="I79" s="80">
        <v>2017</v>
      </c>
      <c r="J79" s="80">
        <v>3</v>
      </c>
      <c r="K79" s="81" t="str">
        <f>IF(ISNUMBER(Table1[[#This Row],[Qtr]]),CONCATENATE(Table1[[#This Row],[Year]]," Q",Table1[[#This Row],[Qtr]]),CONCATENATE(Table1[[#This Row],[Year]],Table1[[#This Row],[Qtr]]))</f>
        <v>2017 Q3</v>
      </c>
      <c r="L79" s="80" t="s">
        <v>20</v>
      </c>
      <c r="M79" s="80" t="s">
        <v>84</v>
      </c>
      <c r="N79" s="80">
        <v>1</v>
      </c>
      <c r="O79" s="80">
        <v>5</v>
      </c>
      <c r="P79" s="80">
        <v>5</v>
      </c>
      <c r="Q79" s="82">
        <v>20981</v>
      </c>
      <c r="R79" s="82">
        <f>Q79*0.82</f>
        <v>17204.419999999998</v>
      </c>
      <c r="S79" s="80" t="str">
        <f t="shared" si="5"/>
        <v>Yes</v>
      </c>
      <c r="T79" s="82"/>
      <c r="U79" s="82"/>
      <c r="V79" s="82">
        <f>W79/10.764</f>
        <v>9720.0854700854707</v>
      </c>
      <c r="W79" s="82">
        <f>Table1[[#This Row],[Office UFA (Net) (sf)]]/0.82</f>
        <v>104627</v>
      </c>
      <c r="X79" s="82">
        <f>Y79/10.764</f>
        <v>7970.4700854700859</v>
      </c>
      <c r="Y79" s="82">
        <v>85794.14</v>
      </c>
      <c r="Z79" s="82">
        <f>(35505+5903+8877+3147+1456+4447+6293+5902)*0.82</f>
        <v>58654.6</v>
      </c>
      <c r="AA79" s="82"/>
      <c r="AB79" s="82"/>
      <c r="AC79" s="82">
        <f>IF(Table1[[#This Row],[For Sale or For Lease?]]="For Lease",Table1[[#This Row],[Office UFA (Net) (sf)]]-Table1[[#This Row],[Pre-leased space (Usable FA) (sf)]]-Table1[[#This Row],[Pre-sold (Usable FA) (sf)]]-Table1[[#This Row],[Self-use space (Usable FA) (sf)]],0)</f>
        <v>27139.54</v>
      </c>
      <c r="AD79" s="82">
        <f>IF(Table1[[#This Row],[For Sale or For Lease?]]="For Sale",Table1[[#This Row],[Office UFA (Net) (sf)]]-Table1[[#This Row],[Pre-leased space (Usable FA) (sf)]]-Table1[[#This Row],[Pre-sold (Usable FA) (sf)]]-Table1[[#This Row],[Self-use space (Usable FA) (sf)]],0)</f>
        <v>0</v>
      </c>
      <c r="AE79" s="82">
        <f>IF(Table1[[#This Row],[For Sale or For Lease?]]="Uncertain",Table1[[#This Row],[Office UFA (Net) (sf)]]-Table1[[#This Row],[Pre-leased space (Usable FA) (sf)]]-Table1[[#This Row],[Pre-sold (Usable FA) (sf)]]-Table1[[#This Row],[Self-use space (Usable FA) (sf)]],0)</f>
        <v>0</v>
      </c>
      <c r="AF79" s="86">
        <f>1-SUM(Table1[[#This Row],[Space available for lease (Usable FA) (sf)]:[Space available uncertain of use (Usable FA) (sf)]])/Table1[[#This Row],[Office UFA (Net) (sf)]]</f>
        <v>0.68366673994284455</v>
      </c>
      <c r="AG79" s="79" t="s">
        <v>89</v>
      </c>
      <c r="AH79" s="84" t="s">
        <v>103</v>
      </c>
      <c r="AI79" s="79" t="s">
        <v>92</v>
      </c>
      <c r="AJ79" s="83">
        <v>42917</v>
      </c>
      <c r="AK79" s="83">
        <v>42979</v>
      </c>
      <c r="AL79" s="85" t="s">
        <v>29</v>
      </c>
      <c r="AM79" s="85" t="s">
        <v>494</v>
      </c>
      <c r="AN79" s="79" t="s">
        <v>73</v>
      </c>
      <c r="AO79" s="77" t="s">
        <v>705</v>
      </c>
      <c r="AP79" s="77" t="s">
        <v>81</v>
      </c>
      <c r="AQ79" s="77" t="s">
        <v>1045</v>
      </c>
      <c r="AR79" s="79" t="s">
        <v>2429</v>
      </c>
      <c r="AS79" s="79"/>
      <c r="AT79" s="80"/>
      <c r="AU79" s="80"/>
      <c r="AV79" s="77"/>
    </row>
    <row r="80" spans="1:48" ht="15" hidden="1" customHeight="1" x14ac:dyDescent="0.35">
      <c r="A80" s="77"/>
      <c r="B80" s="77" t="s">
        <v>1383</v>
      </c>
      <c r="C80" s="77" t="s">
        <v>1188</v>
      </c>
      <c r="D80" s="77" t="s">
        <v>829</v>
      </c>
      <c r="E80" s="79" t="s">
        <v>50</v>
      </c>
      <c r="F80" s="77" t="str">
        <f>VLOOKUP(Table1[[#This Row],[CBRE sub-markets]],Reference!$A$2:$B$31,2,FALSE)</f>
        <v>Kowloon East</v>
      </c>
      <c r="G80" s="77">
        <f>VLOOKUP(Table1[[#This Row],[CBRE sub-markets]],Reference!$A$2:$D$31,3,FALSE)</f>
        <v>7</v>
      </c>
      <c r="H80" s="79" t="str">
        <f>VLOOKUP(Table1[[#This Row],[CBRE sub-markets]],Reference!$A$2:$D$31,4,FALSE)</f>
        <v>Kowloon</v>
      </c>
      <c r="I80" s="80">
        <v>2017</v>
      </c>
      <c r="J80" s="80">
        <v>3</v>
      </c>
      <c r="K80" s="81" t="str">
        <f>IF(ISNUMBER(Table1[[#This Row],[Qtr]]),CONCATENATE(Table1[[#This Row],[Year]]," Q",Table1[[#This Row],[Qtr]]),CONCATENATE(Table1[[#This Row],[Year]],Table1[[#This Row],[Qtr]]))</f>
        <v>2017 Q3</v>
      </c>
      <c r="L80" s="80" t="s">
        <v>20</v>
      </c>
      <c r="M80" s="80" t="s">
        <v>84</v>
      </c>
      <c r="N80" s="80">
        <v>1</v>
      </c>
      <c r="O80" s="80" t="s">
        <v>1138</v>
      </c>
      <c r="P80" s="80">
        <v>20</v>
      </c>
      <c r="Q80" s="82">
        <f>Table1[[#This Row],[Office GFA (sf)]]/20</f>
        <v>28551.3</v>
      </c>
      <c r="R80" s="82">
        <f>Table1[[#This Row],[Office UFA (Net) (sf)]]/20</f>
        <v>17130.78</v>
      </c>
      <c r="S80" s="80" t="str">
        <f t="shared" si="5"/>
        <v>Yes</v>
      </c>
      <c r="T80" s="82"/>
      <c r="U80" s="82"/>
      <c r="V80" s="82">
        <f>Table1[[#This Row],[Office GFA (sf)]]/10.764</f>
        <v>53049.609810479378</v>
      </c>
      <c r="W80" s="82">
        <f>27573+28244*7+28243*2+27691+28243+28783+29735*6+26132</f>
        <v>571026</v>
      </c>
      <c r="X80" s="82">
        <f>Table1[[#This Row],[Office GFA (sm)]]*0.6</f>
        <v>31829.765886287627</v>
      </c>
      <c r="Y80" s="82">
        <f>Table1[[#This Row],[Office GFA (sf)]]*0.6</f>
        <v>342615.6</v>
      </c>
      <c r="Z80" s="82">
        <f>(29735+17079+59470+9543)*0.6</f>
        <v>69496.2</v>
      </c>
      <c r="AA80" s="82"/>
      <c r="AB80" s="82"/>
      <c r="AC80" s="82">
        <f>IF(Table1[[#This Row],[For Sale or For Lease?]]="For Lease",Table1[[#This Row],[Office UFA (Net) (sf)]]-Table1[[#This Row],[Pre-leased space (Usable FA) (sf)]]-Table1[[#This Row],[Pre-sold (Usable FA) (sf)]]-Table1[[#This Row],[Self-use space (Usable FA) (sf)]],0)</f>
        <v>273119.39999999997</v>
      </c>
      <c r="AD80" s="82">
        <f>IF(Table1[[#This Row],[For Sale or For Lease?]]="For Sale",Table1[[#This Row],[Office UFA (Net) (sf)]]-Table1[[#This Row],[Pre-leased space (Usable FA) (sf)]]-Table1[[#This Row],[Pre-sold (Usable FA) (sf)]]-Table1[[#This Row],[Self-use space (Usable FA) (sf)]],0)</f>
        <v>0</v>
      </c>
      <c r="AE80" s="82">
        <f>IF(Table1[[#This Row],[For Sale or For Lease?]]="Uncertain",Table1[[#This Row],[Office UFA (Net) (sf)]]-Table1[[#This Row],[Pre-leased space (Usable FA) (sf)]]-Table1[[#This Row],[Pre-sold (Usable FA) (sf)]]-Table1[[#This Row],[Self-use space (Usable FA) (sf)]],0)</f>
        <v>0</v>
      </c>
      <c r="AF80" s="86">
        <f>1-SUM(Table1[[#This Row],[Space available for lease (Usable FA) (sf)]:[Space available uncertain of use (Usable FA) (sf)]])/Table1[[#This Row],[Office UFA (Net) (sf)]]</f>
        <v>0.20284015088629948</v>
      </c>
      <c r="AG80" s="79" t="s">
        <v>89</v>
      </c>
      <c r="AH80" s="84" t="s">
        <v>103</v>
      </c>
      <c r="AI80" s="79" t="s">
        <v>92</v>
      </c>
      <c r="AJ80" s="83">
        <v>42917</v>
      </c>
      <c r="AK80" s="83">
        <v>42979</v>
      </c>
      <c r="AL80" s="85" t="s">
        <v>32</v>
      </c>
      <c r="AM80" s="85" t="s">
        <v>713</v>
      </c>
      <c r="AN80" s="79" t="s">
        <v>73</v>
      </c>
      <c r="AO80" s="77" t="s">
        <v>705</v>
      </c>
      <c r="AP80" s="77" t="s">
        <v>81</v>
      </c>
      <c r="AQ80" s="77" t="s">
        <v>1374</v>
      </c>
      <c r="AR80" s="79" t="s">
        <v>2361</v>
      </c>
      <c r="AS80" s="79"/>
      <c r="AT80" s="80"/>
      <c r="AU80" s="80"/>
      <c r="AV80" s="77"/>
    </row>
    <row r="81" spans="1:48" ht="15" hidden="1" customHeight="1" x14ac:dyDescent="0.35">
      <c r="A81" s="77"/>
      <c r="B81" s="77" t="s">
        <v>1328</v>
      </c>
      <c r="C81" s="77" t="s">
        <v>1187</v>
      </c>
      <c r="D81" s="77"/>
      <c r="E81" s="79" t="s">
        <v>8</v>
      </c>
      <c r="F81" s="77" t="str">
        <f>VLOOKUP(Table1[[#This Row],[CBRE sub-markets]],Reference!$A$2:$B$31,2,FALSE)</f>
        <v>Tsim Sha Tsui</v>
      </c>
      <c r="G81" s="77">
        <f>VLOOKUP(Table1[[#This Row],[CBRE sub-markets]],Reference!$A$2:$D$31,3,FALSE)</f>
        <v>6</v>
      </c>
      <c r="H81" s="79" t="str">
        <f>VLOOKUP(Table1[[#This Row],[CBRE sub-markets]],Reference!$A$2:$D$31,4,FALSE)</f>
        <v>Kowloon</v>
      </c>
      <c r="I81" s="80">
        <v>2017</v>
      </c>
      <c r="J81" s="80">
        <v>3</v>
      </c>
      <c r="K81" s="81" t="str">
        <f>IF(ISNUMBER(Table1[[#This Row],[Qtr]]),CONCATENATE(Table1[[#This Row],[Year]]," Q",Table1[[#This Row],[Qtr]]),CONCATENATE(Table1[[#This Row],[Year]],Table1[[#This Row],[Qtr]]))</f>
        <v>2017 Q3</v>
      </c>
      <c r="L81" s="80" t="s">
        <v>20</v>
      </c>
      <c r="M81" s="80" t="s">
        <v>84</v>
      </c>
      <c r="N81" s="80">
        <v>1</v>
      </c>
      <c r="O81" s="80" t="s">
        <v>702</v>
      </c>
      <c r="P81" s="80">
        <v>14</v>
      </c>
      <c r="Q81" s="82">
        <v>27483</v>
      </c>
      <c r="R81" s="82">
        <f>Q81*0.75</f>
        <v>20612.25</v>
      </c>
      <c r="S81" s="80" t="str">
        <f t="shared" si="5"/>
        <v>Yes</v>
      </c>
      <c r="T81" s="82"/>
      <c r="U81" s="82"/>
      <c r="V81" s="82">
        <f>Table1[[#This Row],[Office GFA (sf)]]/10.7639</f>
        <v>35745.594069064187</v>
      </c>
      <c r="W81" s="82">
        <v>384762</v>
      </c>
      <c r="X81" s="82">
        <f>Y81/10.764</f>
        <v>26808.946488294318</v>
      </c>
      <c r="Y81" s="82">
        <f>Table1[[#This Row],[Office GFA (sf)]]*0.75</f>
        <v>288571.5</v>
      </c>
      <c r="Z81" s="82">
        <f>(26900+161400+17483+14231+6252)*0.75</f>
        <v>169699.5</v>
      </c>
      <c r="AA81" s="82"/>
      <c r="AB81" s="82"/>
      <c r="AC81" s="82">
        <f>IF(Table1[[#This Row],[For Sale or For Lease?]]="For Lease",Table1[[#This Row],[Office UFA (Net) (sf)]]-Table1[[#This Row],[Pre-leased space (Usable FA) (sf)]]-Table1[[#This Row],[Pre-sold (Usable FA) (sf)]]-Table1[[#This Row],[Self-use space (Usable FA) (sf)]],0)</f>
        <v>118872</v>
      </c>
      <c r="AD81" s="82">
        <f>IF(Table1[[#This Row],[For Sale or For Lease?]]="For Sale",Table1[[#This Row],[Office UFA (Net) (sf)]]-Table1[[#This Row],[Pre-leased space (Usable FA) (sf)]]-Table1[[#This Row],[Pre-sold (Usable FA) (sf)]]-Table1[[#This Row],[Self-use space (Usable FA) (sf)]],0)</f>
        <v>0</v>
      </c>
      <c r="AE81" s="82">
        <f>IF(Table1[[#This Row],[For Sale or For Lease?]]="Uncertain",Table1[[#This Row],[Office UFA (Net) (sf)]]-Table1[[#This Row],[Pre-leased space (Usable FA) (sf)]]-Table1[[#This Row],[Pre-sold (Usable FA) (sf)]]-Table1[[#This Row],[Self-use space (Usable FA) (sf)]],0)</f>
        <v>0</v>
      </c>
      <c r="AF81" s="86">
        <f>1-SUM(Table1[[#This Row],[Space available for lease (Usable FA) (sf)]:[Space available uncertain of use (Usable FA) (sf)]])/Table1[[#This Row],[Office UFA (Net) (sf)]]</f>
        <v>0.588067428696181</v>
      </c>
      <c r="AG81" s="79" t="s">
        <v>340</v>
      </c>
      <c r="AH81" s="84" t="s">
        <v>103</v>
      </c>
      <c r="AI81" s="79" t="s">
        <v>92</v>
      </c>
      <c r="AJ81" s="83">
        <v>42979</v>
      </c>
      <c r="AK81" s="83">
        <v>43040</v>
      </c>
      <c r="AL81" s="85" t="s">
        <v>30</v>
      </c>
      <c r="AM81" s="85" t="s">
        <v>341</v>
      </c>
      <c r="AN81" s="79" t="s">
        <v>73</v>
      </c>
      <c r="AO81" s="77" t="s">
        <v>705</v>
      </c>
      <c r="AP81" s="77" t="s">
        <v>81</v>
      </c>
      <c r="AQ81" s="77" t="s">
        <v>1215</v>
      </c>
      <c r="AR81" s="79" t="s">
        <v>2428</v>
      </c>
      <c r="AS81" s="79"/>
      <c r="AT81" s="80"/>
      <c r="AU81" s="80"/>
      <c r="AV81" s="77"/>
    </row>
    <row r="82" spans="1:48" ht="15" hidden="1" customHeight="1" x14ac:dyDescent="0.35">
      <c r="A82" s="77"/>
      <c r="B82" s="77" t="s">
        <v>1214</v>
      </c>
      <c r="C82" s="77" t="s">
        <v>1189</v>
      </c>
      <c r="D82" s="77"/>
      <c r="E82" s="79" t="s">
        <v>5</v>
      </c>
      <c r="F82" s="77" t="str">
        <f>VLOOKUP(Table1[[#This Row],[CBRE sub-markets]],Reference!$A$2:$B$31,2,FALSE)</f>
        <v>Wan Chai &amp; Causeway Bay</v>
      </c>
      <c r="G82" s="77">
        <f>VLOOKUP(Table1[[#This Row],[CBRE sub-markets]],Reference!$A$2:$D$31,3,FALSE)</f>
        <v>3</v>
      </c>
      <c r="H82" s="79" t="str">
        <f>VLOOKUP(Table1[[#This Row],[CBRE sub-markets]],Reference!$A$2:$D$31,4,FALSE)</f>
        <v>Hong Kong Island</v>
      </c>
      <c r="I82" s="80">
        <v>2017</v>
      </c>
      <c r="J82" s="80">
        <v>4</v>
      </c>
      <c r="K82" s="81" t="str">
        <f>IF(ISNUMBER(Table1[[#This Row],[Qtr]]),CONCATENATE(Table1[[#This Row],[Year]]," Q",Table1[[#This Row],[Qtr]]),CONCATENATE(Table1[[#This Row],[Year]],Table1[[#This Row],[Qtr]]))</f>
        <v>2017 Q4</v>
      </c>
      <c r="L82" s="80" t="s">
        <v>20</v>
      </c>
      <c r="M82" s="80" t="s">
        <v>84</v>
      </c>
      <c r="N82" s="80">
        <v>1</v>
      </c>
      <c r="O82" s="80" t="s">
        <v>1104</v>
      </c>
      <c r="P82" s="80">
        <v>20</v>
      </c>
      <c r="Q82" s="82">
        <v>17600</v>
      </c>
      <c r="R82" s="82">
        <f>Q82*0.91</f>
        <v>16016</v>
      </c>
      <c r="S82" s="80" t="str">
        <f t="shared" si="5"/>
        <v>Yes</v>
      </c>
      <c r="T82" s="82"/>
      <c r="U82" s="82"/>
      <c r="V82" s="82">
        <f>W82/10.7639</f>
        <v>33067.568446380959</v>
      </c>
      <c r="W82" s="82">
        <f>17026+17293+6308+13685+17293*3+10887+7293+16958+16172+5844+12580+17844*3+17881+17877+17869+18213*4</f>
        <v>355936</v>
      </c>
      <c r="X82" s="82">
        <f>Y82/10.764</f>
        <v>30091.207729468602</v>
      </c>
      <c r="Y82" s="82">
        <f>W82*0.91</f>
        <v>323901.76</v>
      </c>
      <c r="Z82" s="82">
        <f>(35000+40826+36000+34400+24200+23400)*0.91</f>
        <v>176381.66</v>
      </c>
      <c r="AA82" s="82"/>
      <c r="AB82" s="82"/>
      <c r="AC82" s="82">
        <f>IF(Table1[[#This Row],[For Sale or For Lease?]]="For Lease",Table1[[#This Row],[Office UFA (Net) (sf)]]-Table1[[#This Row],[Pre-leased space (Usable FA) (sf)]]-Table1[[#This Row],[Pre-sold (Usable FA) (sf)]]-Table1[[#This Row],[Self-use space (Usable FA) (sf)]],0)</f>
        <v>147520.1</v>
      </c>
      <c r="AD82" s="82">
        <f>IF(Table1[[#This Row],[For Sale or For Lease?]]="For Sale",Table1[[#This Row],[Office UFA (Net) (sf)]]-Table1[[#This Row],[Pre-leased space (Usable FA) (sf)]]-Table1[[#This Row],[Pre-sold (Usable FA) (sf)]]-Table1[[#This Row],[Self-use space (Usable FA) (sf)]],0)</f>
        <v>0</v>
      </c>
      <c r="AE82" s="82">
        <f>IF(Table1[[#This Row],[For Sale or For Lease?]]="Uncertain",Table1[[#This Row],[Office UFA (Net) (sf)]]-Table1[[#This Row],[Pre-leased space (Usable FA) (sf)]]-Table1[[#This Row],[Pre-sold (Usable FA) (sf)]]-Table1[[#This Row],[Self-use space (Usable FA) (sf)]],0)</f>
        <v>0</v>
      </c>
      <c r="AF82" s="86">
        <f>1-SUM(Table1[[#This Row],[Space available for lease (Usable FA) (sf)]:[Space available uncertain of use (Usable FA) (sf)]])/Table1[[#This Row],[Office UFA (Net) (sf)]]</f>
        <v>0.54455295333992626</v>
      </c>
      <c r="AG82" s="79" t="s">
        <v>654</v>
      </c>
      <c r="AH82" s="84" t="s">
        <v>103</v>
      </c>
      <c r="AI82" s="79" t="s">
        <v>92</v>
      </c>
      <c r="AJ82" s="83">
        <v>43070</v>
      </c>
      <c r="AK82" s="83">
        <v>43132</v>
      </c>
      <c r="AL82" s="85" t="s">
        <v>30</v>
      </c>
      <c r="AM82" s="85" t="s">
        <v>97</v>
      </c>
      <c r="AN82" s="79" t="s">
        <v>73</v>
      </c>
      <c r="AO82" s="77" t="s">
        <v>705</v>
      </c>
      <c r="AP82" s="77" t="s">
        <v>81</v>
      </c>
      <c r="AQ82" s="77" t="s">
        <v>1240</v>
      </c>
      <c r="AR82" s="79" t="s">
        <v>2358</v>
      </c>
      <c r="AS82" s="79"/>
      <c r="AT82" s="80"/>
      <c r="AU82" s="80"/>
      <c r="AV82" s="77"/>
    </row>
    <row r="83" spans="1:48" ht="15" hidden="1" customHeight="1" x14ac:dyDescent="0.35">
      <c r="A83" s="77"/>
      <c r="B83" s="77" t="s">
        <v>1087</v>
      </c>
      <c r="C83" s="77" t="s">
        <v>1087</v>
      </c>
      <c r="D83" s="77"/>
      <c r="E83" s="79" t="s">
        <v>2</v>
      </c>
      <c r="F83" s="77" t="str">
        <f>VLOOKUP(Table1[[#This Row],[CBRE sub-markets]],Reference!$A$2:$B$31,2,FALSE)</f>
        <v>Admiralty &amp; Sheung Wan</v>
      </c>
      <c r="G83" s="77">
        <f>VLOOKUP(Table1[[#This Row],[CBRE sub-markets]],Reference!$A$2:$D$31,3,FALSE)</f>
        <v>2</v>
      </c>
      <c r="H83" s="79" t="str">
        <f>VLOOKUP(Table1[[#This Row],[CBRE sub-markets]],Reference!$A$2:$D$31,4,FALSE)</f>
        <v>Hong Kong Island</v>
      </c>
      <c r="I83" s="80">
        <v>2017</v>
      </c>
      <c r="J83" s="80">
        <v>4</v>
      </c>
      <c r="K83" s="81" t="str">
        <f>IF(ISNUMBER(Table1[[#This Row],[Qtr]]),CONCATENATE(Table1[[#This Row],[Year]]," Q",Table1[[#This Row],[Qtr]]),CONCATENATE(Table1[[#This Row],[Year]],Table1[[#This Row],[Qtr]]))</f>
        <v>2017 Q4</v>
      </c>
      <c r="L83" s="80" t="s">
        <v>21</v>
      </c>
      <c r="M83" s="80" t="s">
        <v>84</v>
      </c>
      <c r="N83" s="80">
        <v>1</v>
      </c>
      <c r="O83" s="80">
        <v>27</v>
      </c>
      <c r="P83" s="80"/>
      <c r="Q83" s="82">
        <f>Table1[[#This Row],[Office GFA (sf)]]/Table1[[#This Row],[No. of Storeys]]</f>
        <v>5332.206533333333</v>
      </c>
      <c r="R83" s="82">
        <f>Table1[[#This Row],[Office UFA (Net) (sf)]]/Table1[[#This Row],[No. of Storeys]]</f>
        <v>3999.1548999999995</v>
      </c>
      <c r="S83" s="80" t="str">
        <f t="shared" si="5"/>
        <v>No</v>
      </c>
      <c r="T83" s="82"/>
      <c r="U83" s="82"/>
      <c r="V83" s="82">
        <v>13375.1</v>
      </c>
      <c r="W83" s="82">
        <f>Table1[[#This Row],[Office GFA (sm)]]*10.764</f>
        <v>143969.57639999999</v>
      </c>
      <c r="X83" s="82">
        <f>Table1[[#This Row],[Office GFA (sm)]]*0.75</f>
        <v>10031.325000000001</v>
      </c>
      <c r="Y83" s="82">
        <f>Table1[[#This Row],[Office GFA (sf)]]*0.75</f>
        <v>107977.18229999999</v>
      </c>
      <c r="Z83" s="82"/>
      <c r="AA83" s="82"/>
      <c r="AB83" s="82"/>
      <c r="AC83" s="82">
        <f>IF(Table1[[#This Row],[For Sale or For Lease?]]="For Lease",Table1[[#This Row],[Office UFA (Net) (sf)]]-Table1[[#This Row],[Pre-leased space (Usable FA) (sf)]]-Table1[[#This Row],[Pre-sold (Usable FA) (sf)]]-Table1[[#This Row],[Self-use space (Usable FA) (sf)]],0)</f>
        <v>107977.18229999999</v>
      </c>
      <c r="AD83" s="82">
        <f>IF(Table1[[#This Row],[For Sale or For Lease?]]="For Sale",Table1[[#This Row],[Office UFA (Net) (sf)]]-Table1[[#This Row],[Pre-leased space (Usable FA) (sf)]]-Table1[[#This Row],[Pre-sold (Usable FA) (sf)]]-Table1[[#This Row],[Self-use space (Usable FA) (sf)]],0)</f>
        <v>0</v>
      </c>
      <c r="AE83" s="82">
        <f>IF(Table1[[#This Row],[For Sale or For Lease?]]="Uncertain",Table1[[#This Row],[Office UFA (Net) (sf)]]-Table1[[#This Row],[Pre-leased space (Usable FA) (sf)]]-Table1[[#This Row],[Pre-sold (Usable FA) (sf)]]-Table1[[#This Row],[Self-use space (Usable FA) (sf)]],0)</f>
        <v>0</v>
      </c>
      <c r="AF83" s="86">
        <f>1-SUM(Table1[[#This Row],[Space available for lease (Usable FA) (sf)]:[Space available uncertain of use (Usable FA) (sf)]])/Table1[[#This Row],[Office UFA (Net) (sf)]]</f>
        <v>0</v>
      </c>
      <c r="AG83" s="79" t="s">
        <v>89</v>
      </c>
      <c r="AH83" s="84" t="s">
        <v>103</v>
      </c>
      <c r="AI83" s="79" t="s">
        <v>92</v>
      </c>
      <c r="AJ83" s="83">
        <v>43040</v>
      </c>
      <c r="AK83" s="83">
        <v>43124</v>
      </c>
      <c r="AL83" s="85" t="s">
        <v>30</v>
      </c>
      <c r="AM83" s="85" t="s">
        <v>1129</v>
      </c>
      <c r="AN83" s="79" t="s">
        <v>73</v>
      </c>
      <c r="AO83" s="77" t="s">
        <v>705</v>
      </c>
      <c r="AP83" s="77" t="s">
        <v>81</v>
      </c>
      <c r="AQ83" s="77" t="s">
        <v>1137</v>
      </c>
      <c r="AR83" s="79" t="s">
        <v>1721</v>
      </c>
      <c r="AS83" s="79"/>
      <c r="AT83" s="80"/>
      <c r="AU83" s="80"/>
      <c r="AV83" s="77" t="s">
        <v>2211</v>
      </c>
    </row>
    <row r="84" spans="1:48" ht="15" hidden="1" customHeight="1" x14ac:dyDescent="0.35">
      <c r="A84" s="77"/>
      <c r="B84" s="77" t="s">
        <v>1451</v>
      </c>
      <c r="C84" s="77" t="s">
        <v>1443</v>
      </c>
      <c r="D84" s="77" t="s">
        <v>449</v>
      </c>
      <c r="E84" s="79" t="s">
        <v>171</v>
      </c>
      <c r="F84" s="77" t="str">
        <f>VLOOKUP(Table1[[#This Row],[CBRE sub-markets]],Reference!$A$2:$B$31,2,FALSE)</f>
        <v>Kowloon East</v>
      </c>
      <c r="G84" s="77">
        <f>VLOOKUP(Table1[[#This Row],[CBRE sub-markets]],Reference!$A$2:$D$31,3,FALSE)</f>
        <v>7</v>
      </c>
      <c r="H84" s="79" t="str">
        <f>VLOOKUP(Table1[[#This Row],[CBRE sub-markets]],Reference!$A$2:$D$31,4,FALSE)</f>
        <v>Kowloon</v>
      </c>
      <c r="I84" s="80">
        <v>2017</v>
      </c>
      <c r="J84" s="80">
        <v>4</v>
      </c>
      <c r="K84" s="81" t="str">
        <f>IF(ISNUMBER(Table1[[#This Row],[Qtr]]),CONCATENATE(Table1[[#This Row],[Year]]," Q",Table1[[#This Row],[Qtr]]),CONCATENATE(Table1[[#This Row],[Year]],Table1[[#This Row],[Qtr]]))</f>
        <v>2017 Q4</v>
      </c>
      <c r="L84" s="80" t="s">
        <v>20</v>
      </c>
      <c r="M84" s="80" t="s">
        <v>84</v>
      </c>
      <c r="N84" s="80">
        <v>1</v>
      </c>
      <c r="O84" s="80" t="s">
        <v>1106</v>
      </c>
      <c r="P84" s="80">
        <v>22</v>
      </c>
      <c r="Q84" s="82">
        <v>28462</v>
      </c>
      <c r="R84" s="82">
        <f>Q84*0.8</f>
        <v>22769.600000000002</v>
      </c>
      <c r="S84" s="80" t="str">
        <f t="shared" si="5"/>
        <v>Yes</v>
      </c>
      <c r="T84" s="82"/>
      <c r="U84" s="82"/>
      <c r="V84" s="82">
        <f>Table1[[#This Row],[Office GFA (sf)]]/10.7639</f>
        <v>57882.087347522742</v>
      </c>
      <c r="W84" s="82">
        <f>15192+28124+28262+28371+28432+28447+28462*8+29724*4+29754+29831+29940+30092</f>
        <v>623037</v>
      </c>
      <c r="X84" s="82">
        <f>Y84/10.764</f>
        <v>46305.239687848392</v>
      </c>
      <c r="Y84" s="82">
        <f>Table1[[#This Row],[Office GFA (sf)]]*0.8</f>
        <v>498429.60000000003</v>
      </c>
      <c r="Z84" s="82"/>
      <c r="AA84" s="82"/>
      <c r="AB84" s="82"/>
      <c r="AC84" s="82">
        <f>IF(Table1[[#This Row],[For Sale or For Lease?]]="For Lease",Table1[[#This Row],[Office UFA (Net) (sf)]]-Table1[[#This Row],[Pre-leased space (Usable FA) (sf)]]-Table1[[#This Row],[Pre-sold (Usable FA) (sf)]]-Table1[[#This Row],[Self-use space (Usable FA) (sf)]],0)</f>
        <v>498429.60000000003</v>
      </c>
      <c r="AD84" s="82">
        <f>IF(Table1[[#This Row],[For Sale or For Lease?]]="For Sale",Table1[[#This Row],[Office UFA (Net) (sf)]]-Table1[[#This Row],[Pre-leased space (Usable FA) (sf)]]-Table1[[#This Row],[Pre-sold (Usable FA) (sf)]]-Table1[[#This Row],[Self-use space (Usable FA) (sf)]],0)</f>
        <v>0</v>
      </c>
      <c r="AE84" s="82">
        <f>IF(Table1[[#This Row],[For Sale or For Lease?]]="Uncertain",Table1[[#This Row],[Office UFA (Net) (sf)]]-Table1[[#This Row],[Pre-leased space (Usable FA) (sf)]]-Table1[[#This Row],[Pre-sold (Usable FA) (sf)]]-Table1[[#This Row],[Self-use space (Usable FA) (sf)]],0)</f>
        <v>0</v>
      </c>
      <c r="AF84" s="86">
        <f>1-SUM(Table1[[#This Row],[Space available for lease (Usable FA) (sf)]:[Space available uncertain of use (Usable FA) (sf)]])/Table1[[#This Row],[Office UFA (Net) (sf)]]</f>
        <v>0</v>
      </c>
      <c r="AG84" s="79" t="s">
        <v>89</v>
      </c>
      <c r="AH84" s="84" t="s">
        <v>103</v>
      </c>
      <c r="AI84" s="79" t="s">
        <v>92</v>
      </c>
      <c r="AJ84" s="83">
        <v>43070</v>
      </c>
      <c r="AK84" s="83">
        <v>43132</v>
      </c>
      <c r="AL84" s="85" t="s">
        <v>29</v>
      </c>
      <c r="AM84" s="85" t="s">
        <v>1367</v>
      </c>
      <c r="AN84" s="79" t="s">
        <v>73</v>
      </c>
      <c r="AO84" s="77" t="s">
        <v>705</v>
      </c>
      <c r="AP84" s="77" t="s">
        <v>81</v>
      </c>
      <c r="AQ84" s="77" t="s">
        <v>1217</v>
      </c>
      <c r="AR84" s="79" t="s">
        <v>2360</v>
      </c>
      <c r="AS84" s="79"/>
      <c r="AT84" s="80"/>
      <c r="AU84" s="80"/>
      <c r="AV84" s="77"/>
    </row>
    <row r="85" spans="1:48" ht="15" hidden="1" customHeight="1" x14ac:dyDescent="0.35">
      <c r="A85" s="77"/>
      <c r="B85" s="77" t="s">
        <v>1413</v>
      </c>
      <c r="C85" s="77" t="s">
        <v>1186</v>
      </c>
      <c r="D85" s="77"/>
      <c r="E85" s="79" t="s">
        <v>11</v>
      </c>
      <c r="F85" s="77" t="str">
        <f>VLOOKUP(Table1[[#This Row],[CBRE sub-markets]],Reference!$A$2:$B$31,2,FALSE)</f>
        <v>Kowloon Others</v>
      </c>
      <c r="G85" s="77">
        <f>VLOOKUP(Table1[[#This Row],[CBRE sub-markets]],Reference!$A$2:$D$31,3,FALSE)</f>
        <v>8</v>
      </c>
      <c r="H85" s="79" t="str">
        <f>VLOOKUP(Table1[[#This Row],[CBRE sub-markets]],Reference!$A$2:$D$31,4,FALSE)</f>
        <v>Kowloon</v>
      </c>
      <c r="I85" s="80">
        <v>2017</v>
      </c>
      <c r="J85" s="80">
        <v>4</v>
      </c>
      <c r="K85" s="81" t="str">
        <f>IF(ISNUMBER(Table1[[#This Row],[Qtr]]),CONCATENATE(Table1[[#This Row],[Year]]," Q",Table1[[#This Row],[Qtr]]),CONCATENATE(Table1[[#This Row],[Year]],Table1[[#This Row],[Qtr]]))</f>
        <v>2017 Q4</v>
      </c>
      <c r="L85" s="80" t="s">
        <v>20</v>
      </c>
      <c r="M85" s="80" t="s">
        <v>84</v>
      </c>
      <c r="N85" s="80">
        <v>1</v>
      </c>
      <c r="O85" s="80" t="s">
        <v>1057</v>
      </c>
      <c r="P85" s="80"/>
      <c r="Q85" s="82">
        <v>13253</v>
      </c>
      <c r="R85" s="82">
        <f>Q85*0.75</f>
        <v>9939.75</v>
      </c>
      <c r="S85" s="80" t="str">
        <f t="shared" si="5"/>
        <v>No</v>
      </c>
      <c r="T85" s="82"/>
      <c r="U85" s="82"/>
      <c r="V85" s="82">
        <f>Table1[[#This Row],[Office GFA (sf)]]/10.7639</f>
        <v>21751.874320645864</v>
      </c>
      <c r="W85" s="82">
        <f>9965+10573+13211*5+13253*5+13636*5+13097</f>
        <v>234135</v>
      </c>
      <c r="X85" s="82">
        <f>Table1[[#This Row],[Office GFA (sm)]]*0.75</f>
        <v>16313.905740484399</v>
      </c>
      <c r="Y85" s="82">
        <f>X85*10.764</f>
        <v>175602.88139057407</v>
      </c>
      <c r="Z85" s="82">
        <f>(13211+13211+5000+13242+3991+4595+2775+4595+2443)*0.75</f>
        <v>47297.25</v>
      </c>
      <c r="AA85" s="82"/>
      <c r="AB85" s="82"/>
      <c r="AC85" s="82">
        <f>IF(Table1[[#This Row],[For Sale or For Lease?]]="For Lease",Table1[[#This Row],[Office UFA (Net) (sf)]]-Table1[[#This Row],[Pre-leased space (Usable FA) (sf)]]-Table1[[#This Row],[Pre-sold (Usable FA) (sf)]]-Table1[[#This Row],[Self-use space (Usable FA) (sf)]],0)</f>
        <v>128305.63139057407</v>
      </c>
      <c r="AD85" s="82">
        <f>IF(Table1[[#This Row],[For Sale or For Lease?]]="For Sale",Table1[[#This Row],[Office UFA (Net) (sf)]]-Table1[[#This Row],[Pre-leased space (Usable FA) (sf)]]-Table1[[#This Row],[Pre-sold (Usable FA) (sf)]]-Table1[[#This Row],[Self-use space (Usable FA) (sf)]],0)</f>
        <v>0</v>
      </c>
      <c r="AE85" s="82">
        <f>IF(Table1[[#This Row],[For Sale or For Lease?]]="Uncertain",Table1[[#This Row],[Office UFA (Net) (sf)]]-Table1[[#This Row],[Pre-leased space (Usable FA) (sf)]]-Table1[[#This Row],[Pre-sold (Usable FA) (sf)]]-Table1[[#This Row],[Self-use space (Usable FA) (sf)]],0)</f>
        <v>0</v>
      </c>
      <c r="AF85" s="86">
        <f>1-SUM(Table1[[#This Row],[Space available for lease (Usable FA) (sf)]:[Space available uncertain of use (Usable FA) (sf)]])/Table1[[#This Row],[Office UFA (Net) (sf)]]</f>
        <v>0.26934210660702063</v>
      </c>
      <c r="AG85" s="79" t="s">
        <v>89</v>
      </c>
      <c r="AH85" s="84" t="s">
        <v>96</v>
      </c>
      <c r="AI85" s="79" t="s">
        <v>92</v>
      </c>
      <c r="AJ85" s="83">
        <v>42248</v>
      </c>
      <c r="AK85" s="83">
        <v>42360</v>
      </c>
      <c r="AL85" s="85" t="s">
        <v>30</v>
      </c>
      <c r="AM85" s="85" t="s">
        <v>114</v>
      </c>
      <c r="AN85" s="79" t="s">
        <v>73</v>
      </c>
      <c r="AO85" s="77" t="s">
        <v>705</v>
      </c>
      <c r="AP85" s="77" t="s">
        <v>81</v>
      </c>
      <c r="AQ85" s="77" t="s">
        <v>1246</v>
      </c>
      <c r="AR85" s="79" t="s">
        <v>2362</v>
      </c>
      <c r="AS85" s="79"/>
      <c r="AT85" s="80"/>
      <c r="AU85" s="80"/>
      <c r="AV85" s="77"/>
    </row>
    <row r="86" spans="1:48" ht="15" hidden="1" customHeight="1" x14ac:dyDescent="0.35">
      <c r="A86" s="77"/>
      <c r="B86" s="77" t="s">
        <v>1059</v>
      </c>
      <c r="C86" s="77" t="s">
        <v>1192</v>
      </c>
      <c r="D86" s="77"/>
      <c r="E86" s="79" t="s">
        <v>2</v>
      </c>
      <c r="F86" s="77" t="str">
        <f>VLOOKUP(Table1[[#This Row],[CBRE sub-markets]],Reference!$A$2:$B$31,2,FALSE)</f>
        <v>Admiralty &amp; Sheung Wan</v>
      </c>
      <c r="G86" s="77">
        <f>VLOOKUP(Table1[[#This Row],[CBRE sub-markets]],Reference!$A$2:$D$31,3,FALSE)</f>
        <v>2</v>
      </c>
      <c r="H86" s="79" t="str">
        <f>VLOOKUP(Table1[[#This Row],[CBRE sub-markets]],Reference!$A$2:$D$31,4,FALSE)</f>
        <v>Hong Kong Island</v>
      </c>
      <c r="I86" s="80">
        <v>2017</v>
      </c>
      <c r="J86" s="80"/>
      <c r="K86" s="81" t="str">
        <f>IF(ISNUMBER(Table1[[#This Row],[Qtr]]),CONCATENATE(Table1[[#This Row],[Year]]," Q",Table1[[#This Row],[Qtr]]),CONCATENATE(Table1[[#This Row],[Year]],Table1[[#This Row],[Qtr]]))</f>
        <v>2017</v>
      </c>
      <c r="L86" s="80" t="s">
        <v>21</v>
      </c>
      <c r="M86" s="80" t="s">
        <v>84</v>
      </c>
      <c r="N86" s="80">
        <v>1</v>
      </c>
      <c r="O86" s="80">
        <v>29</v>
      </c>
      <c r="P86" s="80"/>
      <c r="Q86" s="82">
        <f>W86/O86</f>
        <v>1678.961296551724</v>
      </c>
      <c r="R86" s="82">
        <f>Y86/O86</f>
        <v>984.75753103448267</v>
      </c>
      <c r="S86" s="80" t="str">
        <f t="shared" si="5"/>
        <v>No</v>
      </c>
      <c r="T86" s="82"/>
      <c r="U86" s="82"/>
      <c r="V86" s="82">
        <v>4523.3999999999996</v>
      </c>
      <c r="W86" s="82">
        <f>IF(ISBLANK(V86),"",V86*10.764)</f>
        <v>48689.877599999993</v>
      </c>
      <c r="X86" s="82">
        <v>2653.1</v>
      </c>
      <c r="Y86" s="82">
        <f>IF(ISBLANK(X86),"",X86*10.764)</f>
        <v>28557.968399999998</v>
      </c>
      <c r="Z86" s="82"/>
      <c r="AA86" s="82"/>
      <c r="AB86" s="82"/>
      <c r="AC86" s="82">
        <f>IF(Table1[[#This Row],[For Sale or For Lease?]]="For Lease",Table1[[#This Row],[Office UFA (Net) (sf)]]-Table1[[#This Row],[Pre-leased space (Usable FA) (sf)]]-Table1[[#This Row],[Pre-sold (Usable FA) (sf)]]-Table1[[#This Row],[Self-use space (Usable FA) (sf)]],0)</f>
        <v>28557.968399999998</v>
      </c>
      <c r="AD86" s="82">
        <f>IF(Table1[[#This Row],[For Sale or For Lease?]]="For Sale",Table1[[#This Row],[Office UFA (Net) (sf)]]-Table1[[#This Row],[Pre-leased space (Usable FA) (sf)]]-Table1[[#This Row],[Pre-sold (Usable FA) (sf)]]-Table1[[#This Row],[Self-use space (Usable FA) (sf)]],0)</f>
        <v>0</v>
      </c>
      <c r="AE86" s="82">
        <f>IF(Table1[[#This Row],[For Sale or For Lease?]]="Uncertain",Table1[[#This Row],[Office UFA (Net) (sf)]]-Table1[[#This Row],[Pre-leased space (Usable FA) (sf)]]-Table1[[#This Row],[Pre-sold (Usable FA) (sf)]]-Table1[[#This Row],[Self-use space (Usable FA) (sf)]],0)</f>
        <v>0</v>
      </c>
      <c r="AF86" s="86">
        <f>1-SUM(Table1[[#This Row],[Space available for lease (Usable FA) (sf)]:[Space available uncertain of use (Usable FA) (sf)]])/Table1[[#This Row],[Office UFA (Net) (sf)]]</f>
        <v>0</v>
      </c>
      <c r="AG86" s="79" t="s">
        <v>89</v>
      </c>
      <c r="AH86" s="84" t="s">
        <v>96</v>
      </c>
      <c r="AI86" s="79" t="s">
        <v>92</v>
      </c>
      <c r="AJ86" s="83">
        <v>41645</v>
      </c>
      <c r="AK86" s="83">
        <v>41893</v>
      </c>
      <c r="AL86" s="85" t="s">
        <v>30</v>
      </c>
      <c r="AM86" s="85" t="s">
        <v>1060</v>
      </c>
      <c r="AN86" s="79" t="s">
        <v>73</v>
      </c>
      <c r="AO86" s="77" t="s">
        <v>705</v>
      </c>
      <c r="AP86" s="77" t="s">
        <v>81</v>
      </c>
      <c r="AQ86" s="77"/>
      <c r="AR86" s="79" t="s">
        <v>1722</v>
      </c>
      <c r="AS86" s="79"/>
      <c r="AT86" s="80"/>
      <c r="AU86" s="80"/>
      <c r="AV86" s="77" t="s">
        <v>2212</v>
      </c>
    </row>
    <row r="87" spans="1:48" ht="15" hidden="1" customHeight="1" x14ac:dyDescent="0.35">
      <c r="A87" s="77"/>
      <c r="B87" s="77" t="s">
        <v>1363</v>
      </c>
      <c r="C87" s="77" t="s">
        <v>1364</v>
      </c>
      <c r="D87" s="77"/>
      <c r="E87" s="79" t="s">
        <v>15</v>
      </c>
      <c r="F87" s="77" t="str">
        <f>VLOOKUP(Table1[[#This Row],[CBRE sub-markets]],Reference!$A$2:$B$31,2,FALSE)</f>
        <v>New Territories</v>
      </c>
      <c r="G87" s="77">
        <f>VLOOKUP(Table1[[#This Row],[CBRE sub-markets]],Reference!$A$2:$D$31,3,FALSE)</f>
        <v>9</v>
      </c>
      <c r="H87" s="79" t="str">
        <f>VLOOKUP(Table1[[#This Row],[CBRE sub-markets]],Reference!$A$2:$D$31,4,FALSE)</f>
        <v>New Territories</v>
      </c>
      <c r="I87" s="80">
        <v>2017</v>
      </c>
      <c r="J87" s="80"/>
      <c r="K87" s="81" t="str">
        <f>IF(ISNUMBER(Table1[[#This Row],[Qtr]]),CONCATENATE(Table1[[#This Row],[Year]]," Q",Table1[[#This Row],[Qtr]]),CONCATENATE(Table1[[#This Row],[Year]],Table1[[#This Row],[Qtr]]))</f>
        <v>2017</v>
      </c>
      <c r="L87" s="80" t="s">
        <v>748</v>
      </c>
      <c r="M87" s="80" t="s">
        <v>84</v>
      </c>
      <c r="N87" s="80">
        <v>1</v>
      </c>
      <c r="O87" s="80">
        <v>18</v>
      </c>
      <c r="P87" s="80"/>
      <c r="Q87" s="82">
        <f>Table1[[#This Row],[Office GFA (sf)]]/Table1[[#This Row],[No. of Storeys]]</f>
        <v>40203.166499999999</v>
      </c>
      <c r="R87" s="82">
        <f>Table1[[#This Row],[Floor Plate (GFA) (sf)]]*0.75</f>
        <v>30152.374875000001</v>
      </c>
      <c r="S87" s="80" t="str">
        <f t="shared" si="5"/>
        <v>Yes</v>
      </c>
      <c r="T87" s="82"/>
      <c r="U87" s="82"/>
      <c r="V87" s="82">
        <f>3735*18</f>
        <v>67230</v>
      </c>
      <c r="W87" s="82">
        <f>Table1[[#This Row],[Office GFA (sm)]]*10.7639</f>
        <v>723656.99699999997</v>
      </c>
      <c r="X87" s="82">
        <f>V87*0.75</f>
        <v>50422.5</v>
      </c>
      <c r="Y87" s="82">
        <f>X87*10.764</f>
        <v>542747.78999999992</v>
      </c>
      <c r="Z87" s="82"/>
      <c r="AA87" s="82"/>
      <c r="AB87" s="82"/>
      <c r="AC87" s="82">
        <f>IF(Table1[[#This Row],[For Sale or For Lease?]]="For Lease",Table1[[#This Row],[Office UFA (Net) (sf)]]-Table1[[#This Row],[Pre-leased space (Usable FA) (sf)]]-Table1[[#This Row],[Pre-sold (Usable FA) (sf)]]-Table1[[#This Row],[Self-use space (Usable FA) (sf)]],0)</f>
        <v>542747.78999999992</v>
      </c>
      <c r="AD87" s="82">
        <f>IF(Table1[[#This Row],[For Sale or For Lease?]]="For Sale",Table1[[#This Row],[Office UFA (Net) (sf)]]-Table1[[#This Row],[Pre-leased space (Usable FA) (sf)]]-Table1[[#This Row],[Pre-sold (Usable FA) (sf)]]-Table1[[#This Row],[Self-use space (Usable FA) (sf)]],0)</f>
        <v>0</v>
      </c>
      <c r="AE87" s="82">
        <f>IF(Table1[[#This Row],[For Sale or For Lease?]]="Uncertain",Table1[[#This Row],[Office UFA (Net) (sf)]]-Table1[[#This Row],[Pre-leased space (Usable FA) (sf)]]-Table1[[#This Row],[Pre-sold (Usable FA) (sf)]]-Table1[[#This Row],[Self-use space (Usable FA) (sf)]],0)</f>
        <v>0</v>
      </c>
      <c r="AF87" s="86">
        <f>1-SUM(Table1[[#This Row],[Space available for lease (Usable FA) (sf)]:[Space available uncertain of use (Usable FA) (sf)]])/Table1[[#This Row],[Office UFA (Net) (sf)]]</f>
        <v>0</v>
      </c>
      <c r="AG87" s="79" t="s">
        <v>450</v>
      </c>
      <c r="AH87" s="84"/>
      <c r="AI87" s="79"/>
      <c r="AJ87" s="83">
        <v>42676</v>
      </c>
      <c r="AK87" s="83">
        <v>42676</v>
      </c>
      <c r="AL87" s="85" t="s">
        <v>748</v>
      </c>
      <c r="AM87" s="85" t="s">
        <v>1365</v>
      </c>
      <c r="AN87" s="79" t="s">
        <v>73</v>
      </c>
      <c r="AO87" s="77" t="s">
        <v>705</v>
      </c>
      <c r="AP87" s="77" t="s">
        <v>81</v>
      </c>
      <c r="AQ87" s="77" t="s">
        <v>1366</v>
      </c>
      <c r="AR87" s="79" t="s">
        <v>1724</v>
      </c>
      <c r="AS87" s="79"/>
      <c r="AT87" s="80"/>
      <c r="AU87" s="80"/>
      <c r="AV87" s="77" t="s">
        <v>2214</v>
      </c>
    </row>
    <row r="88" spans="1:48" ht="15" hidden="1" customHeight="1" x14ac:dyDescent="0.35">
      <c r="A88" s="77"/>
      <c r="B88" s="77" t="s">
        <v>1406</v>
      </c>
      <c r="C88" s="77" t="s">
        <v>1405</v>
      </c>
      <c r="D88" s="77"/>
      <c r="E88" s="79" t="s">
        <v>130</v>
      </c>
      <c r="F88" s="77" t="str">
        <f>VLOOKUP(Table1[[#This Row],[CBRE sub-markets]],Reference!$A$2:$B$31,2,FALSE)</f>
        <v>Wong Chuk Hang</v>
      </c>
      <c r="G88" s="77">
        <f>VLOOKUP(Table1[[#This Row],[CBRE sub-markets]],Reference!$A$2:$D$31,3,FALSE)</f>
        <v>5</v>
      </c>
      <c r="H88" s="79" t="str">
        <f>VLOOKUP(Table1[[#This Row],[CBRE sub-markets]],Reference!$A$2:$D$31,4,FALSE)</f>
        <v>Hong Kong Island</v>
      </c>
      <c r="I88" s="80">
        <v>2018</v>
      </c>
      <c r="J88" s="80">
        <v>1</v>
      </c>
      <c r="K88" s="81" t="str">
        <f>IF(ISNUMBER(Table1[[#This Row],[Qtr]]),CONCATENATE(Table1[[#This Row],[Year]]," Q",Table1[[#This Row],[Qtr]]),CONCATENATE(Table1[[#This Row],[Year]],Table1[[#This Row],[Qtr]]))</f>
        <v>2018 Q1</v>
      </c>
      <c r="L88" s="80" t="s">
        <v>748</v>
      </c>
      <c r="M88" s="80" t="s">
        <v>84</v>
      </c>
      <c r="N88" s="80">
        <v>1</v>
      </c>
      <c r="O88" s="80">
        <v>17</v>
      </c>
      <c r="P88" s="80">
        <v>17</v>
      </c>
      <c r="Q88" s="82">
        <v>13711</v>
      </c>
      <c r="R88" s="82">
        <f>Q88*0.75</f>
        <v>10283.25</v>
      </c>
      <c r="S88" s="80" t="str">
        <f t="shared" si="5"/>
        <v>No</v>
      </c>
      <c r="T88" s="82"/>
      <c r="U88" s="82"/>
      <c r="V88" s="82">
        <f>Table1[[#This Row],[Office GFA (sf)]]/10.7639</f>
        <v>21142.801400979199</v>
      </c>
      <c r="W88" s="82">
        <f>13711*13+12334*4</f>
        <v>227579</v>
      </c>
      <c r="X88" s="82">
        <f>Y88/10.764</f>
        <v>15856.953734671128</v>
      </c>
      <c r="Y88" s="82">
        <f>Table1[[#This Row],[Office GFA (sf)]]*0.75</f>
        <v>170684.25</v>
      </c>
      <c r="Z88" s="82"/>
      <c r="AA88" s="82"/>
      <c r="AB88" s="82"/>
      <c r="AC88" s="82">
        <f>IF(Table1[[#This Row],[For Sale or For Lease?]]="For Lease",Table1[[#This Row],[Office UFA (Net) (sf)]]-Table1[[#This Row],[Pre-leased space (Usable FA) (sf)]]-Table1[[#This Row],[Pre-sold (Usable FA) (sf)]]-Table1[[#This Row],[Self-use space (Usable FA) (sf)]],0)</f>
        <v>170684.25</v>
      </c>
      <c r="AD88" s="82">
        <f>IF(Table1[[#This Row],[For Sale or For Lease?]]="For Sale",Table1[[#This Row],[Office UFA (Net) (sf)]]-Table1[[#This Row],[Pre-leased space (Usable FA) (sf)]]-Table1[[#This Row],[Pre-sold (Usable FA) (sf)]]-Table1[[#This Row],[Self-use space (Usable FA) (sf)]],0)</f>
        <v>0</v>
      </c>
      <c r="AE88" s="82">
        <f>IF(Table1[[#This Row],[For Sale or For Lease?]]="Uncertain",Table1[[#This Row],[Office UFA (Net) (sf)]]-Table1[[#This Row],[Pre-leased space (Usable FA) (sf)]]-Table1[[#This Row],[Pre-sold (Usable FA) (sf)]]-Table1[[#This Row],[Self-use space (Usable FA) (sf)]],0)</f>
        <v>0</v>
      </c>
      <c r="AF88" s="86">
        <f>1-SUM(Table1[[#This Row],[Space available for lease (Usable FA) (sf)]:[Space available uncertain of use (Usable FA) (sf)]])/Table1[[#This Row],[Office UFA (Net) (sf)]]</f>
        <v>0</v>
      </c>
      <c r="AG88" s="79" t="s">
        <v>89</v>
      </c>
      <c r="AH88" s="84"/>
      <c r="AI88" s="79"/>
      <c r="AJ88" s="83">
        <v>42877</v>
      </c>
      <c r="AK88" s="83">
        <v>42877</v>
      </c>
      <c r="AL88" s="85" t="s">
        <v>748</v>
      </c>
      <c r="AM88" s="85" t="s">
        <v>494</v>
      </c>
      <c r="AN88" s="79" t="s">
        <v>73</v>
      </c>
      <c r="AO88" s="77" t="s">
        <v>705</v>
      </c>
      <c r="AP88" s="77" t="s">
        <v>81</v>
      </c>
      <c r="AQ88" s="77"/>
      <c r="AR88" s="79" t="s">
        <v>1725</v>
      </c>
      <c r="AS88" s="79"/>
      <c r="AT88" s="80"/>
      <c r="AU88" s="80"/>
      <c r="AV88" s="77" t="s">
        <v>2216</v>
      </c>
    </row>
    <row r="89" spans="1:48" ht="15" hidden="1" customHeight="1" x14ac:dyDescent="0.35">
      <c r="A89" s="77"/>
      <c r="B89" s="77" t="s">
        <v>1409</v>
      </c>
      <c r="C89" s="77" t="s">
        <v>1075</v>
      </c>
      <c r="D89" s="77" t="s">
        <v>722</v>
      </c>
      <c r="E89" s="79" t="s">
        <v>12</v>
      </c>
      <c r="F89" s="77" t="str">
        <f>VLOOKUP(Table1[[#This Row],[CBRE sub-markets]],Reference!$A$2:$B$31,2,FALSE)</f>
        <v>Kowloon Others</v>
      </c>
      <c r="G89" s="77">
        <f>VLOOKUP(Table1[[#This Row],[CBRE sub-markets]],Reference!$A$2:$D$31,3,FALSE)</f>
        <v>8</v>
      </c>
      <c r="H89" s="79" t="str">
        <f>VLOOKUP(Table1[[#This Row],[CBRE sub-markets]],Reference!$A$2:$D$31,4,FALSE)</f>
        <v>Kowloon</v>
      </c>
      <c r="I89" s="80">
        <v>2018</v>
      </c>
      <c r="J89" s="80">
        <v>1</v>
      </c>
      <c r="K89" s="81" t="str">
        <f>IF(ISNUMBER(Table1[[#This Row],[Qtr]]),CONCATENATE(Table1[[#This Row],[Year]]," Q",Table1[[#This Row],[Qtr]]),CONCATENATE(Table1[[#This Row],[Year]],Table1[[#This Row],[Qtr]]))</f>
        <v>2018 Q1</v>
      </c>
      <c r="L89" s="80" t="s">
        <v>20</v>
      </c>
      <c r="M89" s="80" t="s">
        <v>84</v>
      </c>
      <c r="N89" s="80">
        <v>1</v>
      </c>
      <c r="O89" s="80" t="s">
        <v>482</v>
      </c>
      <c r="P89" s="80">
        <v>20</v>
      </c>
      <c r="Q89" s="82">
        <f>Table1[[#This Row],[Office GFA (sf)]]/18</f>
        <v>10645.777777777777</v>
      </c>
      <c r="R89" s="82">
        <f>Q89*0.67</f>
        <v>7132.6711111111117</v>
      </c>
      <c r="S89" s="80" t="str">
        <f t="shared" si="5"/>
        <v>No</v>
      </c>
      <c r="T89" s="82">
        <v>17961</v>
      </c>
      <c r="U89" s="82">
        <f>+Table1[[#This Row],[Total GFA (sm)]]*10.7639</f>
        <v>193330.40789999999</v>
      </c>
      <c r="V89" s="82">
        <f>Table1[[#This Row],[Office GFA (sf)]]/10.7639</f>
        <v>17802.469365192916</v>
      </c>
      <c r="W89" s="82">
        <f>8861+2686+7789+8405+1280+1134*3+849+884*2+926+1414+1253*3+849+884*2+926+2574+11109*11+11070+6675+4424</f>
        <v>191624</v>
      </c>
      <c r="X89" s="82">
        <f>Table1[[#This Row],[Office GFA (sm)]]*0.67</f>
        <v>11927.654474679253</v>
      </c>
      <c r="Y89" s="82">
        <f>Table1[[#This Row],[Office GFA (sf)]]*0.67</f>
        <v>128388.08</v>
      </c>
      <c r="Z89" s="82"/>
      <c r="AA89" s="82">
        <f>5555+1799+5220+5631+857+760+760+760+568+592+592+620+947+839+839+839+568+592+592+620+1725+7445*11+7419+4472+2964</f>
        <v>128025</v>
      </c>
      <c r="AB89" s="82"/>
      <c r="AC89" s="82">
        <f>IF(Table1[[#This Row],[For Sale or For Lease?]]="For Lease",Table1[[#This Row],[Office UFA (Net) (sf)]]-Table1[[#This Row],[Pre-leased space (Usable FA) (sf)]]-Table1[[#This Row],[Pre-sold (Usable FA) (sf)]]-Table1[[#This Row],[Self-use space (Usable FA) (sf)]],0)</f>
        <v>0</v>
      </c>
      <c r="AD89" s="82">
        <f>IF(Table1[[#This Row],[For Sale or For Lease?]]="For Sale",Table1[[#This Row],[Office UFA (Net) (sf)]]-Table1[[#This Row],[Pre-leased space (Usable FA) (sf)]]-Table1[[#This Row],[Pre-sold (Usable FA) (sf)]]-Table1[[#This Row],[Self-use space (Usable FA) (sf)]],0)</f>
        <v>363.08000000000175</v>
      </c>
      <c r="AE89" s="82">
        <f>IF(Table1[[#This Row],[For Sale or For Lease?]]="Uncertain",Table1[[#This Row],[Office UFA (Net) (sf)]]-Table1[[#This Row],[Pre-leased space (Usable FA) (sf)]]-Table1[[#This Row],[Pre-sold (Usable FA) (sf)]]-Table1[[#This Row],[Self-use space (Usable FA) (sf)]],0)</f>
        <v>0</v>
      </c>
      <c r="AF89" s="86">
        <f>1-SUM(Table1[[#This Row],[Space available for lease (Usable FA) (sf)]:[Space available uncertain of use (Usable FA) (sf)]])/Table1[[#This Row],[Office UFA (Net) (sf)]]</f>
        <v>0.99717201160730806</v>
      </c>
      <c r="AG89" s="79" t="s">
        <v>1058</v>
      </c>
      <c r="AH89" s="84" t="s">
        <v>103</v>
      </c>
      <c r="AI89" s="79" t="s">
        <v>92</v>
      </c>
      <c r="AJ89" s="83">
        <v>43132</v>
      </c>
      <c r="AK89" s="83">
        <v>43209</v>
      </c>
      <c r="AL89" s="85" t="s">
        <v>30</v>
      </c>
      <c r="AM89" s="85" t="s">
        <v>839</v>
      </c>
      <c r="AN89" s="79" t="s">
        <v>73</v>
      </c>
      <c r="AO89" s="77" t="s">
        <v>704</v>
      </c>
      <c r="AP89" s="77" t="s">
        <v>82</v>
      </c>
      <c r="AQ89" s="77" t="s">
        <v>1123</v>
      </c>
      <c r="AR89" s="79" t="s">
        <v>2366</v>
      </c>
      <c r="AS89" s="79"/>
      <c r="AT89" s="80"/>
      <c r="AU89" s="80"/>
      <c r="AV89" s="77"/>
    </row>
    <row r="90" spans="1:48" ht="15" hidden="1" customHeight="1" x14ac:dyDescent="0.35">
      <c r="A90" s="77"/>
      <c r="B90" s="77" t="s">
        <v>1393</v>
      </c>
      <c r="C90" s="77" t="s">
        <v>1232</v>
      </c>
      <c r="D90" s="77" t="s">
        <v>452</v>
      </c>
      <c r="E90" s="79" t="s">
        <v>171</v>
      </c>
      <c r="F90" s="77" t="str">
        <f>VLOOKUP(Table1[[#This Row],[CBRE sub-markets]],Reference!$A$2:$B$31,2,FALSE)</f>
        <v>Kowloon East</v>
      </c>
      <c r="G90" s="77">
        <f>VLOOKUP(Table1[[#This Row],[CBRE sub-markets]],Reference!$A$2:$D$31,3,FALSE)</f>
        <v>7</v>
      </c>
      <c r="H90" s="79" t="str">
        <f>VLOOKUP(Table1[[#This Row],[CBRE sub-markets]],Reference!$A$2:$D$31,4,FALSE)</f>
        <v>Kowloon</v>
      </c>
      <c r="I90" s="80">
        <v>2018</v>
      </c>
      <c r="J90" s="80">
        <v>1</v>
      </c>
      <c r="K90" s="81" t="str">
        <f>IF(ISNUMBER(Table1[[#This Row],[Qtr]]),CONCATENATE(Table1[[#This Row],[Year]]," Q",Table1[[#This Row],[Qtr]]),CONCATENATE(Table1[[#This Row],[Year]],Table1[[#This Row],[Qtr]]))</f>
        <v>2018 Q1</v>
      </c>
      <c r="L90" s="80" t="s">
        <v>20</v>
      </c>
      <c r="M90" s="80" t="s">
        <v>84</v>
      </c>
      <c r="N90" s="80">
        <v>1</v>
      </c>
      <c r="O90" s="80" t="s">
        <v>1057</v>
      </c>
      <c r="P90" s="80">
        <v>20</v>
      </c>
      <c r="Q90" s="82">
        <v>16469</v>
      </c>
      <c r="R90" s="82">
        <f>Table1[[#This Row],[Floor Plate (GFA) (sf)]]*0.72</f>
        <v>11857.68</v>
      </c>
      <c r="S90" s="80" t="str">
        <f t="shared" si="5"/>
        <v>No</v>
      </c>
      <c r="T90" s="82"/>
      <c r="U90" s="82"/>
      <c r="V90" s="82">
        <f>Table1[[#This Row],[Office GFA (sf)]]/10.764</f>
        <v>29643.162393162394</v>
      </c>
      <c r="W90" s="82">
        <f>(16469*14)+16201+16758+(17284*2)+17467+3519</f>
        <v>319079</v>
      </c>
      <c r="X90" s="82">
        <f>Table1[[#This Row],[Office UFA (Net) (sf)]]/10.764</f>
        <v>21343.076923076926</v>
      </c>
      <c r="Y90" s="82">
        <f>Table1[[#This Row],[Office GFA (sf)]]*(Table1[[#This Row],[Floor Plate (NFA) (sf)]]/Table1[[#This Row],[Floor Plate (GFA) (sf)]])</f>
        <v>229736.88</v>
      </c>
      <c r="Z90" s="82"/>
      <c r="AA90" s="82"/>
      <c r="AB90" s="82">
        <f>(17467+3519)*0.72</f>
        <v>15109.92</v>
      </c>
      <c r="AC90" s="82">
        <f>IF(Table1[[#This Row],[For Sale or For Lease?]]="For Lease",Table1[[#This Row],[Office UFA (Net) (sf)]]-Table1[[#This Row],[Pre-leased space (Usable FA) (sf)]]-Table1[[#This Row],[Pre-sold (Usable FA) (sf)]]-Table1[[#This Row],[Self-use space (Usable FA) (sf)]],0)</f>
        <v>214626.96</v>
      </c>
      <c r="AD90" s="82">
        <f>IF(Table1[[#This Row],[For Sale or For Lease?]]="For Sale",Table1[[#This Row],[Office UFA (Net) (sf)]]-Table1[[#This Row],[Pre-leased space (Usable FA) (sf)]]-Table1[[#This Row],[Pre-sold (Usable FA) (sf)]]-Table1[[#This Row],[Self-use space (Usable FA) (sf)]],0)</f>
        <v>0</v>
      </c>
      <c r="AE90" s="82">
        <f>IF(Table1[[#This Row],[For Sale or For Lease?]]="Uncertain",Table1[[#This Row],[Office UFA (Net) (sf)]]-Table1[[#This Row],[Pre-leased space (Usable FA) (sf)]]-Table1[[#This Row],[Pre-sold (Usable FA) (sf)]]-Table1[[#This Row],[Self-use space (Usable FA) (sf)]],0)</f>
        <v>0</v>
      </c>
      <c r="AF90" s="86">
        <f>1-SUM(Table1[[#This Row],[Space available for lease (Usable FA) (sf)]:[Space available uncertain of use (Usable FA) (sf)]])/Table1[[#This Row],[Office UFA (Net) (sf)]]</f>
        <v>6.5770545852281148E-2</v>
      </c>
      <c r="AG90" s="79" t="s">
        <v>89</v>
      </c>
      <c r="AH90" s="84" t="s">
        <v>96</v>
      </c>
      <c r="AI90" s="79" t="s">
        <v>92</v>
      </c>
      <c r="AJ90" s="83">
        <v>43132</v>
      </c>
      <c r="AK90" s="83">
        <v>43132</v>
      </c>
      <c r="AL90" s="85" t="s">
        <v>29</v>
      </c>
      <c r="AM90" s="85" t="s">
        <v>729</v>
      </c>
      <c r="AN90" s="79" t="s">
        <v>73</v>
      </c>
      <c r="AO90" s="77" t="s">
        <v>705</v>
      </c>
      <c r="AP90" s="77" t="s">
        <v>81</v>
      </c>
      <c r="AQ90" s="77" t="s">
        <v>1203</v>
      </c>
      <c r="AR90" s="79" t="s">
        <v>2365</v>
      </c>
      <c r="AS90" s="79"/>
      <c r="AT90" s="80"/>
      <c r="AU90" s="80"/>
      <c r="AV90" s="77"/>
    </row>
    <row r="91" spans="1:48" ht="15" hidden="1" customHeight="1" x14ac:dyDescent="0.35">
      <c r="A91" s="77"/>
      <c r="B91" s="77" t="s">
        <v>1392</v>
      </c>
      <c r="C91" s="77" t="s">
        <v>1320</v>
      </c>
      <c r="D91" s="77" t="s">
        <v>723</v>
      </c>
      <c r="E91" s="79" t="s">
        <v>162</v>
      </c>
      <c r="F91" s="77" t="str">
        <f>VLOOKUP(Table1[[#This Row],[CBRE sub-markets]],Reference!$A$2:$B$31,2,FALSE)</f>
        <v>Kowloon East</v>
      </c>
      <c r="G91" s="77">
        <f>VLOOKUP(Table1[[#This Row],[CBRE sub-markets]],Reference!$A$2:$D$31,3,FALSE)</f>
        <v>7</v>
      </c>
      <c r="H91" s="79" t="str">
        <f>VLOOKUP(Table1[[#This Row],[CBRE sub-markets]],Reference!$A$2:$D$31,4,FALSE)</f>
        <v>Kowloon</v>
      </c>
      <c r="I91" s="80">
        <v>2018</v>
      </c>
      <c r="J91" s="80">
        <v>2</v>
      </c>
      <c r="K91" s="81" t="str">
        <f>IF(ISNUMBER(Table1[[#This Row],[Qtr]]),CONCATENATE(Table1[[#This Row],[Year]]," Q",Table1[[#This Row],[Qtr]]),CONCATENATE(Table1[[#This Row],[Year]],Table1[[#This Row],[Qtr]]))</f>
        <v>2018 Q2</v>
      </c>
      <c r="L91" s="80" t="s">
        <v>20</v>
      </c>
      <c r="M91" s="80" t="s">
        <v>84</v>
      </c>
      <c r="N91" s="80">
        <v>1</v>
      </c>
      <c r="O91" s="80" t="s">
        <v>278</v>
      </c>
      <c r="P91" s="80">
        <v>19</v>
      </c>
      <c r="Q91" s="82">
        <f>Table1[[#This Row],[Office GFA (sf)]]/19</f>
        <v>35973.84210526316</v>
      </c>
      <c r="R91" s="82">
        <f>Q91*0.8</f>
        <v>28779.073684210529</v>
      </c>
      <c r="S91" s="80" t="str">
        <f t="shared" si="5"/>
        <v>Yes</v>
      </c>
      <c r="T91" s="82"/>
      <c r="U91" s="82"/>
      <c r="V91" s="82">
        <f>Table1[[#This Row],[Office GFA (sf)]]/10.764</f>
        <v>63498.978075065039</v>
      </c>
      <c r="W91" s="82">
        <f>35705*2+35779*3+35750*3+36072*4+36120+35747*2+36401*4</f>
        <v>683503</v>
      </c>
      <c r="X91" s="82">
        <f>Table1[[#This Row],[Office UFA (Net) (sf)]]/10.764</f>
        <v>50799.182460052034</v>
      </c>
      <c r="Y91" s="82">
        <f>Table1[[#This Row],[Office GFA (sf)]]*0.8</f>
        <v>546802.4</v>
      </c>
      <c r="Z91" s="82">
        <f>(71558+35705+35779+108216)*0.786587</f>
        <v>197636.276446</v>
      </c>
      <c r="AA91" s="82"/>
      <c r="AB91" s="82"/>
      <c r="AC91" s="82">
        <f>IF(Table1[[#This Row],[For Sale or For Lease?]]="For Lease",Table1[[#This Row],[Office UFA (Net) (sf)]]-Table1[[#This Row],[Pre-leased space (Usable FA) (sf)]]-Table1[[#This Row],[Pre-sold (Usable FA) (sf)]]-Table1[[#This Row],[Self-use space (Usable FA) (sf)]],0)</f>
        <v>349166.12355400005</v>
      </c>
      <c r="AD91" s="82">
        <f>IF(Table1[[#This Row],[For Sale or For Lease?]]="For Sale",Table1[[#This Row],[Office UFA (Net) (sf)]]-Table1[[#This Row],[Pre-leased space (Usable FA) (sf)]]-Table1[[#This Row],[Pre-sold (Usable FA) (sf)]]-Table1[[#This Row],[Self-use space (Usable FA) (sf)]],0)</f>
        <v>0</v>
      </c>
      <c r="AE91" s="82">
        <f>IF(Table1[[#This Row],[For Sale or For Lease?]]="Uncertain",Table1[[#This Row],[Office UFA (Net) (sf)]]-Table1[[#This Row],[Pre-leased space (Usable FA) (sf)]]-Table1[[#This Row],[Pre-sold (Usable FA) (sf)]]-Table1[[#This Row],[Self-use space (Usable FA) (sf)]],0)</f>
        <v>0</v>
      </c>
      <c r="AF91" s="86">
        <f>1-SUM(Table1[[#This Row],[Space available for lease (Usable FA) (sf)]:[Space available uncertain of use (Usable FA) (sf)]])/Table1[[#This Row],[Office UFA (Net) (sf)]]</f>
        <v>0.36144003107155342</v>
      </c>
      <c r="AG91" s="79" t="s">
        <v>89</v>
      </c>
      <c r="AH91" s="84" t="s">
        <v>103</v>
      </c>
      <c r="AI91" s="79" t="s">
        <v>92</v>
      </c>
      <c r="AJ91" s="83">
        <v>43209</v>
      </c>
      <c r="AK91" s="83">
        <v>43209</v>
      </c>
      <c r="AL91" s="85" t="s">
        <v>29</v>
      </c>
      <c r="AM91" s="85" t="s">
        <v>777</v>
      </c>
      <c r="AN91" s="79" t="s">
        <v>73</v>
      </c>
      <c r="AO91" s="77" t="s">
        <v>705</v>
      </c>
      <c r="AP91" s="77" t="s">
        <v>81</v>
      </c>
      <c r="AQ91" s="77" t="s">
        <v>1375</v>
      </c>
      <c r="AR91" s="79" t="s">
        <v>2364</v>
      </c>
      <c r="AS91" s="79"/>
      <c r="AT91" s="80"/>
      <c r="AU91" s="80"/>
      <c r="AV91" s="77"/>
    </row>
    <row r="92" spans="1:48" ht="15" hidden="1" customHeight="1" x14ac:dyDescent="0.35">
      <c r="A92" s="77"/>
      <c r="B92" s="77" t="s">
        <v>1395</v>
      </c>
      <c r="C92" s="77" t="s">
        <v>1394</v>
      </c>
      <c r="D92" s="77"/>
      <c r="E92" s="79" t="s">
        <v>15</v>
      </c>
      <c r="F92" s="77" t="str">
        <f>VLOOKUP(Table1[[#This Row],[CBRE sub-markets]],Reference!$A$2:$B$31,2,FALSE)</f>
        <v>New Territories</v>
      </c>
      <c r="G92" s="77">
        <f>VLOOKUP(Table1[[#This Row],[CBRE sub-markets]],Reference!$A$2:$D$31,3,FALSE)</f>
        <v>9</v>
      </c>
      <c r="H92" s="79" t="str">
        <f>VLOOKUP(Table1[[#This Row],[CBRE sub-markets]],Reference!$A$2:$D$31,4,FALSE)</f>
        <v>New Territories</v>
      </c>
      <c r="I92" s="80">
        <v>2018</v>
      </c>
      <c r="J92" s="80">
        <v>2</v>
      </c>
      <c r="K92" s="81" t="str">
        <f>IF(ISNUMBER(Table1[[#This Row],[Qtr]]),CONCATENATE(Table1[[#This Row],[Year]]," Q",Table1[[#This Row],[Qtr]]),CONCATENATE(Table1[[#This Row],[Year]],Table1[[#This Row],[Qtr]]))</f>
        <v>2018 Q2</v>
      </c>
      <c r="L92" s="80" t="s">
        <v>748</v>
      </c>
      <c r="M92" s="80" t="s">
        <v>84</v>
      </c>
      <c r="N92" s="80">
        <v>1</v>
      </c>
      <c r="O92" s="80">
        <v>6</v>
      </c>
      <c r="P92" s="80">
        <v>3</v>
      </c>
      <c r="Q92" s="82">
        <f>Table1[[#This Row],[Floor Plate (NFA) (sf)]]/0.75</f>
        <v>17333.333333333332</v>
      </c>
      <c r="R92" s="82">
        <v>13000</v>
      </c>
      <c r="S92" s="80" t="str">
        <f t="shared" si="5"/>
        <v>No</v>
      </c>
      <c r="T92" s="82"/>
      <c r="U92" s="82"/>
      <c r="V92" s="82">
        <f>Table1[[#This Row],[Office GFA (sf)]]/10.7639</f>
        <v>4830.9627551352205</v>
      </c>
      <c r="W92" s="82">
        <f>Table1[[#This Row],[Floor Plate (GFA) (sf)]]*3</f>
        <v>52000</v>
      </c>
      <c r="X92" s="82">
        <f>Y92/10.764</f>
        <v>3623.1884057971015</v>
      </c>
      <c r="Y92" s="82">
        <f>W92*0.75</f>
        <v>39000</v>
      </c>
      <c r="Z92" s="82"/>
      <c r="AA92" s="82"/>
      <c r="AB92" s="82"/>
      <c r="AC92" s="82">
        <f>IF(Table1[[#This Row],[For Sale or For Lease?]]="For Lease",Table1[[#This Row],[Office UFA (Net) (sf)]]-Table1[[#This Row],[Pre-leased space (Usable FA) (sf)]]-Table1[[#This Row],[Pre-sold (Usable FA) (sf)]]-Table1[[#This Row],[Self-use space (Usable FA) (sf)]],0)</f>
        <v>39000</v>
      </c>
      <c r="AD92" s="82">
        <f>IF(Table1[[#This Row],[For Sale or For Lease?]]="For Sale",Table1[[#This Row],[Office UFA (Net) (sf)]]-Table1[[#This Row],[Pre-leased space (Usable FA) (sf)]]-Table1[[#This Row],[Pre-sold (Usable FA) (sf)]]-Table1[[#This Row],[Self-use space (Usable FA) (sf)]],0)</f>
        <v>0</v>
      </c>
      <c r="AE92" s="82">
        <f>IF(Table1[[#This Row],[For Sale or For Lease?]]="Uncertain",Table1[[#This Row],[Office UFA (Net) (sf)]]-Table1[[#This Row],[Pre-leased space (Usable FA) (sf)]]-Table1[[#This Row],[Pre-sold (Usable FA) (sf)]]-Table1[[#This Row],[Self-use space (Usable FA) (sf)]],0)</f>
        <v>0</v>
      </c>
      <c r="AF92" s="86">
        <f>1-SUM(Table1[[#This Row],[Space available for lease (Usable FA) (sf)]:[Space available uncertain of use (Usable FA) (sf)]])/Table1[[#This Row],[Office UFA (Net) (sf)]]</f>
        <v>0</v>
      </c>
      <c r="AG92" s="79" t="s">
        <v>89</v>
      </c>
      <c r="AH92" s="84"/>
      <c r="AI92" s="79" t="s">
        <v>859</v>
      </c>
      <c r="AJ92" s="83">
        <v>42843</v>
      </c>
      <c r="AK92" s="83">
        <v>42843</v>
      </c>
      <c r="AL92" s="85" t="s">
        <v>748</v>
      </c>
      <c r="AM92" s="85" t="s">
        <v>1396</v>
      </c>
      <c r="AN92" s="79" t="s">
        <v>73</v>
      </c>
      <c r="AO92" s="77" t="s">
        <v>705</v>
      </c>
      <c r="AP92" s="77" t="s">
        <v>81</v>
      </c>
      <c r="AQ92" s="77" t="s">
        <v>1397</v>
      </c>
      <c r="AR92" s="79" t="s">
        <v>1727</v>
      </c>
      <c r="AS92" s="79"/>
      <c r="AT92" s="80"/>
      <c r="AU92" s="80"/>
      <c r="AV92" s="77" t="s">
        <v>2217</v>
      </c>
    </row>
    <row r="93" spans="1:48" ht="15" hidden="1" customHeight="1" x14ac:dyDescent="0.35">
      <c r="A93" s="77"/>
      <c r="B93" s="77" t="s">
        <v>1553</v>
      </c>
      <c r="C93" s="77" t="s">
        <v>1554</v>
      </c>
      <c r="D93" s="77"/>
      <c r="E93" s="79" t="s">
        <v>1</v>
      </c>
      <c r="F93" s="77" t="str">
        <f>VLOOKUP(Table1[[#This Row],[CBRE sub-markets]],Reference!$A$2:$B$31,2,FALSE)</f>
        <v>Central</v>
      </c>
      <c r="G93" s="77">
        <f>VLOOKUP(Table1[[#This Row],[CBRE sub-markets]],Reference!$A$2:$D$31,3,FALSE)</f>
        <v>1</v>
      </c>
      <c r="H93" s="79" t="str">
        <f>VLOOKUP(Table1[[#This Row],[CBRE sub-markets]],Reference!$A$2:$D$31,4,FALSE)</f>
        <v>Hong Kong Island</v>
      </c>
      <c r="I93" s="80">
        <v>2018</v>
      </c>
      <c r="J93" s="80">
        <v>3</v>
      </c>
      <c r="K93" s="81" t="str">
        <f>IF(ISNUMBER(Table1[[#This Row],[Qtr]]),CONCATENATE(Table1[[#This Row],[Year]]," Q",Table1[[#This Row],[Qtr]]),CONCATENATE(Table1[[#This Row],[Year]],Table1[[#This Row],[Qtr]]))</f>
        <v>2018 Q3</v>
      </c>
      <c r="L93" s="80" t="s">
        <v>21</v>
      </c>
      <c r="M93" s="80" t="s">
        <v>84</v>
      </c>
      <c r="N93" s="80" t="s">
        <v>334</v>
      </c>
      <c r="O93" s="80" t="s">
        <v>1555</v>
      </c>
      <c r="P93" s="80"/>
      <c r="Q93" s="82"/>
      <c r="R93" s="82"/>
      <c r="S93" s="80" t="str">
        <f t="shared" si="5"/>
        <v>Unknown</v>
      </c>
      <c r="T93" s="82"/>
      <c r="U93" s="82"/>
      <c r="V93" s="82">
        <v>12634.9</v>
      </c>
      <c r="W93" s="82">
        <f>+Table1[[#This Row],[Office GFA (sm)]]*10.7639</f>
        <v>136000.80010999998</v>
      </c>
      <c r="X93" s="82">
        <v>7883</v>
      </c>
      <c r="Y93" s="82">
        <f>W93*0.75</f>
        <v>102000.60008249999</v>
      </c>
      <c r="Z93" s="82"/>
      <c r="AA93" s="82"/>
      <c r="AB93" s="82"/>
      <c r="AC93" s="82">
        <f>IF(AO93="For Lease",Y93-Z93-AA93-AB93,0)</f>
        <v>102000.60008249999</v>
      </c>
      <c r="AD93" s="82">
        <f>IF(Table1[[#This Row],[For Sale or For Lease?]]="For Sale",Table1[[#This Row],[Office UFA (Net) (sf)]]-Table1[[#This Row],[Pre-leased space (Usable FA) (sf)]]-Table1[[#This Row],[Pre-sold (Usable FA) (sf)]]-Table1[[#This Row],[Self-use space (Usable FA) (sf)]],0)</f>
        <v>0</v>
      </c>
      <c r="AE93" s="82">
        <f>IF(Table1[[#This Row],[For Sale or For Lease?]]="Uncertain",Table1[[#This Row],[Office UFA (Net) (sf)]]-Table1[[#This Row],[Pre-leased space (Usable FA) (sf)]]-Table1[[#This Row],[Pre-sold (Usable FA) (sf)]]-Table1[[#This Row],[Self-use space (Usable FA) (sf)]],0)</f>
        <v>0</v>
      </c>
      <c r="AF93" s="86">
        <f>1-SUM(Table1[[#This Row],[Space available for lease (Usable FA) (sf)]:[Space available uncertain of use (Usable FA) (sf)]])/Table1[[#This Row],[Office UFA (Net) (sf)]]</f>
        <v>0</v>
      </c>
      <c r="AG93" s="79" t="s">
        <v>89</v>
      </c>
      <c r="AH93" s="84" t="s">
        <v>103</v>
      </c>
      <c r="AI93" s="79" t="s">
        <v>1550</v>
      </c>
      <c r="AJ93" s="83">
        <v>43313</v>
      </c>
      <c r="AK93" s="83">
        <v>43398</v>
      </c>
      <c r="AL93" s="85" t="s">
        <v>30</v>
      </c>
      <c r="AM93" s="85" t="s">
        <v>129</v>
      </c>
      <c r="AN93" s="79" t="s">
        <v>73</v>
      </c>
      <c r="AO93" s="77" t="s">
        <v>705</v>
      </c>
      <c r="AP93" s="77" t="s">
        <v>81</v>
      </c>
      <c r="AQ93" s="77"/>
      <c r="AR93" s="79" t="s">
        <v>2398</v>
      </c>
      <c r="AS93" s="79"/>
      <c r="AT93" s="80"/>
      <c r="AU93" s="80"/>
      <c r="AV93" s="77" t="s">
        <v>2215</v>
      </c>
    </row>
    <row r="94" spans="1:48" ht="15" hidden="1" customHeight="1" x14ac:dyDescent="0.35">
      <c r="A94" s="77"/>
      <c r="B94" s="77" t="s">
        <v>1338</v>
      </c>
      <c r="C94" s="77" t="s">
        <v>1190</v>
      </c>
      <c r="D94" s="77"/>
      <c r="E94" s="79" t="s">
        <v>360</v>
      </c>
      <c r="F94" s="77" t="str">
        <f>VLOOKUP(Table1[[#This Row],[CBRE sub-markets]],Reference!$A$2:$B$31,2,FALSE)</f>
        <v>Hong Kong East</v>
      </c>
      <c r="G94" s="77">
        <f>VLOOKUP(Table1[[#This Row],[CBRE sub-markets]],Reference!$A$2:$D$31,3,FALSE)</f>
        <v>4</v>
      </c>
      <c r="H94" s="79" t="str">
        <f>VLOOKUP(Table1[[#This Row],[CBRE sub-markets]],Reference!$A$2:$D$31,4,FALSE)</f>
        <v>Hong Kong Island</v>
      </c>
      <c r="I94" s="80">
        <v>2018</v>
      </c>
      <c r="J94" s="80">
        <v>3</v>
      </c>
      <c r="K94" s="81" t="str">
        <f>IF(ISNUMBER(Table1[[#This Row],[Qtr]]),CONCATENATE(Table1[[#This Row],[Year]]," Q",Table1[[#This Row],[Qtr]]),CONCATENATE(Table1[[#This Row],[Year]],Table1[[#This Row],[Qtr]]))</f>
        <v>2018 Q3</v>
      </c>
      <c r="L94" s="80" t="s">
        <v>20</v>
      </c>
      <c r="M94" s="80" t="s">
        <v>84</v>
      </c>
      <c r="N94" s="80">
        <v>1</v>
      </c>
      <c r="O94" s="80" t="s">
        <v>1339</v>
      </c>
      <c r="P94" s="80">
        <v>41</v>
      </c>
      <c r="Q94" s="82">
        <v>23870</v>
      </c>
      <c r="R94" s="82">
        <f>Q94*(Y94/W94)</f>
        <v>22199.100000000002</v>
      </c>
      <c r="S94" s="80" t="str">
        <f t="shared" si="5"/>
        <v>Yes</v>
      </c>
      <c r="T94" s="82"/>
      <c r="U94" s="82"/>
      <c r="V94" s="82">
        <f>+Table1[[#This Row],[Office GFA (sf)]]/10.7639</f>
        <v>79128.847350867247</v>
      </c>
      <c r="W94" s="82">
        <v>851735</v>
      </c>
      <c r="X94" s="82">
        <f>Y94/10.764</f>
        <v>73589.144370122638</v>
      </c>
      <c r="Y94" s="82">
        <f>W94*0.93</f>
        <v>792113.55</v>
      </c>
      <c r="Z94" s="82">
        <f>755574*0.93</f>
        <v>702683.82000000007</v>
      </c>
      <c r="AA94" s="82"/>
      <c r="AB94" s="82">
        <f>20248*0.93</f>
        <v>18830.64</v>
      </c>
      <c r="AC94" s="82">
        <f>IF(Table1[[#This Row],[For Sale or For Lease?]]="For Lease",Table1[[#This Row],[Office UFA (Net) (sf)]]-Table1[[#This Row],[Pre-leased space (Usable FA) (sf)]]-Table1[[#This Row],[Pre-sold (Usable FA) (sf)]]-Table1[[#This Row],[Self-use space (Usable FA) (sf)]],0)</f>
        <v>70599.089999999982</v>
      </c>
      <c r="AD94" s="82">
        <f>IF(Table1[[#This Row],[For Sale or For Lease?]]="For Sale",Table1[[#This Row],[Office UFA (Net) (sf)]]-Table1[[#This Row],[Pre-leased space (Usable FA) (sf)]]-Table1[[#This Row],[Pre-sold (Usable FA) (sf)]]-Table1[[#This Row],[Self-use space (Usable FA) (sf)]],0)</f>
        <v>0</v>
      </c>
      <c r="AE94" s="82">
        <f>IF(Table1[[#This Row],[For Sale or For Lease?]]="Uncertain",Table1[[#This Row],[Office UFA (Net) (sf)]]-Table1[[#This Row],[Pre-leased space (Usable FA) (sf)]]-Table1[[#This Row],[Pre-sold (Usable FA) (sf)]]-Table1[[#This Row],[Self-use space (Usable FA) (sf)]],0)</f>
        <v>0</v>
      </c>
      <c r="AF94" s="86">
        <f>1-SUM(Table1[[#This Row],[Space available for lease (Usable FA) (sf)]:[Space available uncertain of use (Usable FA) (sf)]])/Table1[[#This Row],[Office UFA (Net) (sf)]]</f>
        <v>0.91087251316430584</v>
      </c>
      <c r="AG94" s="79" t="s">
        <v>89</v>
      </c>
      <c r="AH94" s="84" t="s">
        <v>90</v>
      </c>
      <c r="AI94" s="79" t="s">
        <v>1134</v>
      </c>
      <c r="AJ94" s="83">
        <v>42461</v>
      </c>
      <c r="AK94" s="83">
        <v>43371</v>
      </c>
      <c r="AL94" s="85" t="s">
        <v>30</v>
      </c>
      <c r="AM94" s="85" t="s">
        <v>99</v>
      </c>
      <c r="AN94" s="79" t="s">
        <v>73</v>
      </c>
      <c r="AO94" s="77" t="s">
        <v>705</v>
      </c>
      <c r="AP94" s="77" t="s">
        <v>81</v>
      </c>
      <c r="AQ94" s="77" t="s">
        <v>1346</v>
      </c>
      <c r="AR94" s="79" t="s">
        <v>2430</v>
      </c>
      <c r="AS94" s="79"/>
      <c r="AT94" s="80"/>
      <c r="AU94" s="80"/>
      <c r="AV94" s="77"/>
    </row>
    <row r="95" spans="1:48" ht="15" hidden="1" customHeight="1" x14ac:dyDescent="0.35">
      <c r="A95" s="77"/>
      <c r="B95" s="77" t="s">
        <v>1437</v>
      </c>
      <c r="C95" s="77" t="s">
        <v>626</v>
      </c>
      <c r="D95" s="77" t="s">
        <v>1135</v>
      </c>
      <c r="E95" s="79" t="s">
        <v>130</v>
      </c>
      <c r="F95" s="77" t="str">
        <f>VLOOKUP(Table1[[#This Row],[CBRE sub-markets]],Reference!$A$2:$B$31,2,FALSE)</f>
        <v>Wong Chuk Hang</v>
      </c>
      <c r="G95" s="77">
        <f>VLOOKUP(Table1[[#This Row],[CBRE sub-markets]],Reference!$A$2:$D$31,3,FALSE)</f>
        <v>5</v>
      </c>
      <c r="H95" s="79" t="str">
        <f>VLOOKUP(Table1[[#This Row],[CBRE sub-markets]],Reference!$A$2:$D$31,4,FALSE)</f>
        <v>Hong Kong Island</v>
      </c>
      <c r="I95" s="80">
        <v>2018</v>
      </c>
      <c r="J95" s="80">
        <v>3</v>
      </c>
      <c r="K95" s="81" t="str">
        <f>IF(ISNUMBER(Table1[[#This Row],[Qtr]]),CONCATENATE(Table1[[#This Row],[Year]]," Q",Table1[[#This Row],[Qtr]]),CONCATENATE(Table1[[#This Row],[Year]],Table1[[#This Row],[Qtr]]))</f>
        <v>2018 Q3</v>
      </c>
      <c r="L95" s="80" t="s">
        <v>20</v>
      </c>
      <c r="M95" s="80" t="s">
        <v>84</v>
      </c>
      <c r="N95" s="80">
        <v>1</v>
      </c>
      <c r="O95" s="80" t="s">
        <v>828</v>
      </c>
      <c r="P95" s="80">
        <v>23</v>
      </c>
      <c r="Q95" s="82">
        <f>W95/23</f>
        <v>16617.82608695652</v>
      </c>
      <c r="R95" s="82">
        <f>Table1[[#This Row],[Office UFA (Net) (sf)]]/23</f>
        <v>13792.795652173912</v>
      </c>
      <c r="S95" s="80" t="str">
        <f t="shared" si="5"/>
        <v>No</v>
      </c>
      <c r="T95" s="82">
        <v>35535</v>
      </c>
      <c r="U95" s="82">
        <f>+Table1[[#This Row],[Total GFA (sm)]]*10.7639</f>
        <v>382495.18650000001</v>
      </c>
      <c r="V95" s="82">
        <f>Table1[[#This Row],[Office GFA (sf)]]/10.7639</f>
        <v>35508.505281542937</v>
      </c>
      <c r="W95" s="82">
        <v>382210</v>
      </c>
      <c r="X95" s="82">
        <f>Y95/10.7639</f>
        <v>29472.059383680637</v>
      </c>
      <c r="Y95" s="82">
        <f>+Table1[[#This Row],[Office GFA (sf)]]*0.83</f>
        <v>317234.3</v>
      </c>
      <c r="Z95" s="82">
        <f>(43932+43932+43932)*0.808</f>
        <v>106491.16800000001</v>
      </c>
      <c r="AA95" s="82"/>
      <c r="AB95" s="82"/>
      <c r="AC95" s="82">
        <f>IF(Table1[[#This Row],[For Sale or For Lease?]]="For Lease",Table1[[#This Row],[Office UFA (Net) (sf)]]-Table1[[#This Row],[Pre-leased space (Usable FA) (sf)]]-Table1[[#This Row],[Pre-sold (Usable FA) (sf)]]-Table1[[#This Row],[Self-use space (Usable FA) (sf)]],0)</f>
        <v>210743.13199999998</v>
      </c>
      <c r="AD95" s="82">
        <f>IF(Table1[[#This Row],[For Sale or For Lease?]]="For Sale",Table1[[#This Row],[Office UFA (Net) (sf)]]-Table1[[#This Row],[Pre-leased space (Usable FA) (sf)]]-Table1[[#This Row],[Pre-sold (Usable FA) (sf)]]-Table1[[#This Row],[Self-use space (Usable FA) (sf)]],0)</f>
        <v>0</v>
      </c>
      <c r="AE95" s="82">
        <f>IF(Table1[[#This Row],[For Sale or For Lease?]]="Uncertain",Table1[[#This Row],[Office UFA (Net) (sf)]]-Table1[[#This Row],[Pre-leased space (Usable FA) (sf)]]-Table1[[#This Row],[Pre-sold (Usable FA) (sf)]]-Table1[[#This Row],[Self-use space (Usable FA) (sf)]],0)</f>
        <v>0</v>
      </c>
      <c r="AF95" s="86">
        <f>1-SUM(Table1[[#This Row],[Space available for lease (Usable FA) (sf)]:[Space available uncertain of use (Usable FA) (sf)]])/Table1[[#This Row],[Office UFA (Net) (sf)]]</f>
        <v>0.33568617264904843</v>
      </c>
      <c r="AG95" s="79" t="s">
        <v>89</v>
      </c>
      <c r="AH95" s="84" t="s">
        <v>90</v>
      </c>
      <c r="AI95" s="79" t="s">
        <v>1136</v>
      </c>
      <c r="AJ95" s="83">
        <v>43377</v>
      </c>
      <c r="AK95" s="83">
        <v>43377</v>
      </c>
      <c r="AL95" s="85" t="s">
        <v>30</v>
      </c>
      <c r="AM95" s="85" t="s">
        <v>827</v>
      </c>
      <c r="AN95" s="79" t="s">
        <v>73</v>
      </c>
      <c r="AO95" s="77" t="s">
        <v>705</v>
      </c>
      <c r="AP95" s="77" t="s">
        <v>81</v>
      </c>
      <c r="AQ95" s="77" t="s">
        <v>1542</v>
      </c>
      <c r="AR95" s="79" t="s">
        <v>2363</v>
      </c>
      <c r="AS95" s="79"/>
      <c r="AT95" s="80"/>
      <c r="AU95" s="80"/>
      <c r="AV95" s="77"/>
    </row>
    <row r="96" spans="1:48" ht="15" hidden="1" customHeight="1" x14ac:dyDescent="0.35">
      <c r="A96" s="77"/>
      <c r="B96" s="77" t="s">
        <v>1222</v>
      </c>
      <c r="C96" s="77" t="s">
        <v>206</v>
      </c>
      <c r="D96" s="77"/>
      <c r="E96" s="79" t="s">
        <v>50</v>
      </c>
      <c r="F96" s="77" t="str">
        <f>VLOOKUP(Table1[[#This Row],[CBRE sub-markets]],Reference!$A$2:$B$31,2,FALSE)</f>
        <v>Kowloon East</v>
      </c>
      <c r="G96" s="77">
        <f>VLOOKUP(Table1[[#This Row],[CBRE sub-markets]],Reference!$A$2:$D$31,3,FALSE)</f>
        <v>7</v>
      </c>
      <c r="H96" s="79" t="str">
        <f>VLOOKUP(Table1[[#This Row],[CBRE sub-markets]],Reference!$A$2:$D$31,4,FALSE)</f>
        <v>Kowloon</v>
      </c>
      <c r="I96" s="80">
        <v>2018</v>
      </c>
      <c r="J96" s="80"/>
      <c r="K96" s="81" t="str">
        <f>IF(ISNUMBER(Table1[[#This Row],[Qtr]]),CONCATENATE(Table1[[#This Row],[Year]]," Q",Table1[[#This Row],[Qtr]]),CONCATENATE(Table1[[#This Row],[Year]],Table1[[#This Row],[Qtr]]))</f>
        <v>2018</v>
      </c>
      <c r="L96" s="80" t="s">
        <v>21</v>
      </c>
      <c r="M96" s="80" t="s">
        <v>86</v>
      </c>
      <c r="N96" s="80">
        <v>1</v>
      </c>
      <c r="O96" s="80">
        <v>14</v>
      </c>
      <c r="P96" s="80"/>
      <c r="Q96" s="82">
        <f>Table1[[#This Row],[Office GFA (sf)]]/Table1[[#This Row],[No. of Storeys]]</f>
        <v>7200.2702571428572</v>
      </c>
      <c r="R96" s="82">
        <f>Table1[[#This Row],[Office UFA (Net) (sf)]]/Table1[[#This Row],[No. of Storeys]]</f>
        <v>5400.2026928571431</v>
      </c>
      <c r="S96" s="80" t="str">
        <f t="shared" si="5"/>
        <v>No</v>
      </c>
      <c r="T96" s="82"/>
      <c r="U96" s="82"/>
      <c r="V96" s="82">
        <v>9364.9</v>
      </c>
      <c r="W96" s="82">
        <f>Table1[[#This Row],[Office GFA (sm)]]*10.764</f>
        <v>100803.7836</v>
      </c>
      <c r="X96" s="82">
        <f>Table1[[#This Row],[Office GFA (sm)]]*0.75</f>
        <v>7023.6749999999993</v>
      </c>
      <c r="Y96" s="82">
        <f>W96*0.75</f>
        <v>75602.837700000004</v>
      </c>
      <c r="Z96" s="82"/>
      <c r="AA96" s="82"/>
      <c r="AB96" s="82"/>
      <c r="AC96" s="82">
        <f>IF(AO96="For Lease",Y96-Z96-AA96-AB96,0)</f>
        <v>75602.837700000004</v>
      </c>
      <c r="AD96" s="82">
        <f>IF(Table1[[#This Row],[For Sale or For Lease?]]="For Sale",Table1[[#This Row],[Office UFA (Net) (sf)]]-Table1[[#This Row],[Pre-leased space (Usable FA) (sf)]]-Table1[[#This Row],[Pre-sold (Usable FA) (sf)]]-Table1[[#This Row],[Self-use space (Usable FA) (sf)]],0)</f>
        <v>0</v>
      </c>
      <c r="AE96" s="82">
        <f>IF(Table1[[#This Row],[For Sale or For Lease?]]="Uncertain",Table1[[#This Row],[Office UFA (Net) (sf)]]-Table1[[#This Row],[Pre-leased space (Usable FA) (sf)]]-Table1[[#This Row],[Pre-sold (Usable FA) (sf)]]-Table1[[#This Row],[Self-use space (Usable FA) (sf)]],0)</f>
        <v>0</v>
      </c>
      <c r="AF96" s="86">
        <f>1-SUM(Table1[[#This Row],[Space available for lease (Usable FA) (sf)]:[Space available uncertain of use (Usable FA) (sf)]])/Table1[[#This Row],[Office UFA (Net) (sf)]]</f>
        <v>0</v>
      </c>
      <c r="AG96" s="79" t="s">
        <v>89</v>
      </c>
      <c r="AH96" s="84" t="s">
        <v>138</v>
      </c>
      <c r="AI96" s="79" t="s">
        <v>92</v>
      </c>
      <c r="AJ96" s="83">
        <v>42010</v>
      </c>
      <c r="AK96" s="83">
        <v>42300</v>
      </c>
      <c r="AL96" s="85" t="s">
        <v>30</v>
      </c>
      <c r="AM96" s="85" t="s">
        <v>1225</v>
      </c>
      <c r="AN96" s="79" t="s">
        <v>73</v>
      </c>
      <c r="AO96" s="77" t="s">
        <v>705</v>
      </c>
      <c r="AP96" s="77" t="s">
        <v>81</v>
      </c>
      <c r="AQ96" s="77" t="s">
        <v>1226</v>
      </c>
      <c r="AR96" s="79" t="s">
        <v>1726</v>
      </c>
      <c r="AS96" s="79"/>
      <c r="AT96" s="80"/>
      <c r="AU96" s="80"/>
      <c r="AV96" s="77"/>
    </row>
    <row r="97" spans="1:48" ht="15" hidden="1" customHeight="1" x14ac:dyDescent="0.35">
      <c r="A97" s="77"/>
      <c r="B97" s="77" t="s">
        <v>1429</v>
      </c>
      <c r="C97" s="77" t="s">
        <v>1227</v>
      </c>
      <c r="D97" s="77"/>
      <c r="E97" s="79" t="s">
        <v>4</v>
      </c>
      <c r="F97" s="77" t="str">
        <f>VLOOKUP(Table1[[#This Row],[CBRE sub-markets]],Reference!$A$2:$B$31,2,FALSE)</f>
        <v>Wan Chai &amp; Causeway Bay</v>
      </c>
      <c r="G97" s="77">
        <f>VLOOKUP(Table1[[#This Row],[CBRE sub-markets]],Reference!$A$2:$D$31,3,FALSE)</f>
        <v>3</v>
      </c>
      <c r="H97" s="79" t="str">
        <f>VLOOKUP(Table1[[#This Row],[CBRE sub-markets]],Reference!$A$2:$D$31,4,FALSE)</f>
        <v>Hong Kong Island</v>
      </c>
      <c r="I97" s="80">
        <v>2019</v>
      </c>
      <c r="J97" s="80">
        <v>1</v>
      </c>
      <c r="K97" s="81" t="str">
        <f>IF(ISNUMBER(Table1[[#This Row],[Qtr]]),CONCATENATE(Table1[[#This Row],[Year]]," Q",Table1[[#This Row],[Qtr]]),CONCATENATE(Table1[[#This Row],[Year]],Table1[[#This Row],[Qtr]]))</f>
        <v>2019 Q1</v>
      </c>
      <c r="L97" s="80" t="s">
        <v>20</v>
      </c>
      <c r="M97" s="80" t="s">
        <v>84</v>
      </c>
      <c r="N97" s="80">
        <v>1</v>
      </c>
      <c r="O97" s="80" t="s">
        <v>337</v>
      </c>
      <c r="P97" s="80">
        <v>21</v>
      </c>
      <c r="Q97" s="82">
        <v>12794</v>
      </c>
      <c r="R97" s="82">
        <f>Q97*0.75</f>
        <v>9595.5</v>
      </c>
      <c r="S97" s="80" t="str">
        <f t="shared" si="5"/>
        <v>No</v>
      </c>
      <c r="T97" s="82">
        <v>29264.1</v>
      </c>
      <c r="U97" s="82">
        <f>+Table1[[#This Row],[Total GFA (sm)]]*10.7639</f>
        <v>314995.84598999994</v>
      </c>
      <c r="V97" s="82">
        <f>Table1[[#This Row],[Office GFA (sf)]]/10.7639</f>
        <v>23016.007209282881</v>
      </c>
      <c r="W97" s="82">
        <f>12794*9+12268*5+11876*6</f>
        <v>247742</v>
      </c>
      <c r="X97" s="82">
        <f>Y97/10.764</f>
        <v>17261.845039018954</v>
      </c>
      <c r="Y97" s="82">
        <f>W97*0.75</f>
        <v>185806.5</v>
      </c>
      <c r="Z97" s="82">
        <f>+(88321+25588+102352)*0.75</f>
        <v>162195.75</v>
      </c>
      <c r="AA97" s="82"/>
      <c r="AB97" s="82"/>
      <c r="AC97" s="82">
        <f>IF(Table1[[#This Row],[For Sale or For Lease?]]="For Lease",Table1[[#This Row],[Office UFA (Net) (sf)]]-Table1[[#This Row],[Pre-leased space (Usable FA) (sf)]]-Table1[[#This Row],[Pre-sold (Usable FA) (sf)]]-Table1[[#This Row],[Self-use space (Usable FA) (sf)]],0)</f>
        <v>23610.75</v>
      </c>
      <c r="AD97" s="82">
        <f>IF(Table1[[#This Row],[For Sale or For Lease?]]="For Sale",Table1[[#This Row],[Office UFA (Net) (sf)]]-Table1[[#This Row],[Pre-leased space (Usable FA) (sf)]]-Table1[[#This Row],[Pre-sold (Usable FA) (sf)]]-Table1[[#This Row],[Self-use space (Usable FA) (sf)]],0)</f>
        <v>0</v>
      </c>
      <c r="AE97" s="82">
        <f>IF(Table1[[#This Row],[For Sale or For Lease?]]="Uncertain",Table1[[#This Row],[Office UFA (Net) (sf)]]-Table1[[#This Row],[Pre-leased space (Usable FA) (sf)]]-Table1[[#This Row],[Pre-sold (Usable FA) (sf)]]-Table1[[#This Row],[Self-use space (Usable FA) (sf)]],0)</f>
        <v>0</v>
      </c>
      <c r="AF97" s="86">
        <f>1-SUM(Table1[[#This Row],[Space available for lease (Usable FA) (sf)]:[Space available uncertain of use (Usable FA) (sf)]])/Table1[[#This Row],[Office UFA (Net) (sf)]]</f>
        <v>0.87292828829992497</v>
      </c>
      <c r="AG97" s="79" t="s">
        <v>89</v>
      </c>
      <c r="AH97" s="84" t="s">
        <v>103</v>
      </c>
      <c r="AI97" s="79" t="s">
        <v>92</v>
      </c>
      <c r="AJ97" s="83">
        <v>43497</v>
      </c>
      <c r="AK97" s="83">
        <v>43556</v>
      </c>
      <c r="AL97" s="85" t="s">
        <v>30</v>
      </c>
      <c r="AM97" s="85" t="s">
        <v>338</v>
      </c>
      <c r="AN97" s="79" t="s">
        <v>73</v>
      </c>
      <c r="AO97" s="77" t="s">
        <v>705</v>
      </c>
      <c r="AP97" s="77" t="s">
        <v>81</v>
      </c>
      <c r="AQ97" s="77" t="s">
        <v>1241</v>
      </c>
      <c r="AR97" s="79" t="s">
        <v>2367</v>
      </c>
      <c r="AS97" s="79"/>
      <c r="AT97" s="80"/>
      <c r="AU97" s="80"/>
      <c r="AV97" s="77"/>
    </row>
    <row r="98" spans="1:48" ht="15" hidden="1" customHeight="1" x14ac:dyDescent="0.35">
      <c r="A98" s="77"/>
      <c r="B98" s="77" t="s">
        <v>1454</v>
      </c>
      <c r="C98" s="77" t="s">
        <v>1191</v>
      </c>
      <c r="D98" s="77"/>
      <c r="E98" s="79" t="s">
        <v>162</v>
      </c>
      <c r="F98" s="77" t="str">
        <f>VLOOKUP(Table1[[#This Row],[CBRE sub-markets]],Reference!$A$2:$B$31,2,FALSE)</f>
        <v>Kowloon East</v>
      </c>
      <c r="G98" s="77">
        <f>VLOOKUP(Table1[[#This Row],[CBRE sub-markets]],Reference!$A$2:$D$31,3,FALSE)</f>
        <v>7</v>
      </c>
      <c r="H98" s="79" t="str">
        <f>VLOOKUP(Table1[[#This Row],[CBRE sub-markets]],Reference!$A$2:$D$31,4,FALSE)</f>
        <v>Kowloon</v>
      </c>
      <c r="I98" s="80">
        <v>2019</v>
      </c>
      <c r="J98" s="80">
        <v>1</v>
      </c>
      <c r="K98" s="81" t="str">
        <f>IF(ISNUMBER(Table1[[#This Row],[Qtr]]),CONCATENATE(Table1[[#This Row],[Year]]," Q",Table1[[#This Row],[Qtr]]),CONCATENATE(Table1[[#This Row],[Year]],Table1[[#This Row],[Qtr]]))</f>
        <v>2019 Q1</v>
      </c>
      <c r="L98" s="80" t="s">
        <v>20</v>
      </c>
      <c r="M98" s="80" t="s">
        <v>84</v>
      </c>
      <c r="N98" s="80">
        <v>1</v>
      </c>
      <c r="O98" s="80" t="s">
        <v>1057</v>
      </c>
      <c r="P98" s="80">
        <v>19</v>
      </c>
      <c r="Q98" s="82">
        <f>Table1[[#This Row],[Office GFA (sf)]]/22</f>
        <v>27204.545454545456</v>
      </c>
      <c r="R98" s="82">
        <f>Table1[[#This Row],[Office UFA (Net) (sf)]]/22</f>
        <v>21219.545454545456</v>
      </c>
      <c r="S98" s="80" t="str">
        <f t="shared" ref="S98:S129" si="6">IF(AND(ISNUMBER(R98),R98&gt;=15000),"Yes",IF(R98="","Unknown","No"))</f>
        <v>Yes</v>
      </c>
      <c r="T98" s="82">
        <v>55382.1</v>
      </c>
      <c r="U98" s="82">
        <f>+Table1[[#This Row],[Total GFA (sm)]]*10.7639</f>
        <v>596127.38618999999</v>
      </c>
      <c r="V98" s="82">
        <f>Table1[[#This Row],[Office GFA (sf)]]/10.7639</f>
        <v>55602.523249008264</v>
      </c>
      <c r="W98" s="82">
        <v>598500</v>
      </c>
      <c r="X98" s="82">
        <f>Table1[[#This Row],[Office GFA (sm)]]*0.78</f>
        <v>43369.968134226445</v>
      </c>
      <c r="Y98" s="82">
        <f>Table1[[#This Row],[Office GFA (sf)]]*0.78</f>
        <v>466830</v>
      </c>
      <c r="Z98" s="82">
        <f>31500*1*0.78</f>
        <v>24570</v>
      </c>
      <c r="AA98" s="82"/>
      <c r="AB98" s="82">
        <f>31500*2*0.78</f>
        <v>49140</v>
      </c>
      <c r="AC98" s="82">
        <f>IF(Table1[[#This Row],[For Sale or For Lease?]]="For Lease",Table1[[#This Row],[Office UFA (Net) (sf)]]-Table1[[#This Row],[Pre-leased space (Usable FA) (sf)]]-Table1[[#This Row],[Pre-sold (Usable FA) (sf)]]-Table1[[#This Row],[Self-use space (Usable FA) (sf)]],0)</f>
        <v>393120</v>
      </c>
      <c r="AD98" s="82">
        <f>IF(Table1[[#This Row],[For Sale or For Lease?]]="For Sale",Table1[[#This Row],[Office UFA (Net) (sf)]]-Table1[[#This Row],[Pre-leased space (Usable FA) (sf)]]-Table1[[#This Row],[Pre-sold (Usable FA) (sf)]]-Table1[[#This Row],[Self-use space (Usable FA) (sf)]],0)</f>
        <v>0</v>
      </c>
      <c r="AE98" s="82">
        <f>IF(Table1[[#This Row],[For Sale or For Lease?]]="Uncertain",Table1[[#This Row],[Office UFA (Net) (sf)]]-Table1[[#This Row],[Pre-leased space (Usable FA) (sf)]]-Table1[[#This Row],[Pre-sold (Usable FA) (sf)]]-Table1[[#This Row],[Self-use space (Usable FA) (sf)]],0)</f>
        <v>0</v>
      </c>
      <c r="AF98" s="86">
        <f>1-SUM(Table1[[#This Row],[Space available for lease (Usable FA) (sf)]:[Space available uncertain of use (Usable FA) (sf)]])/Table1[[#This Row],[Office UFA (Net) (sf)]]</f>
        <v>0.15789473684210531</v>
      </c>
      <c r="AG98" s="79" t="s">
        <v>89</v>
      </c>
      <c r="AH98" s="84" t="s">
        <v>103</v>
      </c>
      <c r="AI98" s="79" t="s">
        <v>92</v>
      </c>
      <c r="AJ98" s="83">
        <v>43497</v>
      </c>
      <c r="AK98" s="83">
        <v>43556</v>
      </c>
      <c r="AL98" s="85" t="s">
        <v>30</v>
      </c>
      <c r="AM98" s="85" t="s">
        <v>205</v>
      </c>
      <c r="AN98" s="79" t="s">
        <v>73</v>
      </c>
      <c r="AO98" s="77" t="s">
        <v>705</v>
      </c>
      <c r="AP98" s="77" t="s">
        <v>81</v>
      </c>
      <c r="AQ98" s="77" t="s">
        <v>1322</v>
      </c>
      <c r="AR98" s="79" t="s">
        <v>2369</v>
      </c>
      <c r="AS98" s="79"/>
      <c r="AT98" s="80"/>
      <c r="AU98" s="80"/>
      <c r="AV98" s="77"/>
    </row>
    <row r="99" spans="1:48" ht="15" hidden="1" customHeight="1" x14ac:dyDescent="0.35">
      <c r="A99" s="77"/>
      <c r="B99" s="77" t="s">
        <v>1452</v>
      </c>
      <c r="C99" s="77" t="s">
        <v>1329</v>
      </c>
      <c r="D99" s="77" t="s">
        <v>1330</v>
      </c>
      <c r="E99" s="79" t="s">
        <v>15</v>
      </c>
      <c r="F99" s="77" t="str">
        <f>VLOOKUP(Table1[[#This Row],[CBRE sub-markets]],Reference!$A$2:$B$31,2,FALSE)</f>
        <v>New Territories</v>
      </c>
      <c r="G99" s="77">
        <f>VLOOKUP(Table1[[#This Row],[CBRE sub-markets]],Reference!$A$2:$D$31,3,FALSE)</f>
        <v>9</v>
      </c>
      <c r="H99" s="79" t="str">
        <f>VLOOKUP(Table1[[#This Row],[CBRE sub-markets]],Reference!$A$2:$D$31,4,FALSE)</f>
        <v>New Territories</v>
      </c>
      <c r="I99" s="80">
        <v>2019</v>
      </c>
      <c r="J99" s="80">
        <v>1</v>
      </c>
      <c r="K99" s="81" t="str">
        <f>IF(ISNUMBER(Table1[[#This Row],[Qtr]]),CONCATENATE(Table1[[#This Row],[Year]]," Q",Table1[[#This Row],[Qtr]]),CONCATENATE(Table1[[#This Row],[Year]],Table1[[#This Row],[Qtr]]))</f>
        <v>2019 Q1</v>
      </c>
      <c r="L99" s="80" t="s">
        <v>21</v>
      </c>
      <c r="M99" s="80" t="s">
        <v>84</v>
      </c>
      <c r="N99" s="80">
        <v>1</v>
      </c>
      <c r="O99" s="80" t="s">
        <v>204</v>
      </c>
      <c r="P99" s="80">
        <v>21</v>
      </c>
      <c r="Q99" s="82">
        <f>Table1[[#This Row],[Office GFA (sf)]]/Table1[[#This Row],[No. of Storeys for Office]]</f>
        <v>5879.139666666666</v>
      </c>
      <c r="R99" s="82">
        <f>Table1[[#This Row],[Office UFA (Net) (sf)]]/Table1[[#This Row],[No. of Storeys for Office]]</f>
        <v>4409.3957142857143</v>
      </c>
      <c r="S99" s="80" t="str">
        <f t="shared" si="6"/>
        <v>No</v>
      </c>
      <c r="T99" s="82">
        <v>11470</v>
      </c>
      <c r="U99" s="82">
        <f>+Table1[[#This Row],[Total GFA (sm)]]*10.7639</f>
        <v>123461.93299999999</v>
      </c>
      <c r="V99" s="82">
        <f>+Table1[[#This Row],[Total GFA (sm)]]</f>
        <v>11470</v>
      </c>
      <c r="W99" s="82">
        <f>Table1[[#This Row],[Office GFA (sm)]]*10.7639</f>
        <v>123461.93299999999</v>
      </c>
      <c r="X99" s="82">
        <f>V99*0.75</f>
        <v>8602.5</v>
      </c>
      <c r="Y99" s="82">
        <f>X99*10.764</f>
        <v>92597.31</v>
      </c>
      <c r="Z99" s="82"/>
      <c r="AA99" s="82"/>
      <c r="AB99" s="82"/>
      <c r="AC99" s="82">
        <f>IF(Table1[[#This Row],[For Sale or For Lease?]]="For Lease",Table1[[#This Row],[Office UFA (Net) (sf)]]-Table1[[#This Row],[Pre-leased space (Usable FA) (sf)]]-Table1[[#This Row],[Pre-sold (Usable FA) (sf)]]-Table1[[#This Row],[Self-use space (Usable FA) (sf)]],0)</f>
        <v>0</v>
      </c>
      <c r="AD99" s="82">
        <f>IF(Table1[[#This Row],[For Sale or For Lease?]]="For Sale",Table1[[#This Row],[Office UFA (Net) (sf)]]-Table1[[#This Row],[Pre-leased space (Usable FA) (sf)]]-Table1[[#This Row],[Pre-sold (Usable FA) (sf)]]-Table1[[#This Row],[Self-use space (Usable FA) (sf)]],0)</f>
        <v>92597.31</v>
      </c>
      <c r="AE99" s="82">
        <f>IF(Table1[[#This Row],[For Sale or For Lease?]]="Uncertain",Table1[[#This Row],[Office UFA (Net) (sf)]]-Table1[[#This Row],[Pre-leased space (Usable FA) (sf)]]-Table1[[#This Row],[Pre-sold (Usable FA) (sf)]]-Table1[[#This Row],[Self-use space (Usable FA) (sf)]],0)</f>
        <v>0</v>
      </c>
      <c r="AF99" s="86">
        <f>1-SUM(Table1[[#This Row],[Space available for lease (Usable FA) (sf)]:[Space available uncertain of use (Usable FA) (sf)]])/Table1[[#This Row],[Office UFA (Net) (sf)]]</f>
        <v>0</v>
      </c>
      <c r="AG99" s="79" t="s">
        <v>450</v>
      </c>
      <c r="AH99" s="84" t="s">
        <v>103</v>
      </c>
      <c r="AI99" s="79" t="s">
        <v>1289</v>
      </c>
      <c r="AJ99" s="83">
        <v>43497</v>
      </c>
      <c r="AK99" s="83">
        <v>43556</v>
      </c>
      <c r="AL99" s="85" t="s">
        <v>29</v>
      </c>
      <c r="AM99" s="85" t="s">
        <v>839</v>
      </c>
      <c r="AN99" s="79" t="s">
        <v>73</v>
      </c>
      <c r="AO99" s="77" t="s">
        <v>704</v>
      </c>
      <c r="AP99" s="77" t="s">
        <v>82</v>
      </c>
      <c r="AQ99" s="77" t="s">
        <v>1331</v>
      </c>
      <c r="AR99" s="79" t="s">
        <v>1734</v>
      </c>
      <c r="AS99" s="79"/>
      <c r="AT99" s="80"/>
      <c r="AU99" s="80"/>
      <c r="AV99" s="77" t="s">
        <v>2222</v>
      </c>
    </row>
    <row r="100" spans="1:48" ht="15" hidden="1" customHeight="1" x14ac:dyDescent="0.35">
      <c r="A100" s="77"/>
      <c r="B100" s="77" t="s">
        <v>1111</v>
      </c>
      <c r="C100" s="77" t="s">
        <v>1111</v>
      </c>
      <c r="D100" s="77"/>
      <c r="E100" s="79" t="s">
        <v>130</v>
      </c>
      <c r="F100" s="77" t="str">
        <f>VLOOKUP(Table1[[#This Row],[CBRE sub-markets]],Reference!$A$2:$B$31,2,FALSE)</f>
        <v>Wong Chuk Hang</v>
      </c>
      <c r="G100" s="77">
        <f>VLOOKUP(Table1[[#This Row],[CBRE sub-markets]],Reference!$A$2:$D$31,3,FALSE)</f>
        <v>5</v>
      </c>
      <c r="H100" s="79" t="str">
        <f>VLOOKUP(Table1[[#This Row],[CBRE sub-markets]],Reference!$A$2:$D$31,4,FALSE)</f>
        <v>Hong Kong Island</v>
      </c>
      <c r="I100" s="80">
        <v>2019</v>
      </c>
      <c r="J100" s="80">
        <v>2</v>
      </c>
      <c r="K100" s="81" t="str">
        <f>IF(ISNUMBER(Table1[[#This Row],[Qtr]]),CONCATENATE(Table1[[#This Row],[Year]]," Q",Table1[[#This Row],[Qtr]]),CONCATENATE(Table1[[#This Row],[Year]],Table1[[#This Row],[Qtr]]))</f>
        <v>2019 Q2</v>
      </c>
      <c r="L100" s="80" t="s">
        <v>21</v>
      </c>
      <c r="M100" s="80" t="s">
        <v>84</v>
      </c>
      <c r="N100" s="80">
        <v>1</v>
      </c>
      <c r="O100" s="80">
        <v>34</v>
      </c>
      <c r="P100" s="80"/>
      <c r="Q100" s="82">
        <f>1207.7*10.7639*0.5664</f>
        <v>7362.9519337920001</v>
      </c>
      <c r="R100" s="82">
        <f>Table1[[#This Row],[Floor Plate (GFA) (sf)]]*0.75</f>
        <v>5522.2139503440003</v>
      </c>
      <c r="S100" s="80" t="str">
        <f t="shared" si="6"/>
        <v>No</v>
      </c>
      <c r="T100" s="82"/>
      <c r="U100" s="82"/>
      <c r="V100" s="82">
        <f>Table1[[#This Row],[Office GFA (sf)]]/10.764</f>
        <v>2935.7116313638053</v>
      </c>
      <c r="W100" s="82">
        <v>31600</v>
      </c>
      <c r="X100" s="82">
        <f>V100*0.75</f>
        <v>2201.783723522854</v>
      </c>
      <c r="Y100" s="82">
        <f>W100*0.75</f>
        <v>23700</v>
      </c>
      <c r="Z100" s="82"/>
      <c r="AA100" s="82"/>
      <c r="AB100" s="82"/>
      <c r="AC100" s="82">
        <f>IF(AO100="For Lease",Y100-Z100-AA100-AB100,0)</f>
        <v>0</v>
      </c>
      <c r="AD100" s="82">
        <f>IF(Table1[[#This Row],[For Sale or For Lease?]]="For Sale",Table1[[#This Row],[Office UFA (Net) (sf)]]-Table1[[#This Row],[Pre-leased space (Usable FA) (sf)]]-Table1[[#This Row],[Pre-sold (Usable FA) (sf)]]-Table1[[#This Row],[Self-use space (Usable FA) (sf)]],0)</f>
        <v>0</v>
      </c>
      <c r="AE100" s="82">
        <f>IF(Table1[[#This Row],[For Sale or For Lease?]]="Uncertain",Table1[[#This Row],[Office UFA (Net) (sf)]]-Table1[[#This Row],[Pre-leased space (Usable FA) (sf)]]-Table1[[#This Row],[Pre-sold (Usable FA) (sf)]]-Table1[[#This Row],[Self-use space (Usable FA) (sf)]],0)</f>
        <v>23700</v>
      </c>
      <c r="AF100" s="86">
        <f>1-SUM(Table1[[#This Row],[Space available for lease (Usable FA) (sf)]:[Space available uncertain of use (Usable FA) (sf)]])/Table1[[#This Row],[Office UFA (Net) (sf)]]</f>
        <v>0</v>
      </c>
      <c r="AG100" s="79" t="s">
        <v>340</v>
      </c>
      <c r="AH100" s="84" t="s">
        <v>103</v>
      </c>
      <c r="AI100" s="79" t="s">
        <v>92</v>
      </c>
      <c r="AJ100" s="83">
        <v>42444</v>
      </c>
      <c r="AK100" s="83">
        <v>42444</v>
      </c>
      <c r="AL100" s="85" t="s">
        <v>30</v>
      </c>
      <c r="AM100" s="85" t="s">
        <v>1321</v>
      </c>
      <c r="AN100" s="79" t="s">
        <v>73</v>
      </c>
      <c r="AO100" s="77" t="s">
        <v>1068</v>
      </c>
      <c r="AP100" s="77" t="s">
        <v>1068</v>
      </c>
      <c r="AQ100" s="77"/>
      <c r="AR100" s="79" t="s">
        <v>1732</v>
      </c>
      <c r="AS100" s="79"/>
      <c r="AT100" s="80"/>
      <c r="AU100" s="80"/>
      <c r="AV100" s="77" t="s">
        <v>2221</v>
      </c>
    </row>
    <row r="101" spans="1:48" ht="15" hidden="1" customHeight="1" x14ac:dyDescent="0.35">
      <c r="A101" s="77"/>
      <c r="B101" s="77" t="s">
        <v>1480</v>
      </c>
      <c r="C101" s="77" t="s">
        <v>1480</v>
      </c>
      <c r="D101" s="77" t="s">
        <v>464</v>
      </c>
      <c r="E101" s="79" t="s">
        <v>171</v>
      </c>
      <c r="F101" s="77" t="str">
        <f>VLOOKUP(Table1[[#This Row],[CBRE sub-markets]],Reference!$A$2:$B$31,2,FALSE)</f>
        <v>Kowloon East</v>
      </c>
      <c r="G101" s="77">
        <f>VLOOKUP(Table1[[#This Row],[CBRE sub-markets]],Reference!$A$2:$D$31,3,FALSE)</f>
        <v>7</v>
      </c>
      <c r="H101" s="79" t="str">
        <f>VLOOKUP(Table1[[#This Row],[CBRE sub-markets]],Reference!$A$2:$D$31,4,FALSE)</f>
        <v>Kowloon</v>
      </c>
      <c r="I101" s="80">
        <v>2019</v>
      </c>
      <c r="J101" s="80">
        <v>2</v>
      </c>
      <c r="K101" s="81" t="str">
        <f>IF(ISNUMBER(Table1[[#This Row],[Qtr]]),CONCATENATE(Table1[[#This Row],[Year]]," Q",Table1[[#This Row],[Qtr]]),CONCATENATE(Table1[[#This Row],[Year]],Table1[[#This Row],[Qtr]]))</f>
        <v>2019 Q2</v>
      </c>
      <c r="L101" s="80" t="s">
        <v>20</v>
      </c>
      <c r="M101" s="80" t="s">
        <v>84</v>
      </c>
      <c r="N101" s="80">
        <v>2</v>
      </c>
      <c r="O101" s="80" t="s">
        <v>325</v>
      </c>
      <c r="P101" s="80"/>
      <c r="Q101" s="82" t="s">
        <v>1592</v>
      </c>
      <c r="R101" s="82">
        <f>(11724+12358)/2*0.75</f>
        <v>9030.75</v>
      </c>
      <c r="S101" s="80" t="str">
        <f t="shared" si="6"/>
        <v>No</v>
      </c>
      <c r="T101" s="82">
        <v>56465.731077166623</v>
      </c>
      <c r="U101" s="82">
        <f>+Table1[[#This Row],[Total GFA (sm)]]*10.7639</f>
        <v>607791.48274151376</v>
      </c>
      <c r="V101" s="82">
        <f>Table1[[#This Row],[Office GFA (sf)]]/10.7639</f>
        <v>49873.280130807609</v>
      </c>
      <c r="W101" s="82">
        <f>11724+12358+11724+12358+11724+12358+11724+12358+12612+13242+12612+13242+1703+1578+1535+1589+3222+1635+5866+1533+1464+1770+3960+1703+1578+1535+1589+3222+1635+5866+1533+1464+1770+3960+1703+2930+1578+1535+1589+3222+1635+2936+1533+1464+1770+3960+1703+2930+1578+1535+1589+3222+1635+2936+1533+1464+1770+3960+1703+2930+1578+1535+1589+3222+1635+2936+1533+1464+1770+3960+1703+2930+1578+1535+1589+3222+1635+2936+1533+1464+1770+3960+2765+1578+1535+1589+3616+2769+1533+1553+1779+3652+2765+1578+1535+1589+3616+2769+1533+1553+1779+3652+1311+1453+1579+1535+1589+3616+1311+1458+1533+1553+1779+3652+1311+1453+1579+1535+1589+3616+1311+1458+1533+1553+1779+3652+1311+1453+1579+1535+1589+3616+1311+1458+1533+1553+1779+3652+1311+1453+1579+1535+1589+3616+1311+1458+1533+1553+1779+3652+1311+1453+1579+1535+1589+3616+1311+1458+1533+1553+1779+3652+1311+1453+1579+1535+1589+3616+1311+1458+1533+1553+1779+3652+1453+1579+1535+1589+3616+1311+1458+1533+1553+1779+3652+1311+1458+1533+1553+1779+3652+1311+1453+1579+1535+1589+3616+1311+1458+1533+1553+1779+3652</f>
        <v>536831</v>
      </c>
      <c r="X101" s="82">
        <f>Table1[[#This Row],[Office UFA (Net) (sf)]]/10.7639</f>
        <v>34911.296091565324</v>
      </c>
      <c r="Y101" s="82">
        <f>Table1[[#This Row],[Office GFA (sf)]]*0.7</f>
        <v>375781.69999999995</v>
      </c>
      <c r="Z101" s="82"/>
      <c r="AA101" s="82">
        <v>212363</v>
      </c>
      <c r="AB101" s="82"/>
      <c r="AC101" s="82">
        <f>IF(AO101="For Lease",Y101-Z101-AA101-AB101,0)</f>
        <v>0</v>
      </c>
      <c r="AD101" s="82">
        <f>IF(Table1[[#This Row],[For Sale or For Lease?]]="For Sale",Table1[[#This Row],[Office UFA (Net) (sf)]]-Table1[[#This Row],[Pre-leased space (Usable FA) (sf)]]-Table1[[#This Row],[Pre-sold (Usable FA) (sf)]]-Table1[[#This Row],[Self-use space (Usable FA) (sf)]],0)</f>
        <v>163418.69999999995</v>
      </c>
      <c r="AE101" s="82">
        <f>IF(Table1[[#This Row],[For Sale or For Lease?]]="Uncertain",Table1[[#This Row],[Office UFA (Net) (sf)]]-Table1[[#This Row],[Pre-leased space (Usable FA) (sf)]]-Table1[[#This Row],[Pre-sold (Usable FA) (sf)]]-Table1[[#This Row],[Self-use space (Usable FA) (sf)]],0)</f>
        <v>0</v>
      </c>
      <c r="AF101" s="86">
        <f>1-SUM(Table1[[#This Row],[Space available for lease (Usable FA) (sf)]:[Space available uncertain of use (Usable FA) (sf)]])/Table1[[#This Row],[Office UFA (Net) (sf)]]</f>
        <v>0.56512331494588486</v>
      </c>
      <c r="AG101" s="79" t="s">
        <v>89</v>
      </c>
      <c r="AH101" s="84" t="s">
        <v>103</v>
      </c>
      <c r="AI101" s="79" t="s">
        <v>92</v>
      </c>
      <c r="AJ101" s="83">
        <v>43556</v>
      </c>
      <c r="AK101" s="83">
        <v>43617</v>
      </c>
      <c r="AL101" s="85" t="s">
        <v>29</v>
      </c>
      <c r="AM101" s="85" t="s">
        <v>1205</v>
      </c>
      <c r="AN101" s="79" t="s">
        <v>73</v>
      </c>
      <c r="AO101" s="77" t="s">
        <v>704</v>
      </c>
      <c r="AP101" s="77" t="s">
        <v>82</v>
      </c>
      <c r="AQ101" s="77" t="s">
        <v>1206</v>
      </c>
      <c r="AR101" s="79" t="s">
        <v>2370</v>
      </c>
      <c r="AS101" s="79"/>
      <c r="AT101" s="80"/>
      <c r="AU101" s="80"/>
      <c r="AV101" s="77"/>
    </row>
    <row r="102" spans="1:48" ht="15" hidden="1" customHeight="1" x14ac:dyDescent="0.35">
      <c r="A102" s="77"/>
      <c r="B102" s="77" t="s">
        <v>1623</v>
      </c>
      <c r="C102" s="77" t="s">
        <v>1234</v>
      </c>
      <c r="D102" s="77" t="s">
        <v>724</v>
      </c>
      <c r="E102" s="79" t="s">
        <v>162</v>
      </c>
      <c r="F102" s="77" t="str">
        <f>VLOOKUP(Table1[[#This Row],[CBRE sub-markets]],Reference!$A$2:$B$31,2,FALSE)</f>
        <v>Kowloon East</v>
      </c>
      <c r="G102" s="77">
        <f>VLOOKUP(Table1[[#This Row],[CBRE sub-markets]],Reference!$A$2:$D$31,3,FALSE)</f>
        <v>7</v>
      </c>
      <c r="H102" s="79" t="str">
        <f>VLOOKUP(Table1[[#This Row],[CBRE sub-markets]],Reference!$A$2:$D$31,4,FALSE)</f>
        <v>Kowloon</v>
      </c>
      <c r="I102" s="80">
        <v>2019</v>
      </c>
      <c r="J102" s="80">
        <v>2</v>
      </c>
      <c r="K102" s="81" t="str">
        <f>IF(ISNUMBER(Table1[[#This Row],[Qtr]]),CONCATENATE(Table1[[#This Row],[Year]]," Q",Table1[[#This Row],[Qtr]]),CONCATENATE(Table1[[#This Row],[Year]],Table1[[#This Row],[Qtr]]))</f>
        <v>2019 Q2</v>
      </c>
      <c r="L102" s="80" t="s">
        <v>20</v>
      </c>
      <c r="M102" s="80" t="s">
        <v>84</v>
      </c>
      <c r="N102" s="80">
        <v>2</v>
      </c>
      <c r="O102" s="80" t="s">
        <v>278</v>
      </c>
      <c r="P102" s="80"/>
      <c r="Q102" s="82">
        <f>51000/2</f>
        <v>25500</v>
      </c>
      <c r="R102" s="82">
        <f>Table1[[#This Row],[Floor Plate (GFA) (sf)]]*0.786587</f>
        <v>20057.968500000003</v>
      </c>
      <c r="S102" s="80" t="str">
        <f t="shared" si="6"/>
        <v>Yes</v>
      </c>
      <c r="T102" s="82">
        <f>+Table1[[#This Row],[Total GFA (sf)]]/10.7639</f>
        <v>82045.26221908415</v>
      </c>
      <c r="U102" s="82">
        <v>883126.99799999991</v>
      </c>
      <c r="V102" s="82">
        <f>Table1[[#This Row],[Office GFA (sf)]]/10.764</f>
        <v>79153.010033444822</v>
      </c>
      <c r="W102" s="82">
        <f>50262*2+2618+47644+50262*3+49531+49697*3+50546*4+49875*3</f>
        <v>852003</v>
      </c>
      <c r="X102" s="82">
        <f>V102*0.75</f>
        <v>59364.757525083616</v>
      </c>
      <c r="Y102" s="82">
        <f>X102*10.764</f>
        <v>639002.25</v>
      </c>
      <c r="Z102" s="82">
        <f>(49697+49697+49697+50546+50546+50546+50262*2+49875)*0.786587</f>
        <v>354851.42013600003</v>
      </c>
      <c r="AA102" s="82"/>
      <c r="AB102" s="82">
        <f>(50546+49875)*0.786587</f>
        <v>78989.853127000009</v>
      </c>
      <c r="AC102" s="82">
        <f>IF(Table1[[#This Row],[For Sale or For Lease?]]="For Lease",Table1[[#This Row],[Office UFA (Net) (sf)]]-Table1[[#This Row],[Pre-leased space (Usable FA) (sf)]]-Table1[[#This Row],[Pre-sold (Usable FA) (sf)]]-Table1[[#This Row],[Self-use space (Usable FA) (sf)]],0)</f>
        <v>205160.97673699996</v>
      </c>
      <c r="AD102" s="82">
        <f>IF(Table1[[#This Row],[For Sale or For Lease?]]="For Sale",Table1[[#This Row],[Office UFA (Net) (sf)]]-Table1[[#This Row],[Pre-leased space (Usable FA) (sf)]]-Table1[[#This Row],[Pre-sold (Usable FA) (sf)]]-Table1[[#This Row],[Self-use space (Usable FA) (sf)]],0)</f>
        <v>0</v>
      </c>
      <c r="AE102" s="82">
        <f>IF(Table1[[#This Row],[For Sale or For Lease?]]="Uncertain",Table1[[#This Row],[Office UFA (Net) (sf)]]-Table1[[#This Row],[Pre-leased space (Usable FA) (sf)]]-Table1[[#This Row],[Pre-sold (Usable FA) (sf)]]-Table1[[#This Row],[Self-use space (Usable FA) (sf)]],0)</f>
        <v>0</v>
      </c>
      <c r="AF102" s="86">
        <f>1-SUM(Table1[[#This Row],[Space available for lease (Usable FA) (sf)]:[Space available uncertain of use (Usable FA) (sf)]])/Table1[[#This Row],[Office UFA (Net) (sf)]]</f>
        <v>0.67893543921480726</v>
      </c>
      <c r="AG102" s="79" t="s">
        <v>89</v>
      </c>
      <c r="AH102" s="84" t="s">
        <v>103</v>
      </c>
      <c r="AI102" s="79" t="s">
        <v>92</v>
      </c>
      <c r="AJ102" s="83">
        <v>42856</v>
      </c>
      <c r="AK102" s="83">
        <v>43111</v>
      </c>
      <c r="AL102" s="85" t="s">
        <v>29</v>
      </c>
      <c r="AM102" s="85" t="s">
        <v>1228</v>
      </c>
      <c r="AN102" s="79" t="s">
        <v>73</v>
      </c>
      <c r="AO102" s="77" t="s">
        <v>705</v>
      </c>
      <c r="AP102" s="77" t="s">
        <v>81</v>
      </c>
      <c r="AQ102" s="77" t="s">
        <v>1538</v>
      </c>
      <c r="AR102" s="79" t="s">
        <v>2368</v>
      </c>
      <c r="AS102" s="79"/>
      <c r="AT102" s="80"/>
      <c r="AU102" s="80"/>
      <c r="AV102" s="77"/>
    </row>
    <row r="103" spans="1:48" ht="15" hidden="1" customHeight="1" x14ac:dyDescent="0.35">
      <c r="A103" s="77"/>
      <c r="B103" s="77" t="s">
        <v>1618</v>
      </c>
      <c r="C103" s="77" t="s">
        <v>1619</v>
      </c>
      <c r="D103" s="77"/>
      <c r="E103" s="79" t="s">
        <v>1</v>
      </c>
      <c r="F103" s="77" t="str">
        <f>VLOOKUP(Table1[[#This Row],[CBRE sub-markets]],Reference!$A$2:$B$31,2,FALSE)</f>
        <v>Central</v>
      </c>
      <c r="G103" s="77">
        <f>VLOOKUP(Table1[[#This Row],[CBRE sub-markets]],Reference!$A$2:$D$31,3,FALSE)</f>
        <v>1</v>
      </c>
      <c r="H103" s="79" t="str">
        <f>VLOOKUP(Table1[[#This Row],[CBRE sub-markets]],Reference!$A$2:$D$31,4,FALSE)</f>
        <v>Hong Kong Island</v>
      </c>
      <c r="I103" s="80">
        <v>2019</v>
      </c>
      <c r="J103" s="80">
        <v>3</v>
      </c>
      <c r="K103" s="81" t="str">
        <f>IF(ISNUMBER(Table1[[#This Row],[Qtr]]),CONCATENATE(Table1[[#This Row],[Year]]," Q",Table1[[#This Row],[Qtr]]),CONCATENATE(Table1[[#This Row],[Year]],Table1[[#This Row],[Qtr]]))</f>
        <v>2019 Q3</v>
      </c>
      <c r="L103" s="80" t="s">
        <v>20</v>
      </c>
      <c r="M103" s="80" t="s">
        <v>84</v>
      </c>
      <c r="N103" s="80">
        <v>1</v>
      </c>
      <c r="O103" s="80"/>
      <c r="P103" s="80">
        <v>1</v>
      </c>
      <c r="Q103" s="82">
        <v>10373</v>
      </c>
      <c r="R103" s="82">
        <v>10373</v>
      </c>
      <c r="S103" s="80" t="str">
        <f t="shared" si="6"/>
        <v>No</v>
      </c>
      <c r="T103" s="82">
        <v>15237.6</v>
      </c>
      <c r="U103" s="82">
        <v>10373</v>
      </c>
      <c r="V103" s="82">
        <f>+Table1[[#This Row],[Office GFA (sf)]]/10.7639</f>
        <v>963.68416651957011</v>
      </c>
      <c r="W103" s="82">
        <v>10373</v>
      </c>
      <c r="X103" s="82">
        <f>+Table1[[#This Row],[Office UFA (Net) (sf)]]/10.7639</f>
        <v>963.68416651957011</v>
      </c>
      <c r="Y103" s="82">
        <v>10373</v>
      </c>
      <c r="Z103" s="82"/>
      <c r="AA103" s="82"/>
      <c r="AB103" s="82"/>
      <c r="AC103" s="82">
        <f>IF(AO103="For Lease",Y103-Z103-AA103-AB103,0)</f>
        <v>10373</v>
      </c>
      <c r="AD103" s="82">
        <f>IF(Table1[[#This Row],[For Sale or For Lease?]]="For Sale",Table1[[#This Row],[Office UFA (Net) (sf)]]-Table1[[#This Row],[Pre-leased space (Usable FA) (sf)]]-Table1[[#This Row],[Pre-sold (Usable FA) (sf)]]-Table1[[#This Row],[Self-use space (Usable FA) (sf)]],0)</f>
        <v>0</v>
      </c>
      <c r="AE103" s="82">
        <f>IF(Table1[[#This Row],[For Sale or For Lease?]]="Uncertain",Table1[[#This Row],[Office UFA (Net) (sf)]]-Table1[[#This Row],[Pre-leased space (Usable FA) (sf)]]-Table1[[#This Row],[Pre-sold (Usable FA) (sf)]]-Table1[[#This Row],[Self-use space (Usable FA) (sf)]],0)</f>
        <v>0</v>
      </c>
      <c r="AF103" s="86">
        <f>1-SUM(Table1[[#This Row],[Space available for lease (Usable FA) (sf)]:[Space available uncertain of use (Usable FA) (sf)]])/Table1[[#This Row],[Office UFA (Net) (sf)]]</f>
        <v>0</v>
      </c>
      <c r="AG103" s="79" t="s">
        <v>89</v>
      </c>
      <c r="AH103" s="84"/>
      <c r="AI103" s="79" t="s">
        <v>859</v>
      </c>
      <c r="AJ103" s="83">
        <v>43709</v>
      </c>
      <c r="AK103" s="83">
        <v>43709</v>
      </c>
      <c r="AL103" s="85" t="s">
        <v>275</v>
      </c>
      <c r="AM103" s="85" t="s">
        <v>280</v>
      </c>
      <c r="AN103" s="79" t="s">
        <v>73</v>
      </c>
      <c r="AO103" s="77" t="s">
        <v>705</v>
      </c>
      <c r="AP103" s="77" t="s">
        <v>81</v>
      </c>
      <c r="AQ103" s="77" t="s">
        <v>1620</v>
      </c>
      <c r="AR103" s="79" t="s">
        <v>2431</v>
      </c>
      <c r="AS103" s="79"/>
      <c r="AT103" s="80"/>
      <c r="AU103" s="80"/>
      <c r="AV103" s="77"/>
    </row>
    <row r="104" spans="1:48" ht="15" hidden="1" customHeight="1" x14ac:dyDescent="0.35">
      <c r="A104" s="77"/>
      <c r="B104" s="77" t="s">
        <v>1599</v>
      </c>
      <c r="C104" s="77" t="s">
        <v>1476</v>
      </c>
      <c r="D104" s="77"/>
      <c r="E104" s="79" t="s">
        <v>6</v>
      </c>
      <c r="F104" s="77" t="str">
        <f>VLOOKUP(Table1[[#This Row],[CBRE sub-markets]],Reference!$A$2:$B$31,2,FALSE)</f>
        <v>Hong Kong East</v>
      </c>
      <c r="G104" s="77">
        <f>VLOOKUP(Table1[[#This Row],[CBRE sub-markets]],Reference!$A$2:$D$31,3,FALSE)</f>
        <v>4</v>
      </c>
      <c r="H104" s="79" t="str">
        <f>VLOOKUP(Table1[[#This Row],[CBRE sub-markets]],Reference!$A$2:$D$31,4,FALSE)</f>
        <v>Hong Kong Island</v>
      </c>
      <c r="I104" s="80">
        <v>2019</v>
      </c>
      <c r="J104" s="80">
        <v>3</v>
      </c>
      <c r="K104" s="81" t="str">
        <f>IF(ISNUMBER(Table1[[#This Row],[Qtr]]),CONCATENATE(Table1[[#This Row],[Year]]," Q",Table1[[#This Row],[Qtr]]),CONCATENATE(Table1[[#This Row],[Year]],Table1[[#This Row],[Qtr]]))</f>
        <v>2019 Q3</v>
      </c>
      <c r="L104" s="80" t="s">
        <v>21</v>
      </c>
      <c r="M104" s="80" t="s">
        <v>84</v>
      </c>
      <c r="N104" s="80">
        <v>1</v>
      </c>
      <c r="O104" s="80" t="s">
        <v>425</v>
      </c>
      <c r="P104" s="80">
        <v>22</v>
      </c>
      <c r="Q104" s="82">
        <v>5500</v>
      </c>
      <c r="R104" s="82">
        <f>+Table1[[#This Row],[Floor Plate (GFA) (sf)]]*0.83</f>
        <v>4565</v>
      </c>
      <c r="S104" s="80" t="str">
        <f t="shared" si="6"/>
        <v>No</v>
      </c>
      <c r="T104" s="82">
        <f>+Table1[[#This Row],[Total GFA (sf)]]/10.7639</f>
        <v>14606.601696411153</v>
      </c>
      <c r="U104" s="82">
        <v>157224</v>
      </c>
      <c r="V104" s="82">
        <f>+Table1[[#This Row],[Office GFA (sf)]]/10.7639</f>
        <v>11255.864510075346</v>
      </c>
      <c r="W104" s="82">
        <v>121157</v>
      </c>
      <c r="X104" s="82">
        <f>+Table1[[#This Row],[Office UFA (Net) (sf)]]/10.7639</f>
        <v>9423.5397950556962</v>
      </c>
      <c r="Y104" s="82">
        <v>101434.04000000001</v>
      </c>
      <c r="Z104" s="82"/>
      <c r="AA104" s="82"/>
      <c r="AB104" s="82"/>
      <c r="AC104" s="82">
        <f>IF(AO104="For Lease",Y104-Z104-AA104-AB104,0)</f>
        <v>101434.04000000001</v>
      </c>
      <c r="AD104" s="82">
        <f>IF(Table1[[#This Row],[For Sale or For Lease?]]="For Sale",Table1[[#This Row],[Office UFA (Net) (sf)]]-Table1[[#This Row],[Pre-leased space (Usable FA) (sf)]]-Table1[[#This Row],[Pre-sold (Usable FA) (sf)]]-Table1[[#This Row],[Self-use space (Usable FA) (sf)]],0)</f>
        <v>0</v>
      </c>
      <c r="AE104" s="82">
        <f>IF(Table1[[#This Row],[For Sale or For Lease?]]="Uncertain",Table1[[#This Row],[Office UFA (Net) (sf)]]-Table1[[#This Row],[Pre-leased space (Usable FA) (sf)]]-Table1[[#This Row],[Pre-sold (Usable FA) (sf)]]-Table1[[#This Row],[Self-use space (Usable FA) (sf)]],0)</f>
        <v>0</v>
      </c>
      <c r="AF104" s="86">
        <f>1-SUM(Table1[[#This Row],[Space available for lease (Usable FA) (sf)]:[Space available uncertain of use (Usable FA) (sf)]])/Table1[[#This Row],[Office UFA (Net) (sf)]]</f>
        <v>0</v>
      </c>
      <c r="AG104" s="79" t="s">
        <v>89</v>
      </c>
      <c r="AH104" s="84" t="s">
        <v>103</v>
      </c>
      <c r="AI104" s="79" t="s">
        <v>92</v>
      </c>
      <c r="AJ104" s="83">
        <v>43770</v>
      </c>
      <c r="AK104" s="83">
        <v>43209</v>
      </c>
      <c r="AL104" s="85" t="s">
        <v>30</v>
      </c>
      <c r="AM104" s="85" t="s">
        <v>1208</v>
      </c>
      <c r="AN104" s="79" t="s">
        <v>73</v>
      </c>
      <c r="AO104" s="77" t="s">
        <v>705</v>
      </c>
      <c r="AP104" s="77" t="s">
        <v>81</v>
      </c>
      <c r="AQ104" s="77" t="s">
        <v>1510</v>
      </c>
      <c r="AR104" s="79" t="s">
        <v>2390</v>
      </c>
      <c r="AS104" s="79"/>
      <c r="AT104" s="80"/>
      <c r="AU104" s="80"/>
      <c r="AV104" s="77" t="s">
        <v>2219</v>
      </c>
    </row>
    <row r="105" spans="1:48" ht="15" hidden="1" customHeight="1" x14ac:dyDescent="0.35">
      <c r="A105" s="77"/>
      <c r="B105" s="77" t="s">
        <v>1622</v>
      </c>
      <c r="C105" s="77" t="s">
        <v>1431</v>
      </c>
      <c r="D105" s="77"/>
      <c r="E105" s="79" t="s">
        <v>8</v>
      </c>
      <c r="F105" s="77" t="str">
        <f>VLOOKUP(Table1[[#This Row],[CBRE sub-markets]],Reference!$A$2:$B$31,2,FALSE)</f>
        <v>Tsim Sha Tsui</v>
      </c>
      <c r="G105" s="77">
        <f>VLOOKUP(Table1[[#This Row],[CBRE sub-markets]],Reference!$A$2:$D$31,3,FALSE)</f>
        <v>6</v>
      </c>
      <c r="H105" s="79" t="str">
        <f>VLOOKUP(Table1[[#This Row],[CBRE sub-markets]],Reference!$A$2:$D$31,4,FALSE)</f>
        <v>Kowloon</v>
      </c>
      <c r="I105" s="80">
        <v>2019</v>
      </c>
      <c r="J105" s="80">
        <v>3</v>
      </c>
      <c r="K105" s="81" t="str">
        <f>IF(ISNUMBER(Table1[[#This Row],[Qtr]]),CONCATENATE(Table1[[#This Row],[Year]]," Q",Table1[[#This Row],[Qtr]]),CONCATENATE(Table1[[#This Row],[Year]],Table1[[#This Row],[Qtr]]))</f>
        <v>2019 Q3</v>
      </c>
      <c r="L105" s="80" t="s">
        <v>20</v>
      </c>
      <c r="M105" s="80" t="s">
        <v>84</v>
      </c>
      <c r="N105" s="80">
        <v>1</v>
      </c>
      <c r="O105" s="80">
        <v>15</v>
      </c>
      <c r="P105" s="80"/>
      <c r="Q105" s="82">
        <f>24500</f>
        <v>24500</v>
      </c>
      <c r="R105" s="82">
        <f>+Table1[[#This Row],[Floor Plate (GFA) (sf)]]*0.78</f>
        <v>19110</v>
      </c>
      <c r="S105" s="80" t="str">
        <f t="shared" si="6"/>
        <v>Yes</v>
      </c>
      <c r="T105" s="82"/>
      <c r="U105" s="82"/>
      <c r="V105" s="82">
        <f>Table1[[#This Row],[Office GFA (sf)]]/10.7639</f>
        <v>34451.453469467386</v>
      </c>
      <c r="W105" s="82">
        <f>Table1[[#This Row],[Office UFA (Net) (sf)]]/0.75</f>
        <v>370832</v>
      </c>
      <c r="X105" s="82">
        <f>V105*0.75</f>
        <v>25838.590102100541</v>
      </c>
      <c r="Y105" s="82">
        <v>278124</v>
      </c>
      <c r="Z105" s="82">
        <f>7*24500*0.78</f>
        <v>133770</v>
      </c>
      <c r="AA105" s="82"/>
      <c r="AB105" s="82"/>
      <c r="AC105" s="82">
        <f>IF(Table1[[#This Row],[For Sale or For Lease?]]="For Lease",Table1[[#This Row],[Office UFA (Net) (sf)]]-Table1[[#This Row],[Pre-leased space (Usable FA) (sf)]]-Table1[[#This Row],[Pre-sold (Usable FA) (sf)]]-Table1[[#This Row],[Self-use space (Usable FA) (sf)]],0)</f>
        <v>144354</v>
      </c>
      <c r="AD105" s="82">
        <f>IF(Table1[[#This Row],[For Sale or For Lease?]]="For Sale",Table1[[#This Row],[Office UFA (Net) (sf)]]-Table1[[#This Row],[Pre-leased space (Usable FA) (sf)]]-Table1[[#This Row],[Pre-sold (Usable FA) (sf)]]-Table1[[#This Row],[Self-use space (Usable FA) (sf)]],0)</f>
        <v>0</v>
      </c>
      <c r="AE105" s="82">
        <f>IF(Table1[[#This Row],[For Sale or For Lease?]]="Uncertain",Table1[[#This Row],[Office UFA (Net) (sf)]]-Table1[[#This Row],[Pre-leased space (Usable FA) (sf)]]-Table1[[#This Row],[Pre-sold (Usable FA) (sf)]]-Table1[[#This Row],[Self-use space (Usable FA) (sf)]],0)</f>
        <v>0</v>
      </c>
      <c r="AF105" s="86">
        <f>1-SUM(Table1[[#This Row],[Space available for lease (Usable FA) (sf)]:[Space available uncertain of use (Usable FA) (sf)]])/Table1[[#This Row],[Office UFA (Net) (sf)]]</f>
        <v>0.48097251585623679</v>
      </c>
      <c r="AG105" s="79" t="s">
        <v>89</v>
      </c>
      <c r="AH105" s="84"/>
      <c r="AI105" s="79" t="s">
        <v>1432</v>
      </c>
      <c r="AJ105" s="83">
        <v>43647</v>
      </c>
      <c r="AK105" s="83">
        <v>43664</v>
      </c>
      <c r="AL105" s="85" t="s">
        <v>275</v>
      </c>
      <c r="AM105" s="85" t="s">
        <v>205</v>
      </c>
      <c r="AN105" s="79" t="s">
        <v>73</v>
      </c>
      <c r="AO105" s="77" t="s">
        <v>705</v>
      </c>
      <c r="AP105" s="77" t="s">
        <v>81</v>
      </c>
      <c r="AQ105" s="77" t="s">
        <v>1433</v>
      </c>
      <c r="AR105" s="79" t="s">
        <v>2433</v>
      </c>
      <c r="AS105" s="79"/>
      <c r="AT105" s="80"/>
      <c r="AU105" s="80"/>
      <c r="AV105" s="77"/>
    </row>
    <row r="106" spans="1:48" ht="15" hidden="1" customHeight="1" x14ac:dyDescent="0.35">
      <c r="A106" s="77"/>
      <c r="B106" s="77" t="s">
        <v>1621</v>
      </c>
      <c r="C106" s="77" t="s">
        <v>2494</v>
      </c>
      <c r="D106" s="77"/>
      <c r="E106" s="79" t="s">
        <v>360</v>
      </c>
      <c r="F106" s="77" t="str">
        <f>VLOOKUP(Table1[[#This Row],[CBRE sub-markets]],Reference!$A$2:$B$31,2,FALSE)</f>
        <v>Hong Kong East</v>
      </c>
      <c r="G106" s="77">
        <f>VLOOKUP(Table1[[#This Row],[CBRE sub-markets]],Reference!$A$2:$D$31,3,FALSE)</f>
        <v>4</v>
      </c>
      <c r="H106" s="79" t="str">
        <f>VLOOKUP(Table1[[#This Row],[CBRE sub-markets]],Reference!$A$2:$D$31,4,FALSE)</f>
        <v>Hong Kong Island</v>
      </c>
      <c r="I106" s="80">
        <v>2019</v>
      </c>
      <c r="J106" s="80">
        <v>2</v>
      </c>
      <c r="K106" s="81" t="str">
        <f>IF(ISNUMBER(Table1[[#This Row],[Qtr]]),CONCATENATE(Table1[[#This Row],[Year]]," Q",Table1[[#This Row],[Qtr]]),CONCATENATE(Table1[[#This Row],[Year]],Table1[[#This Row],[Qtr]]))</f>
        <v>2019 Q2</v>
      </c>
      <c r="L106" s="80" t="s">
        <v>20</v>
      </c>
      <c r="M106" s="80" t="s">
        <v>84</v>
      </c>
      <c r="N106" s="80">
        <v>1</v>
      </c>
      <c r="O106" s="80" t="s">
        <v>1106</v>
      </c>
      <c r="P106" s="80">
        <v>22</v>
      </c>
      <c r="Q106" s="82">
        <f>Table1[[#This Row],[Office GFA (sf)]]/22</f>
        <v>20080.363636363636</v>
      </c>
      <c r="R106" s="82">
        <f>Table1[[#This Row],[Office UFA (Net) (sf)]]/22</f>
        <v>17470.078664627301</v>
      </c>
      <c r="S106" s="80" t="str">
        <f t="shared" si="6"/>
        <v>Yes</v>
      </c>
      <c r="T106" s="82">
        <v>45290.2</v>
      </c>
      <c r="U106" s="82">
        <f>+Table1[[#This Row],[Total GFA (sm)]]*10.7639</f>
        <v>487499.18377999996</v>
      </c>
      <c r="V106" s="82">
        <f>+Table1[[#This Row],[Office GFA (sf)]]/10.7639</f>
        <v>41041.629892511082</v>
      </c>
      <c r="W106" s="82">
        <f>19492+21191+21111+21177+20652+20469+20366+20190+19941+19576+19784+19608+19281+19616+19798*6+20263+20263</f>
        <v>441768</v>
      </c>
      <c r="X106" s="82">
        <f>Table1[[#This Row],[Office GFA (sm)]]*0.87</f>
        <v>35706.21800648464</v>
      </c>
      <c r="Y106" s="82">
        <f>Table1[[#This Row],[Office UFA (Net) (sm)]]*10.764</f>
        <v>384341.73062180064</v>
      </c>
      <c r="Z106" s="82">
        <f>(19616+19798)*0.87</f>
        <v>34290.18</v>
      </c>
      <c r="AA106" s="82"/>
      <c r="AB106" s="82"/>
      <c r="AC106" s="82">
        <f>IF(Table1[[#This Row],[For Sale or For Lease?]]="For Lease",Table1[[#This Row],[Office UFA (Net) (sf)]]-Table1[[#This Row],[Pre-leased space (Usable FA) (sf)]]-Table1[[#This Row],[Pre-sold (Usable FA) (sf)]]-Table1[[#This Row],[Self-use space (Usable FA) (sf)]],0)</f>
        <v>350051.55062180065</v>
      </c>
      <c r="AD106" s="82">
        <f>IF(Table1[[#This Row],[For Sale or For Lease?]]="For Sale",Table1[[#This Row],[Office UFA (Net) (sf)]]-Table1[[#This Row],[Pre-leased space (Usable FA) (sf)]]-Table1[[#This Row],[Pre-sold (Usable FA) (sf)]]-Table1[[#This Row],[Self-use space (Usable FA) (sf)]],0)</f>
        <v>0</v>
      </c>
      <c r="AE106" s="82">
        <f>IF(Table1[[#This Row],[For Sale or For Lease?]]="Uncertain",Table1[[#This Row],[Office UFA (Net) (sf)]]-Table1[[#This Row],[Pre-leased space (Usable FA) (sf)]]-Table1[[#This Row],[Pre-sold (Usable FA) (sf)]]-Table1[[#This Row],[Self-use space (Usable FA) (sf)]],0)</f>
        <v>0</v>
      </c>
      <c r="AF106" s="86">
        <f>1-SUM(Table1[[#This Row],[Space available for lease (Usable FA) (sf)]:[Space available uncertain of use (Usable FA) (sf)]])/Table1[[#This Row],[Office UFA (Net) (sf)]]</f>
        <v>8.9217946603207032E-2</v>
      </c>
      <c r="AG106" s="79" t="s">
        <v>89</v>
      </c>
      <c r="AH106" s="84" t="s">
        <v>103</v>
      </c>
      <c r="AI106" s="79" t="s">
        <v>92</v>
      </c>
      <c r="AJ106" s="83">
        <v>43617</v>
      </c>
      <c r="AK106" s="83">
        <v>43617</v>
      </c>
      <c r="AL106" s="85" t="s">
        <v>30</v>
      </c>
      <c r="AM106" s="85" t="s">
        <v>842</v>
      </c>
      <c r="AN106" s="79" t="s">
        <v>73</v>
      </c>
      <c r="AO106" s="77" t="s">
        <v>705</v>
      </c>
      <c r="AP106" s="77" t="s">
        <v>81</v>
      </c>
      <c r="AQ106" s="77" t="s">
        <v>2495</v>
      </c>
      <c r="AR106" s="79" t="s">
        <v>2432</v>
      </c>
      <c r="AS106" s="79"/>
      <c r="AT106" s="80"/>
      <c r="AU106" s="80"/>
      <c r="AV106" s="77"/>
    </row>
    <row r="107" spans="1:48" ht="15" hidden="1" customHeight="1" x14ac:dyDescent="0.35">
      <c r="A107" s="77"/>
      <c r="B107" s="77" t="s">
        <v>1219</v>
      </c>
      <c r="C107" s="77" t="s">
        <v>1539</v>
      </c>
      <c r="D107" s="77"/>
      <c r="E107" s="79" t="s">
        <v>360</v>
      </c>
      <c r="F107" s="77" t="str">
        <f>VLOOKUP(Table1[[#This Row],[CBRE sub-markets]],Reference!$A$2:$B$31,2,FALSE)</f>
        <v>Hong Kong East</v>
      </c>
      <c r="G107" s="77">
        <f>VLOOKUP(Table1[[#This Row],[CBRE sub-markets]],Reference!$A$2:$D$31,3,FALSE)</f>
        <v>4</v>
      </c>
      <c r="H107" s="79" t="str">
        <f>VLOOKUP(Table1[[#This Row],[CBRE sub-markets]],Reference!$A$2:$D$31,4,FALSE)</f>
        <v>Hong Kong Island</v>
      </c>
      <c r="I107" s="80">
        <v>2019</v>
      </c>
      <c r="J107" s="80">
        <v>4</v>
      </c>
      <c r="K107" s="81" t="str">
        <f>IF(ISNUMBER(Table1[[#This Row],[Qtr]]),CONCATENATE(Table1[[#This Row],[Year]]," Q",Table1[[#This Row],[Qtr]]),CONCATENATE(Table1[[#This Row],[Year]],Table1[[#This Row],[Qtr]]))</f>
        <v>2019 Q4</v>
      </c>
      <c r="L107" s="80" t="s">
        <v>21</v>
      </c>
      <c r="M107" s="80" t="s">
        <v>84</v>
      </c>
      <c r="N107" s="80">
        <v>1</v>
      </c>
      <c r="O107" s="80" t="s">
        <v>772</v>
      </c>
      <c r="P107" s="80"/>
      <c r="Q107" s="82">
        <f>Table1[[#This Row],[Office GFA (sf)]]/24</f>
        <v>1972.6666666666667</v>
      </c>
      <c r="R107" s="82">
        <f>Table1[[#This Row],[Office UFA (Net) (sf)]]/24</f>
        <v>2883.0657654166666</v>
      </c>
      <c r="S107" s="80" t="str">
        <f t="shared" si="6"/>
        <v>No</v>
      </c>
      <c r="T107" s="82">
        <v>11507.9</v>
      </c>
      <c r="U107" s="82">
        <f>+Table1[[#This Row],[Total GFA (sm)]]*10.7639</f>
        <v>123869.88480999999</v>
      </c>
      <c r="V107" s="82">
        <v>11507.9</v>
      </c>
      <c r="W107" s="82">
        <f>5476+5243+5974+6008+6057+6123+6190+6273</f>
        <v>47344</v>
      </c>
      <c r="X107" s="82">
        <v>6428.3</v>
      </c>
      <c r="Y107" s="82">
        <f>+Table1[[#This Row],[Office UFA (Net) (sm)]]*10.7639</f>
        <v>69193.578370000003</v>
      </c>
      <c r="Z107" s="82"/>
      <c r="AA107" s="82"/>
      <c r="AB107" s="82"/>
      <c r="AC107" s="82">
        <f>IF(Table1[[#This Row],[For Sale or For Lease?]]="For Lease",Table1[[#This Row],[Office UFA (Net) (sf)]]-Table1[[#This Row],[Pre-leased space (Usable FA) (sf)]]-Table1[[#This Row],[Pre-sold (Usable FA) (sf)]]-Table1[[#This Row],[Self-use space (Usable FA) (sf)]],0)</f>
        <v>69193.578370000003</v>
      </c>
      <c r="AD107" s="82">
        <f>IF(Table1[[#This Row],[For Sale or For Lease?]]="For Sale",Table1[[#This Row],[Office UFA (Net) (sf)]]-Table1[[#This Row],[Pre-leased space (Usable FA) (sf)]]-Table1[[#This Row],[Pre-sold (Usable FA) (sf)]]-Table1[[#This Row],[Self-use space (Usable FA) (sf)]],0)</f>
        <v>0</v>
      </c>
      <c r="AE107" s="82">
        <f>IF(Table1[[#This Row],[For Sale or For Lease?]]="Uncertain",Table1[[#This Row],[Office UFA (Net) (sf)]]-Table1[[#This Row],[Pre-leased space (Usable FA) (sf)]]-Table1[[#This Row],[Pre-sold (Usable FA) (sf)]]-Table1[[#This Row],[Self-use space (Usable FA) (sf)]],0)</f>
        <v>0</v>
      </c>
      <c r="AF107" s="86">
        <f>1-SUM(Table1[[#This Row],[Space available for lease (Usable FA) (sf)]:[Space available uncertain of use (Usable FA) (sf)]])/Table1[[#This Row],[Office UFA (Net) (sf)]]</f>
        <v>0</v>
      </c>
      <c r="AG107" s="79" t="s">
        <v>89</v>
      </c>
      <c r="AH107" s="84" t="s">
        <v>138</v>
      </c>
      <c r="AI107" s="79" t="s">
        <v>92</v>
      </c>
      <c r="AJ107" s="83">
        <v>43709</v>
      </c>
      <c r="AK107" s="83">
        <v>43770</v>
      </c>
      <c r="AL107" s="85" t="s">
        <v>30</v>
      </c>
      <c r="AM107" s="85" t="s">
        <v>1220</v>
      </c>
      <c r="AN107" s="79" t="s">
        <v>73</v>
      </c>
      <c r="AO107" s="77" t="s">
        <v>705</v>
      </c>
      <c r="AP107" s="77" t="s">
        <v>81</v>
      </c>
      <c r="AQ107" s="77" t="s">
        <v>1540</v>
      </c>
      <c r="AR107" s="79" t="s">
        <v>1731</v>
      </c>
      <c r="AS107" s="79" t="s">
        <v>2047</v>
      </c>
      <c r="AT107" s="80"/>
      <c r="AU107" s="80"/>
      <c r="AV107" s="77" t="s">
        <v>2220</v>
      </c>
    </row>
    <row r="108" spans="1:48" ht="15" hidden="1" customHeight="1" x14ac:dyDescent="0.35">
      <c r="A108" s="77"/>
      <c r="B108" s="77" t="s">
        <v>1616</v>
      </c>
      <c r="C108" s="77" t="s">
        <v>1615</v>
      </c>
      <c r="D108" s="77"/>
      <c r="E108" s="79" t="s">
        <v>2</v>
      </c>
      <c r="F108" s="77" t="str">
        <f>VLOOKUP(Table1[[#This Row],[CBRE sub-markets]],Reference!$A$2:$B$31,2,FALSE)</f>
        <v>Admiralty &amp; Sheung Wan</v>
      </c>
      <c r="G108" s="77">
        <f>VLOOKUP(Table1[[#This Row],[CBRE sub-markets]],Reference!$A$2:$D$31,3,FALSE)</f>
        <v>2</v>
      </c>
      <c r="H108" s="79" t="str">
        <f>VLOOKUP(Table1[[#This Row],[CBRE sub-markets]],Reference!$A$2:$D$31,4,FALSE)</f>
        <v>Hong Kong Island</v>
      </c>
      <c r="I108" s="80">
        <v>2019</v>
      </c>
      <c r="J108" s="80">
        <v>4</v>
      </c>
      <c r="K108" s="81" t="str">
        <f>IF(ISNUMBER(Table1[[#This Row],[Qtr]]),CONCATENATE(Table1[[#This Row],[Year]]," Q",Table1[[#This Row],[Qtr]]),CONCATENATE(Table1[[#This Row],[Year]],Table1[[#This Row],[Qtr]]))</f>
        <v>2019 Q4</v>
      </c>
      <c r="L108" s="80" t="s">
        <v>21</v>
      </c>
      <c r="M108" s="80" t="s">
        <v>84</v>
      </c>
      <c r="N108" s="80">
        <v>1</v>
      </c>
      <c r="O108" s="80">
        <v>24</v>
      </c>
      <c r="P108" s="80"/>
      <c r="Q108" s="82">
        <f>Table1[[#This Row],[Office GFA (sf)]]/Table1[[#This Row],[No. of Storeys]]</f>
        <v>2706.74235</v>
      </c>
      <c r="R108" s="82">
        <f>Table1[[#This Row],[Office UFA (Net) (sf)]]/Table1[[#This Row],[No. of Storeys]]</f>
        <v>1628.3986716666668</v>
      </c>
      <c r="S108" s="80" t="str">
        <f t="shared" si="6"/>
        <v>No</v>
      </c>
      <c r="T108" s="82">
        <v>6035.1</v>
      </c>
      <c r="U108" s="82">
        <f>+Table1[[#This Row],[Total GFA (sm)]]*10.7639</f>
        <v>64961.212890000003</v>
      </c>
      <c r="V108" s="82">
        <v>6035.1</v>
      </c>
      <c r="W108" s="82">
        <f>Table1[[#This Row],[Office GFA (sm)]]*10.764</f>
        <v>64961.816400000003</v>
      </c>
      <c r="X108" s="82">
        <v>3630.8</v>
      </c>
      <c r="Y108" s="82">
        <f>+Table1[[#This Row],[Office UFA (Net) (sm)]]*10.7639</f>
        <v>39081.568120000004</v>
      </c>
      <c r="Z108" s="82"/>
      <c r="AA108" s="82"/>
      <c r="AB108" s="82"/>
      <c r="AC108" s="82">
        <f>IF(Table1[[#This Row],[For Sale or For Lease?]]="For Lease",Table1[[#This Row],[Office UFA (Net) (sf)]]-Table1[[#This Row],[Pre-leased space (Usable FA) (sf)]]-Table1[[#This Row],[Pre-sold (Usable FA) (sf)]]-Table1[[#This Row],[Self-use space (Usable FA) (sf)]],0)</f>
        <v>39081.568120000004</v>
      </c>
      <c r="AD108" s="82">
        <f>IF(Table1[[#This Row],[For Sale or For Lease?]]="For Sale",Table1[[#This Row],[Office UFA (Net) (sf)]]-Table1[[#This Row],[Pre-leased space (Usable FA) (sf)]]-Table1[[#This Row],[Pre-sold (Usable FA) (sf)]]-Table1[[#This Row],[Self-use space (Usable FA) (sf)]],0)</f>
        <v>0</v>
      </c>
      <c r="AE108" s="82">
        <f>IF(Table1[[#This Row],[For Sale or For Lease?]]="Uncertain",Table1[[#This Row],[Office UFA (Net) (sf)]]-Table1[[#This Row],[Pre-leased space (Usable FA) (sf)]]-Table1[[#This Row],[Pre-sold (Usable FA) (sf)]]-Table1[[#This Row],[Self-use space (Usable FA) (sf)]],0)</f>
        <v>0</v>
      </c>
      <c r="AF108" s="86">
        <f>1-SUM(Table1[[#This Row],[Space available for lease (Usable FA) (sf)]:[Space available uncertain of use (Usable FA) (sf)]])/Table1[[#This Row],[Office UFA (Net) (sf)]]</f>
        <v>0</v>
      </c>
      <c r="AG108" s="79" t="s">
        <v>89</v>
      </c>
      <c r="AH108" s="84" t="s">
        <v>103</v>
      </c>
      <c r="AI108" s="79" t="s">
        <v>92</v>
      </c>
      <c r="AJ108" s="83">
        <v>43709</v>
      </c>
      <c r="AK108" s="83">
        <v>43770</v>
      </c>
      <c r="AL108" s="85" t="s">
        <v>30</v>
      </c>
      <c r="AM108" s="85" t="s">
        <v>1133</v>
      </c>
      <c r="AN108" s="79" t="s">
        <v>73</v>
      </c>
      <c r="AO108" s="77" t="s">
        <v>705</v>
      </c>
      <c r="AP108" s="77" t="s">
        <v>81</v>
      </c>
      <c r="AQ108" s="77"/>
      <c r="AR108" s="79" t="s">
        <v>1730</v>
      </c>
      <c r="AS108" s="79"/>
      <c r="AT108" s="80"/>
      <c r="AU108" s="80"/>
      <c r="AV108" s="77" t="s">
        <v>2218</v>
      </c>
    </row>
    <row r="109" spans="1:48" ht="15" hidden="1" customHeight="1" x14ac:dyDescent="0.35">
      <c r="A109" s="77"/>
      <c r="B109" s="77" t="s">
        <v>1340</v>
      </c>
      <c r="C109" s="77" t="s">
        <v>1341</v>
      </c>
      <c r="D109" s="77"/>
      <c r="E109" s="79" t="s">
        <v>1</v>
      </c>
      <c r="F109" s="77" t="str">
        <f>VLOOKUP(Table1[[#This Row],[CBRE sub-markets]],Reference!$A$2:$B$31,2,FALSE)</f>
        <v>Central</v>
      </c>
      <c r="G109" s="77">
        <f>VLOOKUP(Table1[[#This Row],[CBRE sub-markets]],Reference!$A$2:$D$31,3,FALSE)</f>
        <v>1</v>
      </c>
      <c r="H109" s="79" t="str">
        <f>VLOOKUP(Table1[[#This Row],[CBRE sub-markets]],Reference!$A$2:$D$31,4,FALSE)</f>
        <v>Hong Kong Island</v>
      </c>
      <c r="I109" s="80">
        <v>2019</v>
      </c>
      <c r="J109" s="80"/>
      <c r="K109" s="81" t="str">
        <f>IF(ISNUMBER(Table1[[#This Row],[Qtr]]),CONCATENATE(Table1[[#This Row],[Year]]," Q",Table1[[#This Row],[Qtr]]),CONCATENATE(Table1[[#This Row],[Year]],Table1[[#This Row],[Qtr]]))</f>
        <v>2019</v>
      </c>
      <c r="L109" s="80" t="s">
        <v>21</v>
      </c>
      <c r="M109" s="80" t="s">
        <v>86</v>
      </c>
      <c r="N109" s="80">
        <v>1</v>
      </c>
      <c r="O109" s="80"/>
      <c r="P109" s="80"/>
      <c r="Q109" s="82"/>
      <c r="R109" s="82"/>
      <c r="S109" s="80" t="str">
        <f t="shared" si="6"/>
        <v>Unknown</v>
      </c>
      <c r="T109" s="82"/>
      <c r="U109" s="82"/>
      <c r="V109" s="82">
        <f>Table1[[#This Row],[Office GFA (sf)]]/10.7639</f>
        <v>5574.187794386793</v>
      </c>
      <c r="W109" s="82">
        <v>60000</v>
      </c>
      <c r="X109" s="82">
        <f>V109*0.75</f>
        <v>4180.6408457900943</v>
      </c>
      <c r="Y109" s="82">
        <f>W109*0.75</f>
        <v>45000</v>
      </c>
      <c r="Z109" s="82"/>
      <c r="AA109" s="82"/>
      <c r="AB109" s="82"/>
      <c r="AC109" s="82">
        <f>IF(AO109="For Lease",Y109-Z109-AA109-AB109,0)</f>
        <v>0</v>
      </c>
      <c r="AD109" s="82">
        <f>IF(Table1[[#This Row],[For Sale or For Lease?]]="For Sale",Table1[[#This Row],[Office UFA (Net) (sf)]]-Table1[[#This Row],[Pre-leased space (Usable FA) (sf)]]-Table1[[#This Row],[Pre-sold (Usable FA) (sf)]]-Table1[[#This Row],[Self-use space (Usable FA) (sf)]],0)</f>
        <v>0</v>
      </c>
      <c r="AE109" s="82">
        <f>IF(Table1[[#This Row],[For Sale or For Lease?]]="Uncertain",Table1[[#This Row],[Office UFA (Net) (sf)]]-Table1[[#This Row],[Pre-leased space (Usable FA) (sf)]]-Table1[[#This Row],[Pre-sold (Usable FA) (sf)]]-Table1[[#This Row],[Self-use space (Usable FA) (sf)]],0)</f>
        <v>45000</v>
      </c>
      <c r="AF109" s="86">
        <f>1-SUM(Table1[[#This Row],[Space available for lease (Usable FA) (sf)]:[Space available uncertain of use (Usable FA) (sf)]])/Table1[[#This Row],[Office UFA (Net) (sf)]]</f>
        <v>0</v>
      </c>
      <c r="AG109" s="79" t="s">
        <v>450</v>
      </c>
      <c r="AH109" s="84"/>
      <c r="AI109" s="79" t="s">
        <v>1342</v>
      </c>
      <c r="AJ109" s="83">
        <v>42633</v>
      </c>
      <c r="AK109" s="83">
        <v>42637</v>
      </c>
      <c r="AL109" s="85" t="s">
        <v>30</v>
      </c>
      <c r="AM109" s="85" t="s">
        <v>1344</v>
      </c>
      <c r="AN109" s="79" t="s">
        <v>73</v>
      </c>
      <c r="AO109" s="77" t="s">
        <v>1068</v>
      </c>
      <c r="AP109" s="77" t="s">
        <v>1068</v>
      </c>
      <c r="AQ109" s="77" t="s">
        <v>1343</v>
      </c>
      <c r="AR109" s="79" t="s">
        <v>1728</v>
      </c>
      <c r="AS109" s="79"/>
      <c r="AT109" s="80"/>
      <c r="AU109" s="80"/>
      <c r="AV109" s="77"/>
    </row>
    <row r="110" spans="1:48" ht="15" hidden="1" customHeight="1" x14ac:dyDescent="0.35">
      <c r="A110" s="77"/>
      <c r="B110" s="77" t="s">
        <v>804</v>
      </c>
      <c r="C110" s="77" t="s">
        <v>804</v>
      </c>
      <c r="D110" s="77" t="s">
        <v>805</v>
      </c>
      <c r="E110" s="79" t="s">
        <v>15</v>
      </c>
      <c r="F110" s="77" t="str">
        <f>VLOOKUP(Table1[[#This Row],[CBRE sub-markets]],Reference!$A$2:$B$31,2,FALSE)</f>
        <v>New Territories</v>
      </c>
      <c r="G110" s="77">
        <f>VLOOKUP(Table1[[#This Row],[CBRE sub-markets]],Reference!$A$2:$D$31,3,FALSE)</f>
        <v>9</v>
      </c>
      <c r="H110" s="79" t="str">
        <f>VLOOKUP(Table1[[#This Row],[CBRE sub-markets]],Reference!$A$2:$D$31,4,FALSE)</f>
        <v>New Territories</v>
      </c>
      <c r="I110" s="80">
        <v>2019</v>
      </c>
      <c r="J110" s="80"/>
      <c r="K110" s="81" t="str">
        <f>IF(ISNUMBER(Table1[[#This Row],[Qtr]]),CONCATENATE(Table1[[#This Row],[Year]]," Q",Table1[[#This Row],[Qtr]]),CONCATENATE(Table1[[#This Row],[Year]],Table1[[#This Row],[Qtr]]))</f>
        <v>2019</v>
      </c>
      <c r="L110" s="80" t="s">
        <v>21</v>
      </c>
      <c r="M110" s="80" t="s">
        <v>86</v>
      </c>
      <c r="N110" s="80"/>
      <c r="O110" s="80"/>
      <c r="P110" s="80"/>
      <c r="Q110" s="82"/>
      <c r="R110" s="82"/>
      <c r="S110" s="80" t="str">
        <f t="shared" si="6"/>
        <v>Unknown</v>
      </c>
      <c r="T110" s="82"/>
      <c r="U110" s="82"/>
      <c r="V110" s="82">
        <v>21185</v>
      </c>
      <c r="W110" s="82">
        <f>V110*10.764</f>
        <v>228035.34</v>
      </c>
      <c r="X110" s="82">
        <f>V110*0.75</f>
        <v>15888.75</v>
      </c>
      <c r="Y110" s="82">
        <f>X110*10.764</f>
        <v>171026.50499999998</v>
      </c>
      <c r="Z110" s="82"/>
      <c r="AA110" s="82"/>
      <c r="AB110" s="82"/>
      <c r="AC110" s="82">
        <f>IF(Table1[[#This Row],[For Sale or For Lease?]]="For Lease",Table1[[#This Row],[Office UFA (Net) (sf)]]-Table1[[#This Row],[Pre-leased space (Usable FA) (sf)]]-Table1[[#This Row],[Pre-sold (Usable FA) (sf)]]-Table1[[#This Row],[Self-use space (Usable FA) (sf)]],0)</f>
        <v>0</v>
      </c>
      <c r="AD110" s="82">
        <f>IF(Table1[[#This Row],[For Sale or For Lease?]]="For Sale",Table1[[#This Row],[Office UFA (Net) (sf)]]-Table1[[#This Row],[Pre-leased space (Usable FA) (sf)]]-Table1[[#This Row],[Pre-sold (Usable FA) (sf)]]-Table1[[#This Row],[Self-use space (Usable FA) (sf)]],0)</f>
        <v>0</v>
      </c>
      <c r="AE110" s="82">
        <f>IF(Table1[[#This Row],[For Sale or For Lease?]]="Uncertain",Table1[[#This Row],[Office UFA (Net) (sf)]]-Table1[[#This Row],[Pre-leased space (Usable FA) (sf)]]-Table1[[#This Row],[Pre-sold (Usable FA) (sf)]]-Table1[[#This Row],[Self-use space (Usable FA) (sf)]],0)</f>
        <v>171026.50499999998</v>
      </c>
      <c r="AF110" s="86">
        <f>1-SUM(Table1[[#This Row],[Space available for lease (Usable FA) (sf)]:[Space available uncertain of use (Usable FA) (sf)]])/Table1[[#This Row],[Office UFA (Net) (sf)]]</f>
        <v>0</v>
      </c>
      <c r="AG110" s="79" t="s">
        <v>450</v>
      </c>
      <c r="AH110" s="84"/>
      <c r="AI110" s="79" t="s">
        <v>800</v>
      </c>
      <c r="AJ110" s="83">
        <v>41671</v>
      </c>
      <c r="AK110" s="83">
        <v>41671</v>
      </c>
      <c r="AL110" s="85" t="s">
        <v>29</v>
      </c>
      <c r="AM110" s="85" t="s">
        <v>1109</v>
      </c>
      <c r="AN110" s="79" t="s">
        <v>73</v>
      </c>
      <c r="AO110" s="77" t="s">
        <v>1068</v>
      </c>
      <c r="AP110" s="77"/>
      <c r="AQ110" s="77" t="s">
        <v>1110</v>
      </c>
      <c r="AR110" s="79" t="s">
        <v>1733</v>
      </c>
      <c r="AS110" s="79"/>
      <c r="AT110" s="80"/>
      <c r="AU110" s="80"/>
      <c r="AV110" s="77"/>
    </row>
    <row r="111" spans="1:48" ht="15" hidden="1" customHeight="1" x14ac:dyDescent="0.35">
      <c r="A111" s="77"/>
      <c r="B111" s="77" t="s">
        <v>1959</v>
      </c>
      <c r="C111" s="77" t="s">
        <v>1384</v>
      </c>
      <c r="D111" s="77"/>
      <c r="E111" s="79" t="s">
        <v>1</v>
      </c>
      <c r="F111" s="77" t="str">
        <f>VLOOKUP(Table1[[#This Row],[CBRE sub-markets]],Reference!$A$2:$B$31,2,FALSE)</f>
        <v>Central</v>
      </c>
      <c r="G111" s="77">
        <f>VLOOKUP(Table1[[#This Row],[CBRE sub-markets]],Reference!$A$2:$D$31,3,FALSE)</f>
        <v>1</v>
      </c>
      <c r="H111" s="79" t="str">
        <f>VLOOKUP(Table1[[#This Row],[CBRE sub-markets]],Reference!$A$2:$D$31,4,FALSE)</f>
        <v>Hong Kong Island</v>
      </c>
      <c r="I111" s="80">
        <v>2020</v>
      </c>
      <c r="J111" s="80">
        <v>1</v>
      </c>
      <c r="K111" s="81" t="str">
        <f>IF(ISNUMBER(Table1[[#This Row],[Qtr]]),CONCATENATE(Table1[[#This Row],[Year]]," Q",Table1[[#This Row],[Qtr]]),CONCATENATE(Table1[[#This Row],[Year]],Table1[[#This Row],[Qtr]]))</f>
        <v>2020 Q1</v>
      </c>
      <c r="L111" s="80" t="s">
        <v>21</v>
      </c>
      <c r="M111" s="80" t="s">
        <v>84</v>
      </c>
      <c r="N111" s="80">
        <v>1</v>
      </c>
      <c r="O111" s="80">
        <v>25</v>
      </c>
      <c r="P111" s="80"/>
      <c r="Q111" s="82">
        <v>1982</v>
      </c>
      <c r="R111" s="82">
        <f>Table1[[#This Row],[Floor Plate (GFA) (sf)]]*0.75</f>
        <v>1486.5</v>
      </c>
      <c r="S111" s="80" t="str">
        <f t="shared" si="6"/>
        <v>No</v>
      </c>
      <c r="T111" s="82">
        <f>Table1[[#This Row],[Office GFA (sf)]]/10.7639</f>
        <v>3680.4503943737868</v>
      </c>
      <c r="U111" s="82">
        <v>48991</v>
      </c>
      <c r="V111" s="82">
        <f>Table1[[#This Row],[Office GFA (sf)]]/10.7639</f>
        <v>3680.4503943737868</v>
      </c>
      <c r="W111" s="82">
        <f>1958+1982*19</f>
        <v>39616</v>
      </c>
      <c r="X111" s="82">
        <f>V111*0.75</f>
        <v>2760.33779578034</v>
      </c>
      <c r="Y111" s="82">
        <f>W111*0.75</f>
        <v>29712</v>
      </c>
      <c r="Z111" s="82"/>
      <c r="AA111" s="82"/>
      <c r="AB111" s="82"/>
      <c r="AC111" s="82">
        <f>IF(AO111="For Lease",Y111-Z111-AA111-AB111,0)</f>
        <v>29712</v>
      </c>
      <c r="AD111" s="82">
        <f>IF(Table1[[#This Row],[For Sale or For Lease?]]="For Sale",Table1[[#This Row],[Office UFA (Net) (sf)]]-Table1[[#This Row],[Pre-leased space (Usable FA) (sf)]]-Table1[[#This Row],[Pre-sold (Usable FA) (sf)]]-Table1[[#This Row],[Self-use space (Usable FA) (sf)]],0)</f>
        <v>0</v>
      </c>
      <c r="AE111" s="82">
        <f>IF(Table1[[#This Row],[For Sale or For Lease?]]="Uncertain",Table1[[#This Row],[Office UFA (Net) (sf)]]-Table1[[#This Row],[Pre-leased space (Usable FA) (sf)]]-Table1[[#This Row],[Pre-sold (Usable FA) (sf)]]-Table1[[#This Row],[Self-use space (Usable FA) (sf)]],0)</f>
        <v>0</v>
      </c>
      <c r="AF111" s="86">
        <f>1-SUM(Table1[[#This Row],[Space available for lease (Usable FA) (sf)]:[Space available uncertain of use (Usable FA) (sf)]])/Table1[[#This Row],[Office UFA (Net) (sf)]]</f>
        <v>0</v>
      </c>
      <c r="AG111" s="79" t="s">
        <v>89</v>
      </c>
      <c r="AH111" s="84" t="s">
        <v>103</v>
      </c>
      <c r="AI111" s="79" t="s">
        <v>92</v>
      </c>
      <c r="AJ111" s="83">
        <v>43831</v>
      </c>
      <c r="AK111" s="83">
        <v>43922</v>
      </c>
      <c r="AL111" s="85" t="s">
        <v>30</v>
      </c>
      <c r="AM111" s="85" t="s">
        <v>1385</v>
      </c>
      <c r="AN111" s="79" t="s">
        <v>73</v>
      </c>
      <c r="AO111" s="77" t="s">
        <v>705</v>
      </c>
      <c r="AP111" s="77" t="s">
        <v>81</v>
      </c>
      <c r="AQ111" s="77" t="s">
        <v>1386</v>
      </c>
      <c r="AR111" s="79" t="s">
        <v>2399</v>
      </c>
      <c r="AS111" s="79"/>
      <c r="AT111" s="80"/>
      <c r="AU111" s="80"/>
      <c r="AV111" s="77" t="s">
        <v>2224</v>
      </c>
    </row>
    <row r="112" spans="1:48" ht="15" hidden="1" customHeight="1" x14ac:dyDescent="0.35">
      <c r="A112" s="77"/>
      <c r="B112" s="77" t="s">
        <v>1517</v>
      </c>
      <c r="C112" s="77" t="s">
        <v>1518</v>
      </c>
      <c r="D112" s="77"/>
      <c r="E112" s="79" t="s">
        <v>4</v>
      </c>
      <c r="F112" s="77" t="str">
        <f>VLOOKUP(Table1[[#This Row],[CBRE sub-markets]],Reference!$A$2:$B$31,2,FALSE)</f>
        <v>Wan Chai &amp; Causeway Bay</v>
      </c>
      <c r="G112" s="77">
        <f>VLOOKUP(Table1[[#This Row],[CBRE sub-markets]],Reference!$A$2:$D$31,3,FALSE)</f>
        <v>3</v>
      </c>
      <c r="H112" s="79" t="str">
        <f>VLOOKUP(Table1[[#This Row],[CBRE sub-markets]],Reference!$A$2:$D$31,4,FALSE)</f>
        <v>Hong Kong Island</v>
      </c>
      <c r="I112" s="80">
        <v>2020</v>
      </c>
      <c r="J112" s="80">
        <v>1</v>
      </c>
      <c r="K112" s="81" t="str">
        <f>IF(ISNUMBER(Table1[[#This Row],[Qtr]]),CONCATENATE(Table1[[#This Row],[Year]]," Q",Table1[[#This Row],[Qtr]]),CONCATENATE(Table1[[#This Row],[Year]],Table1[[#This Row],[Qtr]]))</f>
        <v>2020 Q1</v>
      </c>
      <c r="L112" s="80" t="s">
        <v>20</v>
      </c>
      <c r="M112" s="80" t="s">
        <v>84</v>
      </c>
      <c r="N112" s="80">
        <v>1</v>
      </c>
      <c r="O112" s="80">
        <v>3</v>
      </c>
      <c r="P112" s="80">
        <v>3</v>
      </c>
      <c r="Q112" s="82">
        <v>7545</v>
      </c>
      <c r="R112" s="82">
        <f>+Table1[[#This Row],[Floor Plate (GFA) (sf)]]*0.8</f>
        <v>6036</v>
      </c>
      <c r="S112" s="80" t="str">
        <f t="shared" si="6"/>
        <v>No</v>
      </c>
      <c r="T112" s="82"/>
      <c r="U112" s="82"/>
      <c r="V112" s="82">
        <f>+Table1[[#This Row],[Office GFA (sf)]]/10.7639</f>
        <v>2170.4029208744041</v>
      </c>
      <c r="W112" s="82">
        <v>23362</v>
      </c>
      <c r="X112" s="82">
        <f>+Table1[[#This Row],[Office GFA (sm)]]*0.8</f>
        <v>1736.3223366995235</v>
      </c>
      <c r="Y112" s="82">
        <f>W112*0.8</f>
        <v>18689.600000000002</v>
      </c>
      <c r="Z112" s="82">
        <v>17521.5</v>
      </c>
      <c r="AA112" s="82"/>
      <c r="AB112" s="82"/>
      <c r="AC112" s="82">
        <f>IF(AO112="For Lease",Y112-Z112-AA112-AB112,0)</f>
        <v>1168.1000000000022</v>
      </c>
      <c r="AD112" s="82">
        <f>IF(Table1[[#This Row],[For Sale or For Lease?]]="For Sale",Table1[[#This Row],[Office UFA (Net) (sf)]]-Table1[[#This Row],[Pre-leased space (Usable FA) (sf)]]-Table1[[#This Row],[Pre-sold (Usable FA) (sf)]]-Table1[[#This Row],[Self-use space (Usable FA) (sf)]],0)</f>
        <v>0</v>
      </c>
      <c r="AE112" s="82">
        <f>IF(Table1[[#This Row],[For Sale or For Lease?]]="Uncertain",Table1[[#This Row],[Office UFA (Net) (sf)]]-Table1[[#This Row],[Pre-leased space (Usable FA) (sf)]]-Table1[[#This Row],[Pre-sold (Usable FA) (sf)]]-Table1[[#This Row],[Self-use space (Usable FA) (sf)]],0)</f>
        <v>0</v>
      </c>
      <c r="AF112" s="86">
        <f>1-SUM(Table1[[#This Row],[Space available for lease (Usable FA) (sf)]:[Space available uncertain of use (Usable FA) (sf)]])/Table1[[#This Row],[Office UFA (Net) (sf)]]</f>
        <v>0.93749999999999989</v>
      </c>
      <c r="AG112" s="79" t="s">
        <v>89</v>
      </c>
      <c r="AH112" s="84"/>
      <c r="AI112" s="79" t="s">
        <v>272</v>
      </c>
      <c r="AJ112" s="83">
        <v>43298</v>
      </c>
      <c r="AK112" s="83">
        <v>43312</v>
      </c>
      <c r="AL112" s="85" t="s">
        <v>275</v>
      </c>
      <c r="AM112" s="85" t="s">
        <v>1519</v>
      </c>
      <c r="AN112" s="79" t="s">
        <v>73</v>
      </c>
      <c r="AO112" s="77" t="s">
        <v>705</v>
      </c>
      <c r="AP112" s="77" t="s">
        <v>81</v>
      </c>
      <c r="AQ112" s="77"/>
      <c r="AR112" s="79" t="s">
        <v>2392</v>
      </c>
      <c r="AS112" s="79"/>
      <c r="AT112" s="80"/>
      <c r="AU112" s="80"/>
      <c r="AV112" s="77"/>
    </row>
    <row r="113" spans="1:48" ht="15" hidden="1" customHeight="1" x14ac:dyDescent="0.35">
      <c r="A113" s="77"/>
      <c r="B113" s="77" t="s">
        <v>2234</v>
      </c>
      <c r="C113" s="77" t="s">
        <v>1567</v>
      </c>
      <c r="D113" s="77"/>
      <c r="E113" s="79" t="s">
        <v>6</v>
      </c>
      <c r="F113" s="77" t="str">
        <f>VLOOKUP(Table1[[#This Row],[CBRE sub-markets]],Reference!$A$2:$B$31,2,FALSE)</f>
        <v>Hong Kong East</v>
      </c>
      <c r="G113" s="77">
        <f>VLOOKUP(Table1[[#This Row],[CBRE sub-markets]],Reference!$A$2:$D$31,3,FALSE)</f>
        <v>4</v>
      </c>
      <c r="H113" s="79" t="str">
        <f>VLOOKUP(Table1[[#This Row],[CBRE sub-markets]],Reference!$A$2:$D$31,4,FALSE)</f>
        <v>Hong Kong Island</v>
      </c>
      <c r="I113" s="80">
        <v>2020</v>
      </c>
      <c r="J113" s="80">
        <v>2</v>
      </c>
      <c r="K113" s="81" t="str">
        <f>IF(ISNUMBER(Table1[[#This Row],[Qtr]]),CONCATENATE(Table1[[#This Row],[Year]]," Q",Table1[[#This Row],[Qtr]]),CONCATENATE(Table1[[#This Row],[Year]],Table1[[#This Row],[Qtr]]))</f>
        <v>2020 Q2</v>
      </c>
      <c r="L113" s="80" t="s">
        <v>21</v>
      </c>
      <c r="M113" s="80" t="s">
        <v>84</v>
      </c>
      <c r="N113" s="80">
        <v>1</v>
      </c>
      <c r="O113" s="80">
        <v>27</v>
      </c>
      <c r="P113" s="80">
        <v>26</v>
      </c>
      <c r="Q113" s="82">
        <f>+Table1[[#This Row],[Office GFA (sf)]]/Table1[[#This Row],[No. of Storeys for Office]]</f>
        <v>2037.8546676923074</v>
      </c>
      <c r="R113" s="82">
        <f>+Table1[[#This Row],[Office UFA (Net) (sf)]]/Table1[[#This Row],[No. of Storeys for Office]]</f>
        <v>1226.7120034615384</v>
      </c>
      <c r="S113" s="80" t="str">
        <f t="shared" si="6"/>
        <v>No</v>
      </c>
      <c r="T113" s="82">
        <v>4922.3999999999996</v>
      </c>
      <c r="U113" s="82">
        <f>+Table1[[#This Row],[Total GFA (sm)]]*10.7639</f>
        <v>52984.221359999996</v>
      </c>
      <c r="V113" s="82">
        <v>4922.3999999999996</v>
      </c>
      <c r="W113" s="82">
        <f>+Table1[[#This Row],[Office GFA (sm)]]*10.7639</f>
        <v>52984.221359999996</v>
      </c>
      <c r="X113" s="82">
        <v>2963.1</v>
      </c>
      <c r="Y113" s="82">
        <f>+Table1[[#This Row],[Office UFA (Net) (sm)]]*10.7639</f>
        <v>31894.512089999997</v>
      </c>
      <c r="Z113" s="82"/>
      <c r="AA113" s="82"/>
      <c r="AB113" s="82"/>
      <c r="AC113" s="82">
        <f>IF(AO113="For Lease",Y113-Z113-AA113-AB113,0)</f>
        <v>0</v>
      </c>
      <c r="AD113" s="82">
        <f>IF(Table1[[#This Row],[For Sale or For Lease?]]="For Sale",Table1[[#This Row],[Office UFA (Net) (sf)]]-Table1[[#This Row],[Pre-leased space (Usable FA) (sf)]]-Table1[[#This Row],[Pre-sold (Usable FA) (sf)]]-Table1[[#This Row],[Self-use space (Usable FA) (sf)]],0)</f>
        <v>31894.512089999997</v>
      </c>
      <c r="AE113" s="82">
        <f>IF(Table1[[#This Row],[For Sale or For Lease?]]="Uncertain",Table1[[#This Row],[Office UFA (Net) (sf)]]-Table1[[#This Row],[Pre-leased space (Usable FA) (sf)]]-Table1[[#This Row],[Pre-sold (Usable FA) (sf)]]-Table1[[#This Row],[Self-use space (Usable FA) (sf)]],0)</f>
        <v>0</v>
      </c>
      <c r="AF113" s="86">
        <f>1-SUM(Table1[[#This Row],[Space available for lease (Usable FA) (sf)]:[Space available uncertain of use (Usable FA) (sf)]])/Table1[[#This Row],[Office UFA (Net) (sf)]]</f>
        <v>0</v>
      </c>
      <c r="AG113" s="79" t="s">
        <v>89</v>
      </c>
      <c r="AH113" s="84" t="s">
        <v>103</v>
      </c>
      <c r="AI113" s="79" t="s">
        <v>92</v>
      </c>
      <c r="AJ113" s="83">
        <v>43374</v>
      </c>
      <c r="AK113" s="83">
        <v>43470</v>
      </c>
      <c r="AL113" s="85" t="s">
        <v>30</v>
      </c>
      <c r="AM113" s="85" t="s">
        <v>2235</v>
      </c>
      <c r="AN113" s="79" t="s">
        <v>73</v>
      </c>
      <c r="AO113" s="77" t="s">
        <v>704</v>
      </c>
      <c r="AP113" s="77" t="s">
        <v>81</v>
      </c>
      <c r="AQ113" s="77"/>
      <c r="AR113" s="79" t="s">
        <v>1742</v>
      </c>
      <c r="AS113" s="79"/>
      <c r="AT113" s="80">
        <v>22.283742901041599</v>
      </c>
      <c r="AU113" s="80">
        <v>114.19187846317</v>
      </c>
      <c r="AV113" s="77" t="s">
        <v>2101</v>
      </c>
    </row>
    <row r="114" spans="1:48" ht="15" hidden="1" customHeight="1" x14ac:dyDescent="0.35">
      <c r="A114" s="77"/>
      <c r="B114" s="77" t="s">
        <v>1858</v>
      </c>
      <c r="C114" s="77" t="s">
        <v>1061</v>
      </c>
      <c r="D114" s="77"/>
      <c r="E114" s="79" t="s">
        <v>2</v>
      </c>
      <c r="F114" s="77" t="str">
        <f>VLOOKUP(Table1[[#This Row],[CBRE sub-markets]],Reference!$A$2:$B$31,2,FALSE)</f>
        <v>Admiralty &amp; Sheung Wan</v>
      </c>
      <c r="G114" s="77">
        <f>VLOOKUP(Table1[[#This Row],[CBRE sub-markets]],Reference!$A$2:$D$31,3,FALSE)</f>
        <v>2</v>
      </c>
      <c r="H114" s="79" t="str">
        <f>VLOOKUP(Table1[[#This Row],[CBRE sub-markets]],Reference!$A$2:$D$31,4,FALSE)</f>
        <v>Hong Kong Island</v>
      </c>
      <c r="I114" s="80">
        <v>2020</v>
      </c>
      <c r="J114" s="80">
        <v>2</v>
      </c>
      <c r="K114" s="81" t="str">
        <f>IF(ISNUMBER(Table1[[#This Row],[Qtr]]),CONCATENATE(Table1[[#This Row],[Year]]," Q",Table1[[#This Row],[Qtr]]),CONCATENATE(Table1[[#This Row],[Year]],Table1[[#This Row],[Qtr]]))</f>
        <v>2020 Q2</v>
      </c>
      <c r="L114" s="80" t="s">
        <v>21</v>
      </c>
      <c r="M114" s="80" t="s">
        <v>84</v>
      </c>
      <c r="N114" s="80">
        <v>1</v>
      </c>
      <c r="O114" s="80">
        <v>28</v>
      </c>
      <c r="P114" s="80"/>
      <c r="Q114" s="82">
        <f>W114/O114</f>
        <v>2160.873</v>
      </c>
      <c r="R114" s="82">
        <f>Y114/O114</f>
        <v>1620.6547499999999</v>
      </c>
      <c r="S114" s="80" t="str">
        <f t="shared" si="6"/>
        <v>No</v>
      </c>
      <c r="T114" s="82"/>
      <c r="U114" s="82"/>
      <c r="V114" s="82">
        <v>5621</v>
      </c>
      <c r="W114" s="82">
        <f>IF(ISBLANK(V114),"",V114*10.764)</f>
        <v>60504.443999999996</v>
      </c>
      <c r="X114" s="82">
        <f>V114*0.75</f>
        <v>4215.75</v>
      </c>
      <c r="Y114" s="82">
        <f>W114*0.75</f>
        <v>45378.332999999999</v>
      </c>
      <c r="Z114" s="82"/>
      <c r="AA114" s="82"/>
      <c r="AB114" s="82"/>
      <c r="AC114" s="82">
        <f>IF(Table1[[#This Row],[For Sale or For Lease?]]="For Lease",Table1[[#This Row],[Office UFA (Net) (sf)]]-Table1[[#This Row],[Pre-leased space (Usable FA) (sf)]]-Table1[[#This Row],[Pre-sold (Usable FA) (sf)]]-Table1[[#This Row],[Self-use space (Usable FA) (sf)]],0)</f>
        <v>45378.332999999999</v>
      </c>
      <c r="AD114" s="82">
        <f>IF(Table1[[#This Row],[For Sale or For Lease?]]="For Sale",Table1[[#This Row],[Office UFA (Net) (sf)]]-Table1[[#This Row],[Pre-leased space (Usable FA) (sf)]]-Table1[[#This Row],[Pre-sold (Usable FA) (sf)]]-Table1[[#This Row],[Self-use space (Usable FA) (sf)]],0)</f>
        <v>0</v>
      </c>
      <c r="AE114" s="82">
        <f>IF(Table1[[#This Row],[For Sale or For Lease?]]="Uncertain",Table1[[#This Row],[Office UFA (Net) (sf)]]-Table1[[#This Row],[Pre-leased space (Usable FA) (sf)]]-Table1[[#This Row],[Pre-sold (Usable FA) (sf)]]-Table1[[#This Row],[Self-use space (Usable FA) (sf)]],0)</f>
        <v>0</v>
      </c>
      <c r="AF114" s="86">
        <f>1-SUM(Table1[[#This Row],[Space available for lease (Usable FA) (sf)]:[Space available uncertain of use (Usable FA) (sf)]])/Table1[[#This Row],[Office UFA (Net) (sf)]]</f>
        <v>0</v>
      </c>
      <c r="AG114" s="79" t="s">
        <v>89</v>
      </c>
      <c r="AH114" s="84" t="s">
        <v>90</v>
      </c>
      <c r="AI114" s="79" t="s">
        <v>92</v>
      </c>
      <c r="AJ114" s="83">
        <v>43952</v>
      </c>
      <c r="AK114" s="83">
        <v>43282</v>
      </c>
      <c r="AL114" s="85" t="s">
        <v>30</v>
      </c>
      <c r="AM114" s="85" t="s">
        <v>1132</v>
      </c>
      <c r="AN114" s="79" t="s">
        <v>73</v>
      </c>
      <c r="AO114" s="77" t="s">
        <v>705</v>
      </c>
      <c r="AP114" s="77" t="s">
        <v>81</v>
      </c>
      <c r="AQ114" s="77"/>
      <c r="AR114" s="79" t="s">
        <v>1729</v>
      </c>
      <c r="AS114" s="79"/>
      <c r="AT114" s="80"/>
      <c r="AU114" s="80"/>
      <c r="AV114" s="77" t="s">
        <v>2223</v>
      </c>
    </row>
    <row r="115" spans="1:48" ht="15" hidden="1" customHeight="1" x14ac:dyDescent="0.35">
      <c r="A115" s="77"/>
      <c r="B115" s="77" t="s">
        <v>1855</v>
      </c>
      <c r="C115" s="77" t="s">
        <v>1370</v>
      </c>
      <c r="D115" s="77" t="s">
        <v>1371</v>
      </c>
      <c r="E115" s="79" t="s">
        <v>15</v>
      </c>
      <c r="F115" s="77" t="str">
        <f>VLOOKUP(Table1[[#This Row],[CBRE sub-markets]],Reference!$A$2:$B$31,2,FALSE)</f>
        <v>New Territories</v>
      </c>
      <c r="G115" s="77">
        <f>VLOOKUP(Table1[[#This Row],[CBRE sub-markets]],Reference!$A$2:$D$31,3,FALSE)</f>
        <v>9</v>
      </c>
      <c r="H115" s="79" t="str">
        <f>VLOOKUP(Table1[[#This Row],[CBRE sub-markets]],Reference!$A$2:$D$31,4,FALSE)</f>
        <v>New Territories</v>
      </c>
      <c r="I115" s="80">
        <v>2020</v>
      </c>
      <c r="J115" s="80">
        <v>2</v>
      </c>
      <c r="K115" s="81" t="str">
        <f>IF(ISNUMBER(Table1[[#This Row],[Qtr]]),CONCATENATE(Table1[[#This Row],[Year]]," Q",Table1[[#This Row],[Qtr]]),CONCATENATE(Table1[[#This Row],[Year]],Table1[[#This Row],[Qtr]]))</f>
        <v>2020 Q2</v>
      </c>
      <c r="L115" s="80" t="s">
        <v>20</v>
      </c>
      <c r="M115" s="80" t="s">
        <v>84</v>
      </c>
      <c r="N115" s="80">
        <v>1</v>
      </c>
      <c r="O115" s="80">
        <f>ROUNDUP(29475/61255*37,0)</f>
        <v>18</v>
      </c>
      <c r="P115" s="80"/>
      <c r="Q115" s="82">
        <v>23211</v>
      </c>
      <c r="R115" s="82">
        <v>16247.699999999999</v>
      </c>
      <c r="S115" s="80" t="str">
        <f t="shared" si="6"/>
        <v>Yes</v>
      </c>
      <c r="T115" s="82"/>
      <c r="U115" s="82"/>
      <c r="V115" s="82">
        <f>Table1[[#This Row],[Office GFA (sf)]]/10.7639</f>
        <v>37102.444281347838</v>
      </c>
      <c r="W115" s="82">
        <v>399367</v>
      </c>
      <c r="X115" s="82">
        <f>Table1[[#This Row],[Office UFA (Net) (sf)]]/10.7639</f>
        <v>25971.710996943486</v>
      </c>
      <c r="Y115" s="82">
        <v>279556.89999999997</v>
      </c>
      <c r="Z115" s="82"/>
      <c r="AA115" s="82"/>
      <c r="AB115" s="82"/>
      <c r="AC115" s="82">
        <f>IF(Table1[[#This Row],[For Sale or For Lease?]]="For Lease",Table1[[#This Row],[Office UFA (Net) (sf)]]-Table1[[#This Row],[Pre-leased space (Usable FA) (sf)]]-Table1[[#This Row],[Pre-sold (Usable FA) (sf)]]-Table1[[#This Row],[Self-use space (Usable FA) (sf)]],0)</f>
        <v>279556.89999999997</v>
      </c>
      <c r="AD115" s="82">
        <f>IF(Table1[[#This Row],[For Sale or For Lease?]]="For Sale",Table1[[#This Row],[Office UFA (Net) (sf)]]-Table1[[#This Row],[Pre-leased space (Usable FA) (sf)]]-Table1[[#This Row],[Pre-sold (Usable FA) (sf)]]-Table1[[#This Row],[Self-use space (Usable FA) (sf)]],0)</f>
        <v>0</v>
      </c>
      <c r="AE115" s="82">
        <f>IF(Table1[[#This Row],[For Sale or For Lease?]]="Uncertain",Table1[[#This Row],[Office UFA (Net) (sf)]]-Table1[[#This Row],[Pre-leased space (Usable FA) (sf)]]-Table1[[#This Row],[Pre-sold (Usable FA) (sf)]]-Table1[[#This Row],[Self-use space (Usable FA) (sf)]],0)</f>
        <v>0</v>
      </c>
      <c r="AF115" s="86">
        <f>1-SUM(Table1[[#This Row],[Space available for lease (Usable FA) (sf)]:[Space available uncertain of use (Usable FA) (sf)]])/Table1[[#This Row],[Office UFA (Net) (sf)]]</f>
        <v>0</v>
      </c>
      <c r="AG115" s="79" t="s">
        <v>1372</v>
      </c>
      <c r="AH115" s="84" t="s">
        <v>103</v>
      </c>
      <c r="AI115" s="79" t="s">
        <v>92</v>
      </c>
      <c r="AJ115" s="83">
        <v>43831</v>
      </c>
      <c r="AK115" s="83">
        <v>43862</v>
      </c>
      <c r="AL115" s="85" t="s">
        <v>29</v>
      </c>
      <c r="AM115" s="85" t="s">
        <v>501</v>
      </c>
      <c r="AN115" s="79" t="s">
        <v>74</v>
      </c>
      <c r="AO115" s="77" t="s">
        <v>705</v>
      </c>
      <c r="AP115" s="77" t="s">
        <v>81</v>
      </c>
      <c r="AQ115" s="77" t="s">
        <v>1373</v>
      </c>
      <c r="AR115" s="79" t="s">
        <v>2371</v>
      </c>
      <c r="AS115" s="79"/>
      <c r="AT115" s="80"/>
      <c r="AU115" s="80"/>
      <c r="AV115" s="77"/>
    </row>
    <row r="116" spans="1:48" ht="15" hidden="1" customHeight="1" x14ac:dyDescent="0.35">
      <c r="A116" s="77"/>
      <c r="B116" s="77" t="s">
        <v>1545</v>
      </c>
      <c r="C116" s="77" t="s">
        <v>1699</v>
      </c>
      <c r="D116" s="77" t="s">
        <v>1288</v>
      </c>
      <c r="E116" s="79" t="s">
        <v>57</v>
      </c>
      <c r="F116" s="77" t="str">
        <f>VLOOKUP(Table1[[#This Row],[CBRE sub-markets]],Reference!$A$2:$B$31,2,FALSE)</f>
        <v>New Territories</v>
      </c>
      <c r="G116" s="77">
        <f>VLOOKUP(Table1[[#This Row],[CBRE sub-markets]],Reference!$A$2:$D$31,3,FALSE)</f>
        <v>9</v>
      </c>
      <c r="H116" s="79" t="str">
        <f>VLOOKUP(Table1[[#This Row],[CBRE sub-markets]],Reference!$A$2:$D$31,4,FALSE)</f>
        <v>New Territories</v>
      </c>
      <c r="I116" s="80">
        <v>2020</v>
      </c>
      <c r="J116" s="80">
        <v>3</v>
      </c>
      <c r="K116" s="81" t="str">
        <f>IF(ISNUMBER(Table1[[#This Row],[Qtr]]),CONCATENATE(Table1[[#This Row],[Year]]," Q",Table1[[#This Row],[Qtr]]),CONCATENATE(Table1[[#This Row],[Year]],Table1[[#This Row],[Qtr]]))</f>
        <v>2020 Q3</v>
      </c>
      <c r="L116" s="80" t="s">
        <v>21</v>
      </c>
      <c r="M116" s="80" t="s">
        <v>84</v>
      </c>
      <c r="N116" s="80">
        <v>1</v>
      </c>
      <c r="O116" s="80" t="s">
        <v>1455</v>
      </c>
      <c r="P116" s="80">
        <v>24</v>
      </c>
      <c r="Q116" s="82">
        <v>10171</v>
      </c>
      <c r="R116" s="82">
        <v>6108</v>
      </c>
      <c r="S116" s="80" t="str">
        <f t="shared" si="6"/>
        <v>No</v>
      </c>
      <c r="T116" s="82">
        <v>20262.858162129622</v>
      </c>
      <c r="U116" s="82">
        <f>+Table1[[#This Row],[Total GFA (sm)]]*10.7639</f>
        <v>218107.37897134703</v>
      </c>
      <c r="V116" s="82">
        <v>20262.858162129622</v>
      </c>
      <c r="W116" s="82">
        <f>V116*10.7639</f>
        <v>218107.37897134703</v>
      </c>
      <c r="X116" s="82">
        <v>12143.649467947729</v>
      </c>
      <c r="Y116" s="82">
        <f>+Table1[[#This Row],[Office UFA (Net) (sm)]]*10.7639</f>
        <v>130713.02850804255</v>
      </c>
      <c r="Z116" s="82"/>
      <c r="AA116" s="82">
        <f>4006+649+1028+889+663</f>
        <v>7235</v>
      </c>
      <c r="AB116" s="82"/>
      <c r="AC116" s="82">
        <f>IF(AO116="For Lease",Y116-Z116-AA116-AB116,0)</f>
        <v>0</v>
      </c>
      <c r="AD116" s="82">
        <f>IF(Table1[[#This Row],[For Sale or For Lease?]]="For Sale",Table1[[#This Row],[Office UFA (Net) (sf)]]-Table1[[#This Row],[Pre-leased space (Usable FA) (sf)]]-Table1[[#This Row],[Pre-sold (Usable FA) (sf)]]-Table1[[#This Row],[Self-use space (Usable FA) (sf)]],0)</f>
        <v>123478.02850804255</v>
      </c>
      <c r="AE116" s="82">
        <f>IF(Table1[[#This Row],[For Sale or For Lease?]]="Uncertain",Table1[[#This Row],[Office UFA (Net) (sf)]]-Table1[[#This Row],[Pre-leased space (Usable FA) (sf)]]-Table1[[#This Row],[Pre-sold (Usable FA) (sf)]]-Table1[[#This Row],[Self-use space (Usable FA) (sf)]],0)</f>
        <v>0</v>
      </c>
      <c r="AF116" s="86">
        <f>1-SUM(Table1[[#This Row],[Space available for lease (Usable FA) (sf)]:[Space available uncertain of use (Usable FA) (sf)]])/Table1[[#This Row],[Office UFA (Net) (sf)]]</f>
        <v>5.5350259133157831E-2</v>
      </c>
      <c r="AG116" s="79" t="s">
        <v>450</v>
      </c>
      <c r="AH116" s="84" t="s">
        <v>103</v>
      </c>
      <c r="AI116" s="79" t="s">
        <v>1289</v>
      </c>
      <c r="AJ116" s="83">
        <v>44044</v>
      </c>
      <c r="AK116" s="83">
        <v>44105</v>
      </c>
      <c r="AL116" s="85" t="s">
        <v>29</v>
      </c>
      <c r="AM116" s="85" t="s">
        <v>114</v>
      </c>
      <c r="AN116" s="79" t="s">
        <v>73</v>
      </c>
      <c r="AO116" s="77" t="s">
        <v>704</v>
      </c>
      <c r="AP116" s="77" t="s">
        <v>82</v>
      </c>
      <c r="AQ116" s="77" t="s">
        <v>1290</v>
      </c>
      <c r="AR116" s="79" t="s">
        <v>1735</v>
      </c>
      <c r="AS116" s="79"/>
      <c r="AT116" s="80"/>
      <c r="AU116" s="80"/>
      <c r="AV116" s="77" t="s">
        <v>2225</v>
      </c>
    </row>
    <row r="117" spans="1:48" ht="15" hidden="1" customHeight="1" x14ac:dyDescent="0.35">
      <c r="A117" s="77"/>
      <c r="B117" s="77" t="s">
        <v>1701</v>
      </c>
      <c r="C117" s="77" t="s">
        <v>1701</v>
      </c>
      <c r="D117" s="77"/>
      <c r="E117" s="79" t="s">
        <v>15</v>
      </c>
      <c r="F117" s="77" t="str">
        <f>VLOOKUP(Table1[[#This Row],[CBRE sub-markets]],Reference!$A$2:$B$31,2,FALSE)</f>
        <v>New Territories</v>
      </c>
      <c r="G117" s="77">
        <f>VLOOKUP(Table1[[#This Row],[CBRE sub-markets]],Reference!$A$2:$D$31,3,FALSE)</f>
        <v>9</v>
      </c>
      <c r="H117" s="79" t="str">
        <f>VLOOKUP(Table1[[#This Row],[CBRE sub-markets]],Reference!$A$2:$D$31,4,FALSE)</f>
        <v>New Territories</v>
      </c>
      <c r="I117" s="80">
        <v>2020</v>
      </c>
      <c r="J117" s="80"/>
      <c r="K117" s="81" t="str">
        <f>IF(ISNUMBER(Table1[[#This Row],[Qtr]]),CONCATENATE(Table1[[#This Row],[Year]]," Q",Table1[[#This Row],[Qtr]]),CONCATENATE(Table1[[#This Row],[Year]],Table1[[#This Row],[Qtr]]))</f>
        <v>2020</v>
      </c>
      <c r="L117" s="80" t="s">
        <v>21</v>
      </c>
      <c r="M117" s="80" t="s">
        <v>84</v>
      </c>
      <c r="N117" s="80">
        <v>1</v>
      </c>
      <c r="O117" s="80" t="s">
        <v>1702</v>
      </c>
      <c r="P117" s="80">
        <v>18</v>
      </c>
      <c r="Q117" s="82">
        <f>+Table1[[#This Row],[Total GFA (sf)]]/Table1[[#This Row],[No. of Storeys for Office]]</f>
        <v>3196.5793027777777</v>
      </c>
      <c r="R117" s="82">
        <f>Table1[[#This Row],[Office UFA (Net) (sf)]]/Table1[[#This Row],[No. of Storeys for Office]]</f>
        <v>2232.4328599999999</v>
      </c>
      <c r="S117" s="80" t="str">
        <f t="shared" si="6"/>
        <v>No</v>
      </c>
      <c r="T117" s="82">
        <v>5345.5</v>
      </c>
      <c r="U117" s="82">
        <f>Table1[[#This Row],[Total GFA (sm)]]*10.7639</f>
        <v>57538.427449999996</v>
      </c>
      <c r="V117" s="82">
        <v>5345.5</v>
      </c>
      <c r="W117" s="82">
        <f>+Table1[[#This Row],[Total GFA (sf)]]*0.75</f>
        <v>43153.820587499999</v>
      </c>
      <c r="X117" s="82">
        <v>3733.2</v>
      </c>
      <c r="Y117" s="82">
        <f>+Table1[[#This Row],[Office UFA (Net) (sm)]]*10.7639</f>
        <v>40183.79148</v>
      </c>
      <c r="Z117" s="82"/>
      <c r="AA117" s="82"/>
      <c r="AB117" s="82"/>
      <c r="AC117" s="82">
        <f>IF(AO117="For Lease",Y117-Z117-AA117-AB117,0)</f>
        <v>0</v>
      </c>
      <c r="AD117" s="82">
        <f>IF(Table1[[#This Row],[For Sale or For Lease?]]="For Sale",Table1[[#This Row],[Office UFA (Net) (sf)]]-Table1[[#This Row],[Pre-leased space (Usable FA) (sf)]]-Table1[[#This Row],[Pre-sold (Usable FA) (sf)]]-Table1[[#This Row],[Self-use space (Usable FA) (sf)]],0)</f>
        <v>0</v>
      </c>
      <c r="AE117" s="82">
        <f>IF(Table1[[#This Row],[For Sale or For Lease?]]="Uncertain",Table1[[#This Row],[Office UFA (Net) (sf)]]-Table1[[#This Row],[Pre-leased space (Usable FA) (sf)]]-Table1[[#This Row],[Pre-sold (Usable FA) (sf)]]-Table1[[#This Row],[Self-use space (Usable FA) (sf)]],0)</f>
        <v>40183.79148</v>
      </c>
      <c r="AF117" s="86">
        <f>1-SUM(Table1[[#This Row],[Space available for lease (Usable FA) (sf)]:[Space available uncertain of use (Usable FA) (sf)]])/Table1[[#This Row],[Office UFA (Net) (sf)]]</f>
        <v>0</v>
      </c>
      <c r="AG117" s="79" t="s">
        <v>89</v>
      </c>
      <c r="AH117" s="84" t="s">
        <v>103</v>
      </c>
      <c r="AI117" s="79" t="s">
        <v>92</v>
      </c>
      <c r="AJ117" s="83">
        <v>44075</v>
      </c>
      <c r="AK117" s="83">
        <v>44136</v>
      </c>
      <c r="AL117" s="85" t="s">
        <v>30</v>
      </c>
      <c r="AM117" s="85" t="s">
        <v>1703</v>
      </c>
      <c r="AN117" s="79" t="s">
        <v>73</v>
      </c>
      <c r="AO117" s="77" t="s">
        <v>1068</v>
      </c>
      <c r="AP117" s="77" t="s">
        <v>1068</v>
      </c>
      <c r="AQ117" s="77"/>
      <c r="AR117" s="79" t="s">
        <v>1937</v>
      </c>
      <c r="AS117" s="79"/>
      <c r="AT117" s="80">
        <v>22.30724</v>
      </c>
      <c r="AU117" s="80">
        <v>114.17195</v>
      </c>
      <c r="AV117" s="77" t="s">
        <v>2143</v>
      </c>
    </row>
    <row r="118" spans="1:48" ht="15" hidden="1" customHeight="1" x14ac:dyDescent="0.35">
      <c r="A118" s="77"/>
      <c r="B118" s="77" t="s">
        <v>1861</v>
      </c>
      <c r="C118" s="77" t="s">
        <v>1659</v>
      </c>
      <c r="D118" s="77"/>
      <c r="E118" s="79" t="s">
        <v>130</v>
      </c>
      <c r="F118" s="77" t="str">
        <f>VLOOKUP(Table1[[#This Row],[CBRE sub-markets]],Reference!$A$2:$B$31,2,FALSE)</f>
        <v>Wong Chuk Hang</v>
      </c>
      <c r="G118" s="77">
        <f>VLOOKUP(Table1[[#This Row],[CBRE sub-markets]],Reference!$A$2:$D$31,3,FALSE)</f>
        <v>5</v>
      </c>
      <c r="H118" s="79" t="str">
        <f>VLOOKUP(Table1[[#This Row],[CBRE sub-markets]],Reference!$A$2:$D$31,4,FALSE)</f>
        <v>Hong Kong Island</v>
      </c>
      <c r="I118" s="80">
        <v>2021</v>
      </c>
      <c r="J118" s="80">
        <v>1</v>
      </c>
      <c r="K118" s="81" t="str">
        <f>IF(ISNUMBER(Table1[[#This Row],[Qtr]]),CONCATENATE(Table1[[#This Row],[Year]]," Q",Table1[[#This Row],[Qtr]]),CONCATENATE(Table1[[#This Row],[Year]],Table1[[#This Row],[Qtr]]))</f>
        <v>2021 Q1</v>
      </c>
      <c r="L118" s="80" t="s">
        <v>21</v>
      </c>
      <c r="M118" s="80" t="s">
        <v>84</v>
      </c>
      <c r="N118" s="80">
        <v>1</v>
      </c>
      <c r="O118" s="80" t="s">
        <v>425</v>
      </c>
      <c r="P118" s="80">
        <v>24</v>
      </c>
      <c r="Q118" s="82">
        <f>Table1[[#This Row],[Office GFA (sf)]]/24</f>
        <v>6124.6142504166664</v>
      </c>
      <c r="R118" s="82">
        <f>Table1[[#This Row],[Office UFA (Net) (sf)]]/24</f>
        <v>3651.9221725000002</v>
      </c>
      <c r="S118" s="80" t="str">
        <f t="shared" si="6"/>
        <v>No</v>
      </c>
      <c r="T118" s="82">
        <v>13655.9</v>
      </c>
      <c r="U118" s="82">
        <f>+Table1[[#This Row],[Total GFA (sm)]]*10.7639</f>
        <v>146990.74200999999</v>
      </c>
      <c r="V118" s="82">
        <v>13655.9</v>
      </c>
      <c r="W118" s="82">
        <f>+Table1[[#This Row],[Office GFA (sm)]]*10.7639</f>
        <v>146990.74200999999</v>
      </c>
      <c r="X118" s="82">
        <v>8142.6</v>
      </c>
      <c r="Y118" s="82">
        <f>+Table1[[#This Row],[Office UFA (Net) (sm)]]*10.7639</f>
        <v>87646.132140000002</v>
      </c>
      <c r="Z118" s="82"/>
      <c r="AA118" s="82"/>
      <c r="AB118" s="82"/>
      <c r="AC118" s="82">
        <f>IF(Table1[[#This Row],[For Sale or For Lease?]]="For Lease",Table1[[#This Row],[Office UFA (Net) (sf)]]-Table1[[#This Row],[Pre-leased space (Usable FA) (sf)]]-Table1[[#This Row],[Pre-sold (Usable FA) (sf)]]-Table1[[#This Row],[Self-use space (Usable FA) (sf)]],0)</f>
        <v>87646.132140000002</v>
      </c>
      <c r="AD118" s="82">
        <f>IF(Table1[[#This Row],[For Sale or For Lease?]]="For Sale",Table1[[#This Row],[Office UFA (Net) (sf)]]-Table1[[#This Row],[Pre-leased space (Usable FA) (sf)]]-Table1[[#This Row],[Pre-sold (Usable FA) (sf)]]-Table1[[#This Row],[Self-use space (Usable FA) (sf)]],0)</f>
        <v>0</v>
      </c>
      <c r="AE118" s="82">
        <f>IF(Table1[[#This Row],[For Sale or For Lease?]]="Uncertain",Table1[[#This Row],[Office UFA (Net) (sf)]]-Table1[[#This Row],[Pre-leased space (Usable FA) (sf)]]-Table1[[#This Row],[Pre-sold (Usable FA) (sf)]]-Table1[[#This Row],[Self-use space (Usable FA) (sf)]],0)</f>
        <v>0</v>
      </c>
      <c r="AF118" s="86">
        <f>1-SUM(Table1[[#This Row],[Space available for lease (Usable FA) (sf)]:[Space available uncertain of use (Usable FA) (sf)]])/Table1[[#This Row],[Office UFA (Net) (sf)]]</f>
        <v>0</v>
      </c>
      <c r="AG118" s="79" t="s">
        <v>89</v>
      </c>
      <c r="AH118" s="84" t="s">
        <v>103</v>
      </c>
      <c r="AI118" s="79" t="s">
        <v>92</v>
      </c>
      <c r="AJ118" s="83">
        <v>44256</v>
      </c>
      <c r="AK118" s="83">
        <v>44317</v>
      </c>
      <c r="AL118" s="85" t="s">
        <v>30</v>
      </c>
      <c r="AM118" s="85" t="s">
        <v>1244</v>
      </c>
      <c r="AN118" s="79" t="s">
        <v>73</v>
      </c>
      <c r="AO118" s="77" t="s">
        <v>705</v>
      </c>
      <c r="AP118" s="77" t="s">
        <v>81</v>
      </c>
      <c r="AQ118" s="77" t="s">
        <v>1446</v>
      </c>
      <c r="AR118" s="79" t="s">
        <v>2400</v>
      </c>
      <c r="AS118" s="79"/>
      <c r="AT118" s="80"/>
      <c r="AU118" s="80"/>
      <c r="AV118" s="77" t="s">
        <v>2226</v>
      </c>
    </row>
    <row r="119" spans="1:48" ht="15" hidden="1" customHeight="1" x14ac:dyDescent="0.35">
      <c r="A119" s="77"/>
      <c r="B119" s="77" t="s">
        <v>1448</v>
      </c>
      <c r="C119" s="77" t="s">
        <v>1449</v>
      </c>
      <c r="D119" s="77"/>
      <c r="E119" s="79" t="s">
        <v>2</v>
      </c>
      <c r="F119" s="77" t="str">
        <f>VLOOKUP(Table1[[#This Row],[CBRE sub-markets]],Reference!$A$2:$B$31,2,FALSE)</f>
        <v>Admiralty &amp; Sheung Wan</v>
      </c>
      <c r="G119" s="77">
        <f>VLOOKUP(Table1[[#This Row],[CBRE sub-markets]],Reference!$A$2:$D$31,3,FALSE)</f>
        <v>2</v>
      </c>
      <c r="H119" s="79" t="str">
        <f>VLOOKUP(Table1[[#This Row],[CBRE sub-markets]],Reference!$A$2:$D$31,4,FALSE)</f>
        <v>Hong Kong Island</v>
      </c>
      <c r="I119" s="80">
        <v>2021</v>
      </c>
      <c r="J119" s="80">
        <v>2</v>
      </c>
      <c r="K119" s="81" t="str">
        <f>IF(ISNUMBER(Table1[[#This Row],[Qtr]]),CONCATENATE(Table1[[#This Row],[Year]]," Q",Table1[[#This Row],[Qtr]]),CONCATENATE(Table1[[#This Row],[Year]],Table1[[#This Row],[Qtr]]))</f>
        <v>2021 Q2</v>
      </c>
      <c r="L119" s="80" t="s">
        <v>21</v>
      </c>
      <c r="M119" s="80" t="s">
        <v>86</v>
      </c>
      <c r="N119" s="80">
        <v>1</v>
      </c>
      <c r="O119" s="80">
        <v>25</v>
      </c>
      <c r="P119" s="80"/>
      <c r="Q119" s="82">
        <f>Table1[[#This Row],[Office GFA (sf)]]/Table1[[#This Row],[No. of Storeys]]</f>
        <v>5636.4085959999993</v>
      </c>
      <c r="R119" s="82">
        <f>Table1[[#This Row],[Office UFA (Net) (sf)]]/Table1[[#This Row],[No. of Storeys]]</f>
        <v>4227.306446999999</v>
      </c>
      <c r="S119" s="80" t="str">
        <f t="shared" si="6"/>
        <v>No</v>
      </c>
      <c r="T119" s="82"/>
      <c r="U119" s="82"/>
      <c r="V119" s="82">
        <v>13091</v>
      </c>
      <c r="W119" s="82">
        <f>Table1[[#This Row],[Office GFA (sm)]]*10.7639</f>
        <v>140910.21489999999</v>
      </c>
      <c r="X119" s="82">
        <f>Table1[[#This Row],[Office GFA (sm)]]*0.75</f>
        <v>9818.25</v>
      </c>
      <c r="Y119" s="82">
        <f>Table1[[#This Row],[Office GFA (sf)]]*0.75</f>
        <v>105682.66117499999</v>
      </c>
      <c r="Z119" s="82"/>
      <c r="AA119" s="82"/>
      <c r="AB119" s="82"/>
      <c r="AC119" s="82">
        <f>IF(Table1[[#This Row],[For Sale or For Lease?]]="For Lease",Table1[[#This Row],[Office UFA (Net) (sf)]]-Table1[[#This Row],[Pre-leased space (Usable FA) (sf)]]-Table1[[#This Row],[Pre-sold (Usable FA) (sf)]]-Table1[[#This Row],[Self-use space (Usable FA) (sf)]],0)</f>
        <v>105682.66117499999</v>
      </c>
      <c r="AD119" s="82">
        <f>IF(Table1[[#This Row],[For Sale or For Lease?]]="For Sale",Table1[[#This Row],[Office UFA (Net) (sf)]]-Table1[[#This Row],[Pre-leased space (Usable FA) (sf)]]-Table1[[#This Row],[Pre-sold (Usable FA) (sf)]]-Table1[[#This Row],[Self-use space (Usable FA) (sf)]],0)</f>
        <v>0</v>
      </c>
      <c r="AE119" s="82">
        <f>IF(Table1[[#This Row],[For Sale or For Lease?]]="Uncertain",Table1[[#This Row],[Office UFA (Net) (sf)]]-Table1[[#This Row],[Pre-leased space (Usable FA) (sf)]]-Table1[[#This Row],[Pre-sold (Usable FA) (sf)]]-Table1[[#This Row],[Self-use space (Usable FA) (sf)]],0)</f>
        <v>0</v>
      </c>
      <c r="AF119" s="86">
        <f>1-SUM(Table1[[#This Row],[Space available for lease (Usable FA) (sf)]:[Space available uncertain of use (Usable FA) (sf)]])/Table1[[#This Row],[Office UFA (Net) (sf)]]</f>
        <v>0</v>
      </c>
      <c r="AG119" s="79" t="s">
        <v>89</v>
      </c>
      <c r="AH119" s="84" t="s">
        <v>138</v>
      </c>
      <c r="AI119" s="79" t="s">
        <v>92</v>
      </c>
      <c r="AJ119" s="83">
        <v>43039</v>
      </c>
      <c r="AK119" s="83">
        <v>43103</v>
      </c>
      <c r="AL119" s="85" t="s">
        <v>30</v>
      </c>
      <c r="AM119" s="85" t="s">
        <v>1450</v>
      </c>
      <c r="AN119" s="79" t="s">
        <v>73</v>
      </c>
      <c r="AO119" s="77" t="s">
        <v>705</v>
      </c>
      <c r="AP119" s="77" t="s">
        <v>81</v>
      </c>
      <c r="AQ119" s="77" t="s">
        <v>2245</v>
      </c>
      <c r="AR119" s="79" t="s">
        <v>1736</v>
      </c>
      <c r="AS119" s="79"/>
      <c r="AT119" s="80">
        <v>22.2775</v>
      </c>
      <c r="AU119" s="80">
        <v>114.16633</v>
      </c>
      <c r="AV119" s="77" t="s">
        <v>2093</v>
      </c>
    </row>
    <row r="120" spans="1:48" ht="15" hidden="1" customHeight="1" x14ac:dyDescent="0.35">
      <c r="A120" s="77"/>
      <c r="B120" s="77" t="s">
        <v>1892</v>
      </c>
      <c r="C120" s="77" t="s">
        <v>1889</v>
      </c>
      <c r="D120" s="77" t="s">
        <v>1922</v>
      </c>
      <c r="E120" s="79" t="s">
        <v>15</v>
      </c>
      <c r="F120" s="77" t="str">
        <f>VLOOKUP(Table1[[#This Row],[CBRE sub-markets]],Reference!$A$2:$B$31,2,FALSE)</f>
        <v>New Territories</v>
      </c>
      <c r="G120" s="77">
        <f>VLOOKUP(Table1[[#This Row],[CBRE sub-markets]],Reference!$A$2:$D$31,3,FALSE)</f>
        <v>9</v>
      </c>
      <c r="H120" s="79" t="str">
        <f>VLOOKUP(Table1[[#This Row],[CBRE sub-markets]],Reference!$A$2:$D$31,4,FALSE)</f>
        <v>New Territories</v>
      </c>
      <c r="I120" s="80">
        <v>2021</v>
      </c>
      <c r="J120" s="80">
        <v>2</v>
      </c>
      <c r="K120" s="81" t="str">
        <f>IF(ISNUMBER(Table1[[#This Row],[Qtr]]),CONCATENATE(Table1[[#This Row],[Year]]," Q",Table1[[#This Row],[Qtr]]),CONCATENATE(Table1[[#This Row],[Year]],Table1[[#This Row],[Qtr]]))</f>
        <v>2021 Q2</v>
      </c>
      <c r="L120" s="80" t="s">
        <v>20</v>
      </c>
      <c r="M120" s="80" t="s">
        <v>84</v>
      </c>
      <c r="N120" s="80">
        <v>1</v>
      </c>
      <c r="O120" s="80" t="s">
        <v>1890</v>
      </c>
      <c r="P120" s="80">
        <v>18</v>
      </c>
      <c r="Q120" s="82">
        <v>12248</v>
      </c>
      <c r="R120" s="82">
        <f>Table1[[#This Row],[Floor Plate (GFA) (sf)]]*0.7</f>
        <v>8573.6</v>
      </c>
      <c r="S120" s="80" t="str">
        <f t="shared" si="6"/>
        <v>No</v>
      </c>
      <c r="T120" s="82">
        <f>+Table1[[#This Row],[Total GFA (sf)]]/10.7639</f>
        <v>19896.227203894501</v>
      </c>
      <c r="U120" s="82">
        <v>214161</v>
      </c>
      <c r="V120" s="82">
        <f>Table1[[#This Row],[Office GFA (sf)]]/10.7639</f>
        <v>19462.927006010832</v>
      </c>
      <c r="W120" s="82">
        <v>209497</v>
      </c>
      <c r="X120" s="82">
        <f>Table1[[#This Row],[Office UFA (Net) (sf)]]/10.7639</f>
        <v>12645.97823352619</v>
      </c>
      <c r="Y120" s="82">
        <v>136120.04510785255</v>
      </c>
      <c r="Z120" s="82"/>
      <c r="AA120" s="82"/>
      <c r="AB120" s="82"/>
      <c r="AC120" s="82">
        <f>IF(Table1[[#This Row],[For Sale or For Lease?]]="For Lease",Table1[[#This Row],[Office UFA (Net) (sf)]]-Table1[[#This Row],[Pre-leased space (Usable FA) (sf)]]-Table1[[#This Row],[Pre-sold (Usable FA) (sf)]]-Table1[[#This Row],[Self-use space (Usable FA) (sf)]],0)</f>
        <v>136120.04510785255</v>
      </c>
      <c r="AD120" s="82">
        <f>IF(Table1[[#This Row],[For Sale or For Lease?]]="For Sale",Table1[[#This Row],[Office UFA (Net) (sf)]]-Table1[[#This Row],[Pre-leased space (Usable FA) (sf)]]-Table1[[#This Row],[Pre-sold (Usable FA) (sf)]]-Table1[[#This Row],[Self-use space (Usable FA) (sf)]],0)</f>
        <v>0</v>
      </c>
      <c r="AE120" s="82">
        <f>IF(Table1[[#This Row],[For Sale or For Lease?]]="Uncertain",Table1[[#This Row],[Office UFA (Net) (sf)]]-Table1[[#This Row],[Pre-leased space (Usable FA) (sf)]]-Table1[[#This Row],[Pre-sold (Usable FA) (sf)]]-Table1[[#This Row],[Self-use space (Usable FA) (sf)]],0)</f>
        <v>0</v>
      </c>
      <c r="AF120" s="86">
        <f>1-SUM(Table1[[#This Row],[Space available for lease (Usable FA) (sf)]:[Space available uncertain of use (Usable FA) (sf)]])/Table1[[#This Row],[Office UFA (Net) (sf)]]</f>
        <v>0</v>
      </c>
      <c r="AG120" s="79" t="s">
        <v>89</v>
      </c>
      <c r="AH120" s="84" t="s">
        <v>103</v>
      </c>
      <c r="AI120" s="79" t="s">
        <v>1550</v>
      </c>
      <c r="AJ120" s="83">
        <v>44287</v>
      </c>
      <c r="AK120" s="83">
        <v>44348</v>
      </c>
      <c r="AL120" s="85" t="s">
        <v>29</v>
      </c>
      <c r="AM120" s="85" t="s">
        <v>1891</v>
      </c>
      <c r="AN120" s="79" t="s">
        <v>73</v>
      </c>
      <c r="AO120" s="77" t="s">
        <v>705</v>
      </c>
      <c r="AP120" s="77" t="s">
        <v>81</v>
      </c>
      <c r="AQ120" s="77" t="s">
        <v>1588</v>
      </c>
      <c r="AR120" s="79" t="s">
        <v>2372</v>
      </c>
      <c r="AS120" s="79"/>
      <c r="AT120" s="80"/>
      <c r="AU120" s="80"/>
      <c r="AV120" s="77"/>
    </row>
    <row r="121" spans="1:48" ht="15" hidden="1" customHeight="1" x14ac:dyDescent="0.35">
      <c r="A121" s="77"/>
      <c r="B121" s="77" t="s">
        <v>1862</v>
      </c>
      <c r="C121" s="77" t="s">
        <v>1862</v>
      </c>
      <c r="D121" s="77"/>
      <c r="E121" s="79" t="s">
        <v>4</v>
      </c>
      <c r="F121" s="77" t="str">
        <f>VLOOKUP(Table1[[#This Row],[CBRE sub-markets]],Reference!$A$2:$B$31,2,FALSE)</f>
        <v>Wan Chai &amp; Causeway Bay</v>
      </c>
      <c r="G121" s="77">
        <f>VLOOKUP(Table1[[#This Row],[CBRE sub-markets]],Reference!$A$2:$D$31,3,FALSE)</f>
        <v>3</v>
      </c>
      <c r="H121" s="79" t="str">
        <f>VLOOKUP(Table1[[#This Row],[CBRE sub-markets]],Reference!$A$2:$D$31,4,FALSE)</f>
        <v>Hong Kong Island</v>
      </c>
      <c r="I121" s="80">
        <v>2021</v>
      </c>
      <c r="J121" s="80">
        <v>4</v>
      </c>
      <c r="K121" s="81" t="str">
        <f>IF(ISNUMBER(Table1[[#This Row],[Qtr]]),CONCATENATE(Table1[[#This Row],[Year]]," Q",Table1[[#This Row],[Qtr]]),CONCATENATE(Table1[[#This Row],[Year]],Table1[[#This Row],[Qtr]]))</f>
        <v>2021 Q4</v>
      </c>
      <c r="L121" s="80" t="s">
        <v>21</v>
      </c>
      <c r="M121" s="80" t="s">
        <v>84</v>
      </c>
      <c r="N121" s="80">
        <v>1</v>
      </c>
      <c r="O121" s="80">
        <v>29</v>
      </c>
      <c r="P121" s="80">
        <v>25</v>
      </c>
      <c r="Q121" s="82">
        <v>5246</v>
      </c>
      <c r="R121" s="82">
        <f>Table1[[#This Row],[Floor Plate (GFA) (sf)]]*0.75</f>
        <v>3934.5</v>
      </c>
      <c r="S121" s="80" t="str">
        <f t="shared" si="6"/>
        <v>No</v>
      </c>
      <c r="T121" s="82">
        <f>131129/10.7639</f>
        <v>12182.29452150243</v>
      </c>
      <c r="U121" s="82">
        <f>+Table1[[#This Row],[Total GFA (sm)]]*10.7639</f>
        <v>131129</v>
      </c>
      <c r="V121" s="82">
        <f>Table1[[#This Row],[Office GFA (sf)]]/10.764</f>
        <v>12182.181345224824</v>
      </c>
      <c r="W121" s="82">
        <f>Table1[[#This Row],[Total GFA (sf)]]</f>
        <v>131129</v>
      </c>
      <c r="X121" s="82">
        <f>V121*0.75</f>
        <v>9136.6360089186182</v>
      </c>
      <c r="Y121" s="82">
        <f>W121*0.75</f>
        <v>98346.75</v>
      </c>
      <c r="Z121" s="82"/>
      <c r="AA121" s="82"/>
      <c r="AB121" s="82"/>
      <c r="AC121" s="82">
        <f t="shared" ref="AC121:AC162" si="7">IF(AO121="For Lease",Y121-Z121-AA121-AB121,0)</f>
        <v>98346.75</v>
      </c>
      <c r="AD121" s="82">
        <f>IF(Table1[[#This Row],[For Sale or For Lease?]]="For Sale",Table1[[#This Row],[Office UFA (Net) (sf)]]-Table1[[#This Row],[Pre-leased space (Usable FA) (sf)]]-Table1[[#This Row],[Pre-sold (Usable FA) (sf)]]-Table1[[#This Row],[Self-use space (Usable FA) (sf)]],0)</f>
        <v>0</v>
      </c>
      <c r="AE121" s="82">
        <f>IF(Table1[[#This Row],[For Sale or For Lease?]]="Uncertain",Table1[[#This Row],[Office UFA (Net) (sf)]]-Table1[[#This Row],[Pre-leased space (Usable FA) (sf)]]-Table1[[#This Row],[Pre-sold (Usable FA) (sf)]]-Table1[[#This Row],[Self-use space (Usable FA) (sf)]],0)</f>
        <v>0</v>
      </c>
      <c r="AF121" s="86">
        <f>1-SUM(Table1[[#This Row],[Space available for lease (Usable FA) (sf)]:[Space available uncertain of use (Usable FA) (sf)]])/Table1[[#This Row],[Office UFA (Net) (sf)]]</f>
        <v>0</v>
      </c>
      <c r="AG121" s="79" t="s">
        <v>89</v>
      </c>
      <c r="AH121" s="84" t="s">
        <v>103</v>
      </c>
      <c r="AI121" s="79" t="s">
        <v>92</v>
      </c>
      <c r="AJ121" s="83">
        <v>44470</v>
      </c>
      <c r="AK121" s="83">
        <v>44531</v>
      </c>
      <c r="AL121" s="85" t="s">
        <v>30</v>
      </c>
      <c r="AM121" s="85" t="s">
        <v>1863</v>
      </c>
      <c r="AN121" s="79" t="s">
        <v>73</v>
      </c>
      <c r="AO121" s="77" t="s">
        <v>705</v>
      </c>
      <c r="AP121" s="77" t="s">
        <v>81</v>
      </c>
      <c r="AQ121" s="77"/>
      <c r="AR121" s="79" t="s">
        <v>2401</v>
      </c>
      <c r="AS121" s="79"/>
      <c r="AT121" s="80"/>
      <c r="AU121" s="80"/>
      <c r="AV121" s="77" t="s">
        <v>2227</v>
      </c>
    </row>
    <row r="122" spans="1:48" ht="15" hidden="1" customHeight="1" x14ac:dyDescent="0.35">
      <c r="A122" s="77"/>
      <c r="B122" s="77" t="s">
        <v>1920</v>
      </c>
      <c r="C122" s="77" t="s">
        <v>824</v>
      </c>
      <c r="D122" s="77"/>
      <c r="E122" s="79" t="s">
        <v>130</v>
      </c>
      <c r="F122" s="77" t="str">
        <f>VLOOKUP(Table1[[#This Row],[CBRE sub-markets]],Reference!$A$2:$B$31,2,FALSE)</f>
        <v>Wong Chuk Hang</v>
      </c>
      <c r="G122" s="77">
        <f>VLOOKUP(Table1[[#This Row],[CBRE sub-markets]],Reference!$A$2:$D$31,3,FALSE)</f>
        <v>5</v>
      </c>
      <c r="H122" s="79" t="str">
        <f>VLOOKUP(Table1[[#This Row],[CBRE sub-markets]],Reference!$A$2:$D$31,4,FALSE)</f>
        <v>Hong Kong Island</v>
      </c>
      <c r="I122" s="80">
        <v>2021</v>
      </c>
      <c r="J122" s="80">
        <v>4</v>
      </c>
      <c r="K122" s="81" t="str">
        <f>IF(ISNUMBER(Table1[[#This Row],[Qtr]]),CONCATENATE(Table1[[#This Row],[Year]]," Q",Table1[[#This Row],[Qtr]]),CONCATENATE(Table1[[#This Row],[Year]],Table1[[#This Row],[Qtr]]))</f>
        <v>2021 Q4</v>
      </c>
      <c r="L122" s="80" t="s">
        <v>21</v>
      </c>
      <c r="M122" s="80" t="s">
        <v>84</v>
      </c>
      <c r="N122" s="80">
        <v>1</v>
      </c>
      <c r="O122" s="80" t="s">
        <v>1608</v>
      </c>
      <c r="P122" s="80"/>
      <c r="Q122" s="82">
        <f>Table1[[#This Row],[Office GFA (sf)]]/26</f>
        <v>4853.2307692307695</v>
      </c>
      <c r="R122" s="82">
        <f>Table1[[#This Row],[Floor Plate (GFA) (sf)]]*0.75</f>
        <v>3639.9230769230771</v>
      </c>
      <c r="S122" s="80" t="str">
        <f t="shared" si="6"/>
        <v>No</v>
      </c>
      <c r="T122" s="82">
        <v>9956</v>
      </c>
      <c r="U122" s="82">
        <f>+Table1[[#This Row],[Total GFA (sm)]]*10.7639</f>
        <v>107165.3884</v>
      </c>
      <c r="V122" s="82">
        <f>Table1[[#This Row],[Office GFA (sf)]]/10.76391</f>
        <v>11722.877653194797</v>
      </c>
      <c r="W122" s="82">
        <v>126184</v>
      </c>
      <c r="X122" s="82">
        <v>6738</v>
      </c>
      <c r="Y122" s="82">
        <f>+Table1[[#This Row],[Office UFA (Net) (sm)]]*10.7639</f>
        <v>72527.158199999991</v>
      </c>
      <c r="Z122" s="82"/>
      <c r="AA122" s="82"/>
      <c r="AB122" s="82"/>
      <c r="AC122" s="82">
        <f t="shared" si="7"/>
        <v>0</v>
      </c>
      <c r="AD122" s="82">
        <f>IF(Table1[[#This Row],[For Sale or For Lease?]]="For Sale",Table1[[#This Row],[Office UFA (Net) (sf)]]-Table1[[#This Row],[Pre-leased space (Usable FA) (sf)]]-Table1[[#This Row],[Pre-sold (Usable FA) (sf)]]-Table1[[#This Row],[Self-use space (Usable FA) (sf)]],0)</f>
        <v>0</v>
      </c>
      <c r="AE122" s="82">
        <f>IF(Table1[[#This Row],[For Sale or For Lease?]]="Uncertain",Table1[[#This Row],[Office UFA (Net) (sf)]]-Table1[[#This Row],[Pre-leased space (Usable FA) (sf)]]-Table1[[#This Row],[Pre-sold (Usable FA) (sf)]]-Table1[[#This Row],[Self-use space (Usable FA) (sf)]],0)</f>
        <v>72527.158199999991</v>
      </c>
      <c r="AF122" s="86">
        <f>1-SUM(Table1[[#This Row],[Space available for lease (Usable FA) (sf)]:[Space available uncertain of use (Usable FA) (sf)]])/Table1[[#This Row],[Office UFA (Net) (sf)]]</f>
        <v>0</v>
      </c>
      <c r="AG122" s="79" t="s">
        <v>89</v>
      </c>
      <c r="AH122" s="84" t="s">
        <v>103</v>
      </c>
      <c r="AI122" s="79" t="s">
        <v>92</v>
      </c>
      <c r="AJ122" s="83">
        <v>44531</v>
      </c>
      <c r="AK122" s="83">
        <v>44531</v>
      </c>
      <c r="AL122" s="85" t="s">
        <v>30</v>
      </c>
      <c r="AM122" s="85" t="s">
        <v>1447</v>
      </c>
      <c r="AN122" s="79" t="s">
        <v>73</v>
      </c>
      <c r="AO122" s="77" t="s">
        <v>1068</v>
      </c>
      <c r="AP122" s="77" t="s">
        <v>1068</v>
      </c>
      <c r="AQ122" s="77" t="s">
        <v>1902</v>
      </c>
      <c r="AR122" s="79" t="s">
        <v>1738</v>
      </c>
      <c r="AS122" s="79"/>
      <c r="AT122" s="80">
        <v>22.248700400000001</v>
      </c>
      <c r="AU122" s="80">
        <v>114.16365236</v>
      </c>
      <c r="AV122" s="77" t="s">
        <v>2174</v>
      </c>
    </row>
    <row r="123" spans="1:48" ht="15" hidden="1" customHeight="1" x14ac:dyDescent="0.35">
      <c r="A123" s="77"/>
      <c r="B123" s="77" t="s">
        <v>1956</v>
      </c>
      <c r="C123" s="77" t="s">
        <v>1928</v>
      </c>
      <c r="D123" s="77" t="s">
        <v>1287</v>
      </c>
      <c r="E123" s="79" t="s">
        <v>12</v>
      </c>
      <c r="F123" s="77" t="str">
        <f>VLOOKUP(Table1[[#This Row],[CBRE sub-markets]],Reference!$A$2:$B$31,2,FALSE)</f>
        <v>Kowloon Others</v>
      </c>
      <c r="G123" s="77">
        <f>VLOOKUP(Table1[[#This Row],[CBRE sub-markets]],Reference!$A$2:$D$31,3,FALSE)</f>
        <v>8</v>
      </c>
      <c r="H123" s="79" t="str">
        <f>VLOOKUP(Table1[[#This Row],[CBRE sub-markets]],Reference!$A$2:$D$31,4,FALSE)</f>
        <v>Kowloon</v>
      </c>
      <c r="I123" s="80">
        <v>2021</v>
      </c>
      <c r="J123" s="80">
        <v>4</v>
      </c>
      <c r="K123" s="81" t="str">
        <f>IF(ISNUMBER(Table1[[#This Row],[Qtr]]),CONCATENATE(Table1[[#This Row],[Year]]," Q",Table1[[#This Row],[Qtr]]),CONCATENATE(Table1[[#This Row],[Year]],Table1[[#This Row],[Qtr]]))</f>
        <v>2021 Q4</v>
      </c>
      <c r="L123" s="80" t="s">
        <v>20</v>
      </c>
      <c r="M123" s="80" t="s">
        <v>84</v>
      </c>
      <c r="N123" s="80">
        <v>1</v>
      </c>
      <c r="O123" s="80" t="s">
        <v>1481</v>
      </c>
      <c r="P123" s="80">
        <v>24</v>
      </c>
      <c r="Q123" s="82" t="s">
        <v>1942</v>
      </c>
      <c r="R123" s="82" t="s">
        <v>1943</v>
      </c>
      <c r="S123" s="80" t="str">
        <f t="shared" si="6"/>
        <v>No</v>
      </c>
      <c r="T123" s="82">
        <v>49995.1</v>
      </c>
      <c r="U123" s="82">
        <f>+Table1[[#This Row],[Total GFA (sm)]]*10.7639</f>
        <v>538142.25688999996</v>
      </c>
      <c r="V123" s="82">
        <v>45360</v>
      </c>
      <c r="W123" s="82">
        <v>580669</v>
      </c>
      <c r="X123" s="82">
        <f>V123*0.754142</f>
        <v>34207.881119999998</v>
      </c>
      <c r="Y123" s="82">
        <f>W123*0.75</f>
        <v>435501.75</v>
      </c>
      <c r="Z123" s="82"/>
      <c r="AA123" s="82">
        <v>271564</v>
      </c>
      <c r="AB123" s="82"/>
      <c r="AC123" s="82">
        <f t="shared" si="7"/>
        <v>0</v>
      </c>
      <c r="AD123" s="82">
        <f>IF(Table1[[#This Row],[For Sale or For Lease?]]="For Sale",Table1[[#This Row],[Office UFA (Net) (sf)]]-Table1[[#This Row],[Pre-leased space (Usable FA) (sf)]]-Table1[[#This Row],[Pre-sold (Usable FA) (sf)]]-Table1[[#This Row],[Self-use space (Usable FA) (sf)]],0)</f>
        <v>163937.75</v>
      </c>
      <c r="AE123" s="82">
        <f>IF(Table1[[#This Row],[For Sale or For Lease?]]="Uncertain",Table1[[#This Row],[Office UFA (Net) (sf)]]-Table1[[#This Row],[Pre-leased space (Usable FA) (sf)]]-Table1[[#This Row],[Pre-sold (Usable FA) (sf)]]-Table1[[#This Row],[Self-use space (Usable FA) (sf)]],0)</f>
        <v>0</v>
      </c>
      <c r="AF123" s="86">
        <f>1-SUM(Table1[[#This Row],[Space available for lease (Usable FA) (sf)]:[Space available uncertain of use (Usable FA) (sf)]])/Table1[[#This Row],[Office UFA (Net) (sf)]]</f>
        <v>0.62356580656679328</v>
      </c>
      <c r="AG123" s="79" t="s">
        <v>89</v>
      </c>
      <c r="AH123" s="84" t="s">
        <v>103</v>
      </c>
      <c r="AI123" s="79" t="s">
        <v>92</v>
      </c>
      <c r="AJ123" s="83">
        <v>43647</v>
      </c>
      <c r="AK123" s="83">
        <v>43739</v>
      </c>
      <c r="AL123" s="85" t="s">
        <v>29</v>
      </c>
      <c r="AM123" s="85" t="s">
        <v>1225</v>
      </c>
      <c r="AN123" s="79" t="s">
        <v>74</v>
      </c>
      <c r="AO123" s="77" t="s">
        <v>704</v>
      </c>
      <c r="AP123" s="77" t="s">
        <v>82</v>
      </c>
      <c r="AQ123" s="77" t="s">
        <v>1663</v>
      </c>
      <c r="AR123" s="79" t="s">
        <v>2373</v>
      </c>
      <c r="AS123" s="79" t="s">
        <v>2050</v>
      </c>
      <c r="AT123" s="80">
        <v>22.335439999999998</v>
      </c>
      <c r="AU123" s="80">
        <v>114.14588999999999</v>
      </c>
      <c r="AV123" s="77" t="s">
        <v>2163</v>
      </c>
    </row>
    <row r="124" spans="1:48" ht="15" hidden="1" customHeight="1" x14ac:dyDescent="0.35">
      <c r="A124" s="77"/>
      <c r="B124" s="77" t="s">
        <v>1876</v>
      </c>
      <c r="C124" s="77" t="s">
        <v>1876</v>
      </c>
      <c r="D124" s="77"/>
      <c r="E124" s="79" t="s">
        <v>5</v>
      </c>
      <c r="F124" s="77" t="str">
        <f>VLOOKUP(Table1[[#This Row],[CBRE sub-markets]],Reference!$A$2:$B$31,2,FALSE)</f>
        <v>Wan Chai &amp; Causeway Bay</v>
      </c>
      <c r="G124" s="77">
        <f>VLOOKUP(Table1[[#This Row],[CBRE sub-markets]],Reference!$A$2:$D$31,3,FALSE)</f>
        <v>3</v>
      </c>
      <c r="H124" s="79" t="str">
        <f>VLOOKUP(Table1[[#This Row],[CBRE sub-markets]],Reference!$A$2:$D$31,4,FALSE)</f>
        <v>Hong Kong Island</v>
      </c>
      <c r="I124" s="80">
        <v>2021</v>
      </c>
      <c r="J124" s="80"/>
      <c r="K124" s="81" t="str">
        <f>IF(ISNUMBER(Table1[[#This Row],[Qtr]]),CONCATENATE(Table1[[#This Row],[Year]]," Q",Table1[[#This Row],[Qtr]]),CONCATENATE(Table1[[#This Row],[Year]],Table1[[#This Row],[Qtr]]))</f>
        <v>2021</v>
      </c>
      <c r="L124" s="80" t="s">
        <v>21</v>
      </c>
      <c r="M124" s="80" t="s">
        <v>84</v>
      </c>
      <c r="N124" s="80">
        <v>1</v>
      </c>
      <c r="O124" s="80">
        <v>26</v>
      </c>
      <c r="P124" s="80">
        <v>25</v>
      </c>
      <c r="Q124" s="82">
        <f>Table1[[#This Row],[Office GFA (sf)]]/Table1[[#This Row],[No. of Storeys for Office]]</f>
        <v>3248.0283528</v>
      </c>
      <c r="R124" s="82">
        <f>Table1[[#This Row],[Office UFA (Net) (sf)]]/Table1[[#This Row],[No. of Storeys for Office]]</f>
        <v>1876.1047143999997</v>
      </c>
      <c r="S124" s="80" t="str">
        <f t="shared" si="6"/>
        <v>No</v>
      </c>
      <c r="T124" s="82">
        <v>7543.8</v>
      </c>
      <c r="U124" s="82">
        <f>+Table1[[#This Row],[Total GFA (sm)]]*10.7639</f>
        <v>81200.70882</v>
      </c>
      <c r="V124" s="82">
        <v>7548.8</v>
      </c>
      <c r="W124" s="82">
        <f>Table1[[#This Row],[Total GFA (sf)]]</f>
        <v>81200.70882</v>
      </c>
      <c r="X124" s="82">
        <v>4357.3999999999996</v>
      </c>
      <c r="Y124" s="82">
        <f>Table1[[#This Row],[Office UFA (Net) (sm)]]*10.7639</f>
        <v>46902.617859999991</v>
      </c>
      <c r="Z124" s="82"/>
      <c r="AA124" s="82"/>
      <c r="AB124" s="82"/>
      <c r="AC124" s="82">
        <f t="shared" si="7"/>
        <v>46902.617859999991</v>
      </c>
      <c r="AD124" s="82">
        <f>IF(Table1[[#This Row],[For Sale or For Lease?]]="For Sale",Table1[[#This Row],[Office UFA (Net) (sf)]]-Table1[[#This Row],[Pre-leased space (Usable FA) (sf)]]-Table1[[#This Row],[Pre-sold (Usable FA) (sf)]]-Table1[[#This Row],[Self-use space (Usable FA) (sf)]],0)</f>
        <v>0</v>
      </c>
      <c r="AE124" s="82">
        <f>IF(Table1[[#This Row],[For Sale or For Lease?]]="Uncertain",Table1[[#This Row],[Office UFA (Net) (sf)]]-Table1[[#This Row],[Pre-leased space (Usable FA) (sf)]]-Table1[[#This Row],[Pre-sold (Usable FA) (sf)]]-Table1[[#This Row],[Self-use space (Usable FA) (sf)]],0)</f>
        <v>0</v>
      </c>
      <c r="AF124" s="86">
        <f>1-SUM(Table1[[#This Row],[Space available for lease (Usable FA) (sf)]:[Space available uncertain of use (Usable FA) (sf)]])/Table1[[#This Row],[Office UFA (Net) (sf)]]</f>
        <v>0</v>
      </c>
      <c r="AG124" s="79" t="s">
        <v>89</v>
      </c>
      <c r="AH124" s="84" t="s">
        <v>103</v>
      </c>
      <c r="AI124" s="79" t="s">
        <v>92</v>
      </c>
      <c r="AJ124" s="83">
        <v>44501</v>
      </c>
      <c r="AK124" s="83">
        <v>44501</v>
      </c>
      <c r="AL124" s="85" t="s">
        <v>30</v>
      </c>
      <c r="AM124" s="85" t="s">
        <v>1568</v>
      </c>
      <c r="AN124" s="79" t="s">
        <v>73</v>
      </c>
      <c r="AO124" s="77" t="s">
        <v>705</v>
      </c>
      <c r="AP124" s="77" t="s">
        <v>81</v>
      </c>
      <c r="AQ124" s="77"/>
      <c r="AR124" s="79" t="s">
        <v>1877</v>
      </c>
      <c r="AS124" s="79"/>
      <c r="AT124" s="80">
        <v>22.27882</v>
      </c>
      <c r="AU124" s="80">
        <v>114.18647</v>
      </c>
      <c r="AV124" s="77" t="s">
        <v>2096</v>
      </c>
    </row>
    <row r="125" spans="1:48" ht="15" hidden="1" customHeight="1" x14ac:dyDescent="0.35">
      <c r="A125" s="77"/>
      <c r="B125" s="77" t="s">
        <v>1411</v>
      </c>
      <c r="C125" s="77" t="s">
        <v>1410</v>
      </c>
      <c r="D125" s="77"/>
      <c r="E125" s="79" t="s">
        <v>130</v>
      </c>
      <c r="F125" s="77" t="str">
        <f>VLOOKUP(Table1[[#This Row],[CBRE sub-markets]],Reference!$A$2:$B$31,2,FALSE)</f>
        <v>Wong Chuk Hang</v>
      </c>
      <c r="G125" s="77">
        <f>VLOOKUP(Table1[[#This Row],[CBRE sub-markets]],Reference!$A$2:$D$31,3,FALSE)</f>
        <v>5</v>
      </c>
      <c r="H125" s="79" t="str">
        <f>VLOOKUP(Table1[[#This Row],[CBRE sub-markets]],Reference!$A$2:$D$31,4,FALSE)</f>
        <v>Hong Kong Island</v>
      </c>
      <c r="I125" s="80">
        <v>2021</v>
      </c>
      <c r="J125" s="80"/>
      <c r="K125" s="81" t="str">
        <f>IF(ISNUMBER(Table1[[#This Row],[Qtr]]),CONCATENATE(Table1[[#This Row],[Year]]," Q",Table1[[#This Row],[Qtr]]),CONCATENATE(Table1[[#This Row],[Year]],Table1[[#This Row],[Qtr]]))</f>
        <v>2021</v>
      </c>
      <c r="L125" s="80" t="s">
        <v>20</v>
      </c>
      <c r="M125" s="80" t="s">
        <v>86</v>
      </c>
      <c r="N125" s="80">
        <v>1</v>
      </c>
      <c r="O125" s="80" t="s">
        <v>1106</v>
      </c>
      <c r="P125" s="80"/>
      <c r="Q125" s="82">
        <f>Table1[[#This Row],[Office GFA (sf)]]/25</f>
        <v>6805.0007999999998</v>
      </c>
      <c r="R125" s="82">
        <f>Table1[[#This Row],[Floor Plate (GFA) (sf)]]*0.75</f>
        <v>5103.7505999999994</v>
      </c>
      <c r="S125" s="80" t="str">
        <f t="shared" si="6"/>
        <v>No</v>
      </c>
      <c r="T125" s="82"/>
      <c r="U125" s="82"/>
      <c r="V125" s="82">
        <v>15805</v>
      </c>
      <c r="W125" s="82">
        <f>Table1[[#This Row],[Office GFA (sm)]]*10.764</f>
        <v>170125.02</v>
      </c>
      <c r="X125" s="82">
        <f>V125*0.75</f>
        <v>11853.75</v>
      </c>
      <c r="Y125" s="82">
        <f>W125*0.75</f>
        <v>127593.76499999998</v>
      </c>
      <c r="Z125" s="82"/>
      <c r="AA125" s="82"/>
      <c r="AB125" s="82"/>
      <c r="AC125" s="82">
        <f t="shared" si="7"/>
        <v>0</v>
      </c>
      <c r="AD125" s="82">
        <f>IF(Table1[[#This Row],[For Sale or For Lease?]]="For Sale",Table1[[#This Row],[Office UFA (Net) (sf)]]-Table1[[#This Row],[Pre-leased space (Usable FA) (sf)]]-Table1[[#This Row],[Pre-sold (Usable FA) (sf)]]-Table1[[#This Row],[Self-use space (Usable FA) (sf)]],0)</f>
        <v>0</v>
      </c>
      <c r="AE125" s="82">
        <f>IF(Table1[[#This Row],[For Sale or For Lease?]]="Uncertain",Table1[[#This Row],[Office UFA (Net) (sf)]]-Table1[[#This Row],[Pre-leased space (Usable FA) (sf)]]-Table1[[#This Row],[Pre-sold (Usable FA) (sf)]]-Table1[[#This Row],[Self-use space (Usable FA) (sf)]],0)</f>
        <v>127593.76499999998</v>
      </c>
      <c r="AF125" s="86">
        <f>1-SUM(Table1[[#This Row],[Space available for lease (Usable FA) (sf)]:[Space available uncertain of use (Usable FA) (sf)]])/Table1[[#This Row],[Office UFA (Net) (sf)]]</f>
        <v>0</v>
      </c>
      <c r="AG125" s="79" t="s">
        <v>89</v>
      </c>
      <c r="AH125" s="84" t="s">
        <v>138</v>
      </c>
      <c r="AI125" s="79" t="s">
        <v>92</v>
      </c>
      <c r="AJ125" s="83">
        <v>42826</v>
      </c>
      <c r="AK125" s="83">
        <v>42907</v>
      </c>
      <c r="AL125" s="85" t="s">
        <v>30</v>
      </c>
      <c r="AM125" s="85" t="s">
        <v>1412</v>
      </c>
      <c r="AN125" s="79" t="s">
        <v>73</v>
      </c>
      <c r="AO125" s="77" t="s">
        <v>1068</v>
      </c>
      <c r="AP125" s="77" t="s">
        <v>1068</v>
      </c>
      <c r="AQ125" s="77"/>
      <c r="AR125" s="79" t="s">
        <v>1737</v>
      </c>
      <c r="AS125" s="79"/>
      <c r="AT125" s="80"/>
      <c r="AU125" s="80"/>
      <c r="AV125" s="77"/>
    </row>
    <row r="126" spans="1:48" ht="15" hidden="1" customHeight="1" x14ac:dyDescent="0.35">
      <c r="A126" s="77"/>
      <c r="B126" s="77" t="s">
        <v>1957</v>
      </c>
      <c r="C126" s="77" t="s">
        <v>1548</v>
      </c>
      <c r="D126" s="77"/>
      <c r="E126" s="79" t="s">
        <v>4</v>
      </c>
      <c r="F126" s="77" t="str">
        <f>VLOOKUP(Table1[[#This Row],[CBRE sub-markets]],Reference!$A$2:$B$31,2,FALSE)</f>
        <v>Wan Chai &amp; Causeway Bay</v>
      </c>
      <c r="G126" s="77">
        <f>VLOOKUP(Table1[[#This Row],[CBRE sub-markets]],Reference!$A$2:$D$31,3,FALSE)</f>
        <v>3</v>
      </c>
      <c r="H126" s="79" t="str">
        <f>VLOOKUP(Table1[[#This Row],[CBRE sub-markets]],Reference!$A$2:$D$31,4,FALSE)</f>
        <v>Hong Kong Island</v>
      </c>
      <c r="I126" s="80">
        <v>2022</v>
      </c>
      <c r="J126" s="80">
        <v>1</v>
      </c>
      <c r="K126" s="81" t="str">
        <f>IF(ISNUMBER(Table1[[#This Row],[Qtr]]),CONCATENATE(Table1[[#This Row],[Year]]," Q",Table1[[#This Row],[Qtr]]),CONCATENATE(Table1[[#This Row],[Year]],Table1[[#This Row],[Qtr]]))</f>
        <v>2022 Q1</v>
      </c>
      <c r="L126" s="80" t="s">
        <v>21</v>
      </c>
      <c r="M126" s="80" t="s">
        <v>84</v>
      </c>
      <c r="N126" s="80">
        <v>1</v>
      </c>
      <c r="O126" s="80" t="s">
        <v>1549</v>
      </c>
      <c r="P126" s="80">
        <v>24</v>
      </c>
      <c r="Q126" s="82"/>
      <c r="R126" s="82"/>
      <c r="S126" s="80" t="str">
        <f t="shared" si="6"/>
        <v>Unknown</v>
      </c>
      <c r="T126" s="82">
        <v>8079.2</v>
      </c>
      <c r="U126" s="82">
        <f>+Table1[[#This Row],[Total GFA (sm)]]*10.7639</f>
        <v>86963.700879999989</v>
      </c>
      <c r="V126" s="82">
        <f>+Table1[[#This Row],[Total GFA (sm)]]</f>
        <v>8079.2</v>
      </c>
      <c r="W126" s="82">
        <f>+Table1[[#This Row],[Office GFA (sm)]]*10.7639</f>
        <v>86963.700879999989</v>
      </c>
      <c r="X126" s="82">
        <f>+Table1[[#This Row],[Office GFA (sm)]]*0.75</f>
        <v>6059.4</v>
      </c>
      <c r="Y126" s="82">
        <f>W126*0.75</f>
        <v>65222.775659999992</v>
      </c>
      <c r="Z126" s="82"/>
      <c r="AA126" s="82"/>
      <c r="AB126" s="82"/>
      <c r="AC126" s="82">
        <f t="shared" si="7"/>
        <v>0</v>
      </c>
      <c r="AD126" s="82">
        <f>IF(Table1[[#This Row],[For Sale or For Lease?]]="For Sale",Table1[[#This Row],[Office UFA (Net) (sf)]]-Table1[[#This Row],[Pre-leased space (Usable FA) (sf)]]-Table1[[#This Row],[Pre-sold (Usable FA) (sf)]]-Table1[[#This Row],[Self-use space (Usable FA) (sf)]],0)</f>
        <v>0</v>
      </c>
      <c r="AE126" s="82">
        <f>IF(Table1[[#This Row],[For Sale or For Lease?]]="Uncertain",Table1[[#This Row],[Office UFA (Net) (sf)]]-Table1[[#This Row],[Pre-leased space (Usable FA) (sf)]]-Table1[[#This Row],[Pre-sold (Usable FA) (sf)]]-Table1[[#This Row],[Self-use space (Usable FA) (sf)]],0)</f>
        <v>65222.775659999992</v>
      </c>
      <c r="AF126" s="86">
        <f>1-SUM(Table1[[#This Row],[Space available for lease (Usable FA) (sf)]:[Space available uncertain of use (Usable FA) (sf)]])/Table1[[#This Row],[Office UFA (Net) (sf)]]</f>
        <v>0</v>
      </c>
      <c r="AG126" s="79" t="s">
        <v>89</v>
      </c>
      <c r="AH126" s="84" t="s">
        <v>103</v>
      </c>
      <c r="AI126" s="79" t="s">
        <v>1550</v>
      </c>
      <c r="AJ126" s="83">
        <v>44593</v>
      </c>
      <c r="AK126" s="83">
        <v>44755</v>
      </c>
      <c r="AL126" s="85" t="s">
        <v>30</v>
      </c>
      <c r="AM126" s="85" t="s">
        <v>1551</v>
      </c>
      <c r="AN126" s="79" t="s">
        <v>73</v>
      </c>
      <c r="AO126" s="77" t="s">
        <v>1068</v>
      </c>
      <c r="AP126" s="77" t="s">
        <v>1068</v>
      </c>
      <c r="AQ126" s="77"/>
      <c r="AR126" s="79" t="s">
        <v>1740</v>
      </c>
      <c r="AS126" s="79" t="s">
        <v>2146</v>
      </c>
      <c r="AT126" s="80">
        <v>22.2780411053295</v>
      </c>
      <c r="AU126" s="80">
        <v>114.179052313179</v>
      </c>
      <c r="AV126" s="77" t="s">
        <v>2152</v>
      </c>
    </row>
    <row r="127" spans="1:48" ht="15" hidden="1" customHeight="1" x14ac:dyDescent="0.35">
      <c r="A127" s="77"/>
      <c r="B127" s="77" t="s">
        <v>1921</v>
      </c>
      <c r="C127" s="77" t="s">
        <v>1625</v>
      </c>
      <c r="D127" s="77"/>
      <c r="E127" s="79" t="s">
        <v>15</v>
      </c>
      <c r="F127" s="77" t="str">
        <f>VLOOKUP(Table1[[#This Row],[CBRE sub-markets]],Reference!$A$2:$B$31,2,FALSE)</f>
        <v>New Territories</v>
      </c>
      <c r="G127" s="77">
        <f>VLOOKUP(Table1[[#This Row],[CBRE sub-markets]],Reference!$A$2:$D$31,3,FALSE)</f>
        <v>9</v>
      </c>
      <c r="H127" s="79" t="str">
        <f>VLOOKUP(Table1[[#This Row],[CBRE sub-markets]],Reference!$A$2:$D$31,4,FALSE)</f>
        <v>New Territories</v>
      </c>
      <c r="I127" s="80">
        <v>2022</v>
      </c>
      <c r="J127" s="80">
        <v>1</v>
      </c>
      <c r="K127" s="81" t="str">
        <f>IF(ISNUMBER(Table1[[#This Row],[Qtr]]),CONCATENATE(Table1[[#This Row],[Year]]," Q",Table1[[#This Row],[Qtr]]),CONCATENATE(Table1[[#This Row],[Year]],Table1[[#This Row],[Qtr]]))</f>
        <v>2022 Q1</v>
      </c>
      <c r="L127" s="80" t="s">
        <v>20</v>
      </c>
      <c r="M127" s="80" t="s">
        <v>84</v>
      </c>
      <c r="N127" s="80">
        <v>1</v>
      </c>
      <c r="O127" s="80" t="s">
        <v>1626</v>
      </c>
      <c r="P127" s="80">
        <v>18</v>
      </c>
      <c r="Q127" s="82">
        <f>+Table1[[#This Row],[Office GFA (sf)]]/Table1[[#This Row],[No. of Storeys for Office]]</f>
        <v>10012.611111111111</v>
      </c>
      <c r="R127" s="82">
        <f>Table1[[#This Row],[Office UFA (Net) (sf)]]/Table1[[#This Row],[No. of Storeys for Office]]</f>
        <v>6542.1111111111113</v>
      </c>
      <c r="S127" s="80" t="str">
        <f t="shared" si="6"/>
        <v>No</v>
      </c>
      <c r="T127" s="82">
        <v>14385</v>
      </c>
      <c r="U127" s="82">
        <f>+Table1[[#This Row],[Total GFA (sm)]]*10.7639</f>
        <v>154838.7015</v>
      </c>
      <c r="V127" s="82">
        <f>+Table1[[#This Row],[Office GFA (sf)]]/10.7639</f>
        <v>16743.652393649143</v>
      </c>
      <c r="W127" s="82">
        <v>180227</v>
      </c>
      <c r="X127" s="82">
        <f>+Table1[[#This Row],[Office UFA (Net) (sf)]]/10.7639</f>
        <v>10940.086771523333</v>
      </c>
      <c r="Y127" s="82">
        <v>117758</v>
      </c>
      <c r="Z127" s="82"/>
      <c r="AA127" s="82"/>
      <c r="AB127" s="82"/>
      <c r="AC127" s="82">
        <f t="shared" si="7"/>
        <v>0</v>
      </c>
      <c r="AD127" s="82">
        <f>IF(Table1[[#This Row],[For Sale or For Lease?]]="For Sale",Table1[[#This Row],[Office UFA (Net) (sf)]]-Table1[[#This Row],[Pre-leased space (Usable FA) (sf)]]-Table1[[#This Row],[Pre-sold (Usable FA) (sf)]]-Table1[[#This Row],[Self-use space (Usable FA) (sf)]],0)</f>
        <v>117758</v>
      </c>
      <c r="AE127" s="82">
        <f>IF(Table1[[#This Row],[For Sale or For Lease?]]="Uncertain",Table1[[#This Row],[Office UFA (Net) (sf)]]-Table1[[#This Row],[Pre-leased space (Usable FA) (sf)]]-Table1[[#This Row],[Pre-sold (Usable FA) (sf)]]-Table1[[#This Row],[Self-use space (Usable FA) (sf)]],0)</f>
        <v>0</v>
      </c>
      <c r="AF127" s="86">
        <f>1-SUM(Table1[[#This Row],[Space available for lease (Usable FA) (sf)]:[Space available uncertain of use (Usable FA) (sf)]])/Table1[[#This Row],[Office UFA (Net) (sf)]]</f>
        <v>0</v>
      </c>
      <c r="AG127" s="79" t="s">
        <v>89</v>
      </c>
      <c r="AH127" s="84" t="s">
        <v>103</v>
      </c>
      <c r="AI127" s="79" t="s">
        <v>92</v>
      </c>
      <c r="AJ127" s="83">
        <v>44562</v>
      </c>
      <c r="AK127" s="83">
        <v>44621</v>
      </c>
      <c r="AL127" s="85" t="s">
        <v>30</v>
      </c>
      <c r="AM127" s="85" t="s">
        <v>839</v>
      </c>
      <c r="AN127" s="79" t="s">
        <v>73</v>
      </c>
      <c r="AO127" s="77" t="s">
        <v>704</v>
      </c>
      <c r="AP127" s="77" t="s">
        <v>82</v>
      </c>
      <c r="AQ127" s="77" t="s">
        <v>2247</v>
      </c>
      <c r="AR127" s="79" t="s">
        <v>2386</v>
      </c>
      <c r="AS127" s="79"/>
      <c r="AT127" s="80">
        <v>22.374510000000001</v>
      </c>
      <c r="AU127" s="80">
        <v>114.10616</v>
      </c>
      <c r="AV127" s="77" t="s">
        <v>2150</v>
      </c>
    </row>
    <row r="128" spans="1:48" ht="15" hidden="1" customHeight="1" x14ac:dyDescent="0.35">
      <c r="A128" s="77"/>
      <c r="B128" s="77" t="s">
        <v>1704</v>
      </c>
      <c r="C128" s="77" t="s">
        <v>1491</v>
      </c>
      <c r="D128" s="77"/>
      <c r="E128" s="79" t="s">
        <v>18</v>
      </c>
      <c r="F128" s="77" t="str">
        <f>VLOOKUP(Table1[[#This Row],[CBRE sub-markets]],Reference!$A$2:$B$31,2,FALSE)</f>
        <v>New Territories</v>
      </c>
      <c r="G128" s="77">
        <f>VLOOKUP(Table1[[#This Row],[CBRE sub-markets]],Reference!$A$2:$D$31,3,FALSE)</f>
        <v>9</v>
      </c>
      <c r="H128" s="79" t="str">
        <f>VLOOKUP(Table1[[#This Row],[CBRE sub-markets]],Reference!$A$2:$D$31,4,FALSE)</f>
        <v>New Territories</v>
      </c>
      <c r="I128" s="80">
        <v>2022</v>
      </c>
      <c r="J128" s="80">
        <v>1</v>
      </c>
      <c r="K128" s="81" t="str">
        <f>IF(ISNUMBER(Table1[[#This Row],[Qtr]]),CONCATENATE(Table1[[#This Row],[Year]]," Q",Table1[[#This Row],[Qtr]]),CONCATENATE(Table1[[#This Row],[Year]],Table1[[#This Row],[Qtr]]))</f>
        <v>2022 Q1</v>
      </c>
      <c r="L128" s="80" t="s">
        <v>20</v>
      </c>
      <c r="M128" s="80" t="s">
        <v>84</v>
      </c>
      <c r="N128" s="80">
        <v>3</v>
      </c>
      <c r="O128" s="80" t="s">
        <v>1594</v>
      </c>
      <c r="P128" s="80">
        <v>7</v>
      </c>
      <c r="Q128" s="82">
        <f>Table1[[#This Row],[Office GFA (sf)]]/7/3</f>
        <v>27142.857142857145</v>
      </c>
      <c r="R128" s="82">
        <f>Table1[[#This Row],[Office UFA (Net) (sf)]]/7/3</f>
        <v>20085.714285714286</v>
      </c>
      <c r="S128" s="80" t="str">
        <f t="shared" si="6"/>
        <v>Yes</v>
      </c>
      <c r="T128" s="82">
        <f>Table1[[#This Row],[Total GFA (sf)]]/10.7639</f>
        <v>348570.68534638931</v>
      </c>
      <c r="U128" s="82">
        <v>3751980</v>
      </c>
      <c r="V128" s="82">
        <f>570000/10.7639</f>
        <v>52954.784046674533</v>
      </c>
      <c r="W128" s="82">
        <v>570000</v>
      </c>
      <c r="X128" s="82">
        <f>+Table1[[#This Row],[Office GFA (sf)]]*0.74</f>
        <v>421800</v>
      </c>
      <c r="Y128" s="82">
        <f>W128*0.74</f>
        <v>421800</v>
      </c>
      <c r="Z128" s="82">
        <f>Table1[[#This Row],[Office UFA (Net) (sf)]]*0.5</f>
        <v>210900</v>
      </c>
      <c r="AA128" s="82"/>
      <c r="AB128" s="82"/>
      <c r="AC128" s="82">
        <f t="shared" si="7"/>
        <v>210900</v>
      </c>
      <c r="AD128" s="82">
        <f>IF(Table1[[#This Row],[For Sale or For Lease?]]="For Sale",Table1[[#This Row],[Office UFA (Net) (sf)]]-Table1[[#This Row],[Pre-leased space (Usable FA) (sf)]]-Table1[[#This Row],[Pre-sold (Usable FA) (sf)]]-Table1[[#This Row],[Self-use space (Usable FA) (sf)]],0)</f>
        <v>0</v>
      </c>
      <c r="AE128" s="82">
        <f>IF(Table1[[#This Row],[For Sale or For Lease?]]="Uncertain",Table1[[#This Row],[Office UFA (Net) (sf)]]-Table1[[#This Row],[Pre-leased space (Usable FA) (sf)]]-Table1[[#This Row],[Pre-sold (Usable FA) (sf)]]-Table1[[#This Row],[Self-use space (Usable FA) (sf)]],0)</f>
        <v>0</v>
      </c>
      <c r="AF128" s="86">
        <f>1-SUM(Table1[[#This Row],[Space available for lease (Usable FA) (sf)]:[Space available uncertain of use (Usable FA) (sf)]])/Table1[[#This Row],[Office UFA (Net) (sf)]]</f>
        <v>0.5</v>
      </c>
      <c r="AG128" s="79" t="s">
        <v>89</v>
      </c>
      <c r="AH128" s="84" t="s">
        <v>103</v>
      </c>
      <c r="AI128" s="79" t="s">
        <v>1492</v>
      </c>
      <c r="AJ128" s="83">
        <v>44713</v>
      </c>
      <c r="AK128" s="83">
        <v>44774</v>
      </c>
      <c r="AL128" s="85" t="s">
        <v>29</v>
      </c>
      <c r="AM128" s="85" t="s">
        <v>1225</v>
      </c>
      <c r="AN128" s="79" t="s">
        <v>73</v>
      </c>
      <c r="AO128" s="77" t="s">
        <v>705</v>
      </c>
      <c r="AP128" s="77" t="s">
        <v>81</v>
      </c>
      <c r="AQ128" s="77" t="s">
        <v>2246</v>
      </c>
      <c r="AR128" s="79" t="s">
        <v>2434</v>
      </c>
      <c r="AS128" s="79" t="s">
        <v>2074</v>
      </c>
      <c r="AT128" s="80">
        <v>22.31672</v>
      </c>
      <c r="AU128" s="80">
        <v>113.94174</v>
      </c>
      <c r="AV128" s="77" t="s">
        <v>2157</v>
      </c>
    </row>
    <row r="129" spans="1:48" ht="15" hidden="1" customHeight="1" x14ac:dyDescent="0.35">
      <c r="A129" s="77"/>
      <c r="B129" s="77" t="s">
        <v>1958</v>
      </c>
      <c r="C129" s="77" t="s">
        <v>1590</v>
      </c>
      <c r="D129" s="77"/>
      <c r="E129" s="79" t="s">
        <v>50</v>
      </c>
      <c r="F129" s="77" t="str">
        <f>VLOOKUP(Table1[[#This Row],[CBRE sub-markets]],Reference!$A$2:$B$31,2,FALSE)</f>
        <v>Kowloon East</v>
      </c>
      <c r="G129" s="77">
        <f>VLOOKUP(Table1[[#This Row],[CBRE sub-markets]],Reference!$A$2:$D$31,3,FALSE)</f>
        <v>7</v>
      </c>
      <c r="H129" s="79" t="str">
        <f>VLOOKUP(Table1[[#This Row],[CBRE sub-markets]],Reference!$A$2:$D$31,4,FALSE)</f>
        <v>Kowloon</v>
      </c>
      <c r="I129" s="80">
        <v>2022</v>
      </c>
      <c r="J129" s="80">
        <v>2</v>
      </c>
      <c r="K129" s="81" t="str">
        <f>IF(ISNUMBER(Table1[[#This Row],[Qtr]]),CONCATENATE(Table1[[#This Row],[Year]]," Q",Table1[[#This Row],[Qtr]]),CONCATENATE(Table1[[#This Row],[Year]],Table1[[#This Row],[Qtr]]))</f>
        <v>2022 Q2</v>
      </c>
      <c r="L129" s="80" t="s">
        <v>20</v>
      </c>
      <c r="M129" s="80" t="s">
        <v>84</v>
      </c>
      <c r="N129" s="80">
        <v>1</v>
      </c>
      <c r="O129" s="80" t="s">
        <v>1591</v>
      </c>
      <c r="P129" s="80">
        <v>32</v>
      </c>
      <c r="Q129" s="82">
        <f>+Table1[[#This Row],[Office GFA (sf)]]/32</f>
        <v>9522.1875</v>
      </c>
      <c r="R129" s="82">
        <f>+Table1[[#This Row],[Office UFA (Net) (sf)]]/32</f>
        <v>6308.44921875</v>
      </c>
      <c r="S129" s="80" t="str">
        <f t="shared" si="6"/>
        <v>No</v>
      </c>
      <c r="T129" s="82">
        <f>Table1[[#This Row],[Total GFA (sf)]]/10.7639</f>
        <v>28308.51271379333</v>
      </c>
      <c r="U129" s="82">
        <v>304710</v>
      </c>
      <c r="V129" s="82">
        <f>+Table1[[#This Row],[Total GFA (sm)]]</f>
        <v>28308.51271379333</v>
      </c>
      <c r="W129" s="82">
        <f>+Table1[[#This Row],[Total GFA (sf)]]</f>
        <v>304710</v>
      </c>
      <c r="X129" s="82">
        <f>V129*0.75</f>
        <v>21231.384535344998</v>
      </c>
      <c r="Y129" s="82">
        <f>W129*0.6625</f>
        <v>201870.375</v>
      </c>
      <c r="Z129" s="82">
        <v>12674.950000000012</v>
      </c>
      <c r="AA129" s="82"/>
      <c r="AB129" s="82"/>
      <c r="AC129" s="82">
        <f t="shared" si="7"/>
        <v>0</v>
      </c>
      <c r="AD129" s="82">
        <f>IF(Table1[[#This Row],[For Sale or For Lease?]]="For Sale",Table1[[#This Row],[Office UFA (Net) (sf)]]-Table1[[#This Row],[Pre-leased space (Usable FA) (sf)]]-Table1[[#This Row],[Pre-sold (Usable FA) (sf)]]-Table1[[#This Row],[Self-use space (Usable FA) (sf)]],0)</f>
        <v>189195.42499999999</v>
      </c>
      <c r="AE129" s="82">
        <f>IF(Table1[[#This Row],[For Sale or For Lease?]]="Uncertain",Table1[[#This Row],[Office UFA (Net) (sf)]]-Table1[[#This Row],[Pre-leased space (Usable FA) (sf)]]-Table1[[#This Row],[Pre-sold (Usable FA) (sf)]]-Table1[[#This Row],[Self-use space (Usable FA) (sf)]],0)</f>
        <v>0</v>
      </c>
      <c r="AF129" s="86">
        <f>1-SUM(Table1[[#This Row],[Space available for lease (Usable FA) (sf)]:[Space available uncertain of use (Usable FA) (sf)]])/Table1[[#This Row],[Office UFA (Net) (sf)]]</f>
        <v>6.2787568507761571E-2</v>
      </c>
      <c r="AG129" s="79" t="s">
        <v>89</v>
      </c>
      <c r="AH129" s="84" t="s">
        <v>103</v>
      </c>
      <c r="AI129" s="79" t="s">
        <v>92</v>
      </c>
      <c r="AJ129" s="83">
        <v>44682</v>
      </c>
      <c r="AK129" s="83">
        <v>44743</v>
      </c>
      <c r="AL129" s="85" t="s">
        <v>30</v>
      </c>
      <c r="AM129" s="85" t="s">
        <v>501</v>
      </c>
      <c r="AN129" s="79" t="s">
        <v>73</v>
      </c>
      <c r="AO129" s="77" t="s">
        <v>704</v>
      </c>
      <c r="AP129" s="77" t="s">
        <v>82</v>
      </c>
      <c r="AQ129" s="77" t="s">
        <v>2242</v>
      </c>
      <c r="AR129" s="79" t="s">
        <v>2385</v>
      </c>
      <c r="AS129" s="79"/>
      <c r="AT129" s="80">
        <v>22.314609999999998</v>
      </c>
      <c r="AU129" s="80">
        <v>114.2193</v>
      </c>
      <c r="AV129" s="77" t="s">
        <v>2149</v>
      </c>
    </row>
    <row r="130" spans="1:48" ht="15" hidden="1" customHeight="1" x14ac:dyDescent="0.35">
      <c r="A130" s="77"/>
      <c r="B130" s="77" t="s">
        <v>1624</v>
      </c>
      <c r="C130" s="77" t="s">
        <v>1190</v>
      </c>
      <c r="D130" s="77"/>
      <c r="E130" s="79" t="s">
        <v>360</v>
      </c>
      <c r="F130" s="77" t="str">
        <f>VLOOKUP(Table1[[#This Row],[CBRE sub-markets]],Reference!$A$2:$B$31,2,FALSE)</f>
        <v>Hong Kong East</v>
      </c>
      <c r="G130" s="77">
        <f>VLOOKUP(Table1[[#This Row],[CBRE sub-markets]],Reference!$A$2:$D$31,3,FALSE)</f>
        <v>4</v>
      </c>
      <c r="H130" s="79" t="str">
        <f>VLOOKUP(Table1[[#This Row],[CBRE sub-markets]],Reference!$A$2:$D$31,4,FALSE)</f>
        <v>Hong Kong Island</v>
      </c>
      <c r="I130" s="80">
        <v>2022</v>
      </c>
      <c r="J130" s="80">
        <v>3</v>
      </c>
      <c r="K130" s="81" t="str">
        <f>IF(ISNUMBER(Table1[[#This Row],[Qtr]]),CONCATENATE(Table1[[#This Row],[Year]]," Q",Table1[[#This Row],[Qtr]]),CONCATENATE(Table1[[#This Row],[Year]],Table1[[#This Row],[Qtr]]))</f>
        <v>2022 Q3</v>
      </c>
      <c r="L130" s="80" t="s">
        <v>20</v>
      </c>
      <c r="M130" s="80" t="s">
        <v>84</v>
      </c>
      <c r="N130" s="80">
        <v>1</v>
      </c>
      <c r="O130" s="80" t="s">
        <v>1593</v>
      </c>
      <c r="P130" s="80">
        <v>35</v>
      </c>
      <c r="Q130" s="82">
        <v>22660</v>
      </c>
      <c r="R130" s="82">
        <f>+Table1[[#This Row],[Floor Plate (GFA) (sf)]]*0.9</f>
        <v>20394</v>
      </c>
      <c r="S130" s="80" t="str">
        <f t="shared" ref="S130:S161" si="8">IF(AND(ISNUMBER(R130),R130&gt;=15000),"Yes",IF(R130="","Unknown","No"))</f>
        <v>Yes</v>
      </c>
      <c r="T130" s="82">
        <v>92260.9</v>
      </c>
      <c r="U130" s="82">
        <f>+Table1[[#This Row],[Total GFA (sm)]]*10.7639</f>
        <v>993087.10150999995</v>
      </c>
      <c r="V130" s="82">
        <f>+Table1[[#This Row],[Office GFA (sf)]]/10.7639</f>
        <v>74116.258976764933</v>
      </c>
      <c r="W130" s="82">
        <v>797780</v>
      </c>
      <c r="X130" s="82">
        <f>+Table1[[#This Row],[Office GFA (sm)]]*0.9</f>
        <v>66704.633079088439</v>
      </c>
      <c r="Y130" s="82">
        <f>+Table1[[#This Row],[Office GFA (sf)]]*0.9</f>
        <v>718002</v>
      </c>
      <c r="Z130" s="82">
        <v>390791.7</v>
      </c>
      <c r="AA130" s="82"/>
      <c r="AB130" s="82"/>
      <c r="AC130" s="82">
        <f t="shared" si="7"/>
        <v>327210.3</v>
      </c>
      <c r="AD130" s="82">
        <f>IF(Table1[[#This Row],[For Sale or For Lease?]]="For Sale",Table1[[#This Row],[Office UFA (Net) (sf)]]-Table1[[#This Row],[Pre-leased space (Usable FA) (sf)]]-Table1[[#This Row],[Pre-sold (Usable FA) (sf)]]-Table1[[#This Row],[Self-use space (Usable FA) (sf)]],0)</f>
        <v>0</v>
      </c>
      <c r="AE130" s="82">
        <f>IF(Table1[[#This Row],[For Sale or For Lease?]]="Uncertain",Table1[[#This Row],[Office UFA (Net) (sf)]]-Table1[[#This Row],[Pre-leased space (Usable FA) (sf)]]-Table1[[#This Row],[Pre-sold (Usable FA) (sf)]]-Table1[[#This Row],[Self-use space (Usable FA) (sf)]],0)</f>
        <v>0</v>
      </c>
      <c r="AF130" s="86">
        <f>1-SUM(Table1[[#This Row],[Space available for lease (Usable FA) (sf)]:[Space available uncertain of use (Usable FA) (sf)]])/Table1[[#This Row],[Office UFA (Net) (sf)]]</f>
        <v>0.54427661761387847</v>
      </c>
      <c r="AG130" s="79" t="s">
        <v>89</v>
      </c>
      <c r="AH130" s="84" t="s">
        <v>103</v>
      </c>
      <c r="AI130" s="79" t="s">
        <v>92</v>
      </c>
      <c r="AJ130" s="83">
        <v>43556</v>
      </c>
      <c r="AK130" s="83">
        <v>43617</v>
      </c>
      <c r="AL130" s="85" t="s">
        <v>30</v>
      </c>
      <c r="AM130" s="85" t="s">
        <v>99</v>
      </c>
      <c r="AN130" s="79" t="s">
        <v>73</v>
      </c>
      <c r="AO130" s="77" t="s">
        <v>705</v>
      </c>
      <c r="AP130" s="77" t="s">
        <v>81</v>
      </c>
      <c r="AQ130" s="77" t="s">
        <v>1954</v>
      </c>
      <c r="AR130" s="79" t="s">
        <v>2377</v>
      </c>
      <c r="AS130" s="79" t="s">
        <v>2073</v>
      </c>
      <c r="AT130" s="80">
        <v>22.286619999999999</v>
      </c>
      <c r="AU130" s="80">
        <v>114.21205999999999</v>
      </c>
      <c r="AV130" s="77" t="s">
        <v>2104</v>
      </c>
    </row>
    <row r="131" spans="1:48" ht="15" hidden="1" customHeight="1" x14ac:dyDescent="0.35">
      <c r="A131" s="77"/>
      <c r="B131" s="77" t="s">
        <v>2233</v>
      </c>
      <c r="C131" s="77" t="s">
        <v>1878</v>
      </c>
      <c r="D131" s="77"/>
      <c r="E131" s="79" t="s">
        <v>2</v>
      </c>
      <c r="F131" s="77" t="str">
        <f>VLOOKUP(Table1[[#This Row],[CBRE sub-markets]],Reference!$A$2:$B$31,2,FALSE)</f>
        <v>Admiralty &amp; Sheung Wan</v>
      </c>
      <c r="G131" s="77">
        <f>VLOOKUP(Table1[[#This Row],[CBRE sub-markets]],Reference!$A$2:$D$31,3,FALSE)</f>
        <v>2</v>
      </c>
      <c r="H131" s="79" t="str">
        <f>VLOOKUP(Table1[[#This Row],[CBRE sub-markets]],Reference!$A$2:$D$31,4,FALSE)</f>
        <v>Hong Kong Island</v>
      </c>
      <c r="I131" s="80">
        <v>2022</v>
      </c>
      <c r="J131" s="80">
        <v>3</v>
      </c>
      <c r="K131" s="81" t="str">
        <f>IF(ISNUMBER(Table1[[#This Row],[Qtr]]),CONCATENATE(Table1[[#This Row],[Year]]," Q",Table1[[#This Row],[Qtr]]),CONCATENATE(Table1[[#This Row],[Year]],Table1[[#This Row],[Qtr]]))</f>
        <v>2022 Q3</v>
      </c>
      <c r="L131" s="80" t="s">
        <v>21</v>
      </c>
      <c r="M131" s="80" t="s">
        <v>84</v>
      </c>
      <c r="N131" s="80">
        <v>1</v>
      </c>
      <c r="O131" s="80">
        <v>25</v>
      </c>
      <c r="P131" s="80">
        <v>24</v>
      </c>
      <c r="Q131" s="82">
        <f>Table1[[#This Row],[Office GFA (sf)]]/Table1[[#This Row],[No. of Storeys for Office]]</f>
        <v>2823.5055187500002</v>
      </c>
      <c r="R131" s="82">
        <f>Table1[[#This Row],[Office UFA (Net) (sf)]]/Table1[[#This Row],[No. of Storeys for Office]]</f>
        <v>1717.9632895833331</v>
      </c>
      <c r="S131" s="80" t="str">
        <f t="shared" si="8"/>
        <v>No</v>
      </c>
      <c r="T131" s="82">
        <v>6295.5</v>
      </c>
      <c r="U131" s="82">
        <f>+Table1[[#This Row],[Total GFA (sm)]]*10.7639</f>
        <v>67764.132450000005</v>
      </c>
      <c r="V131" s="82">
        <v>6295.5</v>
      </c>
      <c r="W131" s="82">
        <f>Table1[[#This Row],[Total GFA (sf)]]</f>
        <v>67764.132450000005</v>
      </c>
      <c r="X131" s="82">
        <v>3830.5</v>
      </c>
      <c r="Y131" s="82">
        <f>Table1[[#This Row],[Office UFA (Net) (sm)]]*10.7639</f>
        <v>41231.118949999996</v>
      </c>
      <c r="Z131" s="82"/>
      <c r="AA131" s="82"/>
      <c r="AB131" s="82"/>
      <c r="AC131" s="82">
        <f t="shared" si="7"/>
        <v>0</v>
      </c>
      <c r="AD131" s="82">
        <f>IF(Table1[[#This Row],[For Sale or For Lease?]]="For Sale",Table1[[#This Row],[Office UFA (Net) (sf)]]-Table1[[#This Row],[Pre-leased space (Usable FA) (sf)]]-Table1[[#This Row],[Pre-sold (Usable FA) (sf)]]-Table1[[#This Row],[Self-use space (Usable FA) (sf)]],0)</f>
        <v>41231.118949999996</v>
      </c>
      <c r="AE131" s="82">
        <f>IF(Table1[[#This Row],[For Sale or For Lease?]]="Uncertain",Table1[[#This Row],[Office UFA (Net) (sf)]]-Table1[[#This Row],[Pre-leased space (Usable FA) (sf)]]-Table1[[#This Row],[Pre-sold (Usable FA) (sf)]]-Table1[[#This Row],[Self-use space (Usable FA) (sf)]],0)</f>
        <v>0</v>
      </c>
      <c r="AF131" s="86">
        <f>1-SUM(Table1[[#This Row],[Space available for lease (Usable FA) (sf)]:[Space available uncertain of use (Usable FA) (sf)]])/Table1[[#This Row],[Office UFA (Net) (sf)]]</f>
        <v>0</v>
      </c>
      <c r="AG131" s="79" t="s">
        <v>89</v>
      </c>
      <c r="AH131" s="84" t="s">
        <v>103</v>
      </c>
      <c r="AI131" s="79" t="s">
        <v>92</v>
      </c>
      <c r="AJ131" s="83">
        <v>44228</v>
      </c>
      <c r="AK131" s="83">
        <v>44317</v>
      </c>
      <c r="AL131" s="85" t="s">
        <v>30</v>
      </c>
      <c r="AM131" s="85" t="s">
        <v>1879</v>
      </c>
      <c r="AN131" s="79" t="s">
        <v>73</v>
      </c>
      <c r="AO131" s="77" t="s">
        <v>704</v>
      </c>
      <c r="AP131" s="77" t="s">
        <v>81</v>
      </c>
      <c r="AQ131" s="77"/>
      <c r="AR131" s="79" t="s">
        <v>2404</v>
      </c>
      <c r="AS131" s="79"/>
      <c r="AT131" s="80">
        <v>22.28613</v>
      </c>
      <c r="AU131" s="80">
        <v>114.15232</v>
      </c>
      <c r="AV131" s="77" t="s">
        <v>2102</v>
      </c>
    </row>
    <row r="132" spans="1:48" ht="15" hidden="1" customHeight="1" x14ac:dyDescent="0.35">
      <c r="A132" s="77"/>
      <c r="B132" s="77" t="s">
        <v>1509</v>
      </c>
      <c r="C132" s="77" t="s">
        <v>1278</v>
      </c>
      <c r="D132" s="77" t="s">
        <v>721</v>
      </c>
      <c r="E132" s="79" t="s">
        <v>130</v>
      </c>
      <c r="F132" s="77" t="str">
        <f>VLOOKUP(Table1[[#This Row],[CBRE sub-markets]],Reference!$A$2:$B$31,2,FALSE)</f>
        <v>Wong Chuk Hang</v>
      </c>
      <c r="G132" s="77">
        <f>VLOOKUP(Table1[[#This Row],[CBRE sub-markets]],Reference!$A$2:$D$31,3,FALSE)</f>
        <v>5</v>
      </c>
      <c r="H132" s="79" t="str">
        <f>VLOOKUP(Table1[[#This Row],[CBRE sub-markets]],Reference!$A$2:$D$31,4,FALSE)</f>
        <v>Hong Kong Island</v>
      </c>
      <c r="I132" s="80">
        <v>2022</v>
      </c>
      <c r="J132" s="80">
        <v>3</v>
      </c>
      <c r="K132" s="81" t="str">
        <f>IF(ISNUMBER(Table1[[#This Row],[Qtr]]),CONCATENATE(Table1[[#This Row],[Year]]," Q",Table1[[#This Row],[Qtr]]),CONCATENATE(Table1[[#This Row],[Year]],Table1[[#This Row],[Qtr]]))</f>
        <v>2022 Q3</v>
      </c>
      <c r="L132" s="80" t="s">
        <v>20</v>
      </c>
      <c r="M132" s="80" t="s">
        <v>84</v>
      </c>
      <c r="N132" s="80">
        <v>1</v>
      </c>
      <c r="O132" s="80" t="s">
        <v>1472</v>
      </c>
      <c r="P132" s="80">
        <v>26</v>
      </c>
      <c r="Q132" s="82">
        <v>14000</v>
      </c>
      <c r="R132" s="82">
        <f>Table1[[#This Row],[Office UFA (Net) (sf)]]/26</f>
        <v>6504.6942307692316</v>
      </c>
      <c r="S132" s="80" t="str">
        <f t="shared" si="8"/>
        <v>No</v>
      </c>
      <c r="T132" s="82">
        <f>Table1[[#This Row],[Total GFA (sf)]]/10.7639</f>
        <v>23872.109551370788</v>
      </c>
      <c r="U132" s="82">
        <v>256957</v>
      </c>
      <c r="V132" s="82">
        <f>Table1[[#This Row],[Office GFA (sf)]]/10.7639</f>
        <v>20273.50681444458</v>
      </c>
      <c r="W132" s="82">
        <v>218222</v>
      </c>
      <c r="X132" s="82">
        <f>V132*0.775</f>
        <v>15711.967781194549</v>
      </c>
      <c r="Y132" s="82">
        <f>W132*0.775</f>
        <v>169122.05000000002</v>
      </c>
      <c r="Z132" s="82">
        <v>4967.75</v>
      </c>
      <c r="AA132" s="82"/>
      <c r="AB132" s="82"/>
      <c r="AC132" s="82">
        <f t="shared" si="7"/>
        <v>164154.30000000002</v>
      </c>
      <c r="AD132" s="82">
        <f>IF(Table1[[#This Row],[For Sale or For Lease?]]="For Sale",Table1[[#This Row],[Office UFA (Net) (sf)]]-Table1[[#This Row],[Pre-leased space (Usable FA) (sf)]]-Table1[[#This Row],[Pre-sold (Usable FA) (sf)]]-Table1[[#This Row],[Self-use space (Usable FA) (sf)]],0)</f>
        <v>0</v>
      </c>
      <c r="AE132" s="82">
        <f>IF(Table1[[#This Row],[For Sale or For Lease?]]="Uncertain",Table1[[#This Row],[Office UFA (Net) (sf)]]-Table1[[#This Row],[Pre-leased space (Usable FA) (sf)]]-Table1[[#This Row],[Pre-sold (Usable FA) (sf)]]-Table1[[#This Row],[Self-use space (Usable FA) (sf)]],0)</f>
        <v>0</v>
      </c>
      <c r="AF132" s="86">
        <f>1-SUM(Table1[[#This Row],[Space available for lease (Usable FA) (sf)]:[Space available uncertain of use (Usable FA) (sf)]])/Table1[[#This Row],[Office UFA (Net) (sf)]]</f>
        <v>2.9373756999752532E-2</v>
      </c>
      <c r="AG132" s="79" t="s">
        <v>89</v>
      </c>
      <c r="AH132" s="84" t="s">
        <v>103</v>
      </c>
      <c r="AI132" s="79" t="s">
        <v>1271</v>
      </c>
      <c r="AJ132" s="83">
        <v>43556</v>
      </c>
      <c r="AK132" s="83">
        <v>43617</v>
      </c>
      <c r="AL132" s="85" t="s">
        <v>29</v>
      </c>
      <c r="AM132" s="85" t="s">
        <v>1368</v>
      </c>
      <c r="AN132" s="79" t="s">
        <v>74</v>
      </c>
      <c r="AO132" s="77" t="s">
        <v>705</v>
      </c>
      <c r="AP132" s="77" t="s">
        <v>81</v>
      </c>
      <c r="AQ132" s="77" t="s">
        <v>1948</v>
      </c>
      <c r="AR132" s="79" t="s">
        <v>2374</v>
      </c>
      <c r="AS132" s="79"/>
      <c r="AT132" s="80">
        <v>22.249300000000002</v>
      </c>
      <c r="AU132" s="80">
        <v>114.16707</v>
      </c>
      <c r="AV132" s="77" t="s">
        <v>2148</v>
      </c>
    </row>
    <row r="133" spans="1:48" ht="15" hidden="1" customHeight="1" x14ac:dyDescent="0.35">
      <c r="A133" s="77"/>
      <c r="B133" s="77" t="s">
        <v>1859</v>
      </c>
      <c r="C133" s="77" t="s">
        <v>1292</v>
      </c>
      <c r="D133" s="77" t="s">
        <v>1294</v>
      </c>
      <c r="E133" s="79" t="s">
        <v>567</v>
      </c>
      <c r="F133" s="77" t="str">
        <f>VLOOKUP(Table1[[#This Row],[CBRE sub-markets]],Reference!$A$2:$B$31,2,FALSE)</f>
        <v>Kowloon East</v>
      </c>
      <c r="G133" s="77">
        <f>VLOOKUP(Table1[[#This Row],[CBRE sub-markets]],Reference!$A$2:$D$31,3,FALSE)</f>
        <v>7</v>
      </c>
      <c r="H133" s="79" t="str">
        <f>VLOOKUP(Table1[[#This Row],[CBRE sub-markets]],Reference!$A$2:$D$31,4,FALSE)</f>
        <v>Kowloon</v>
      </c>
      <c r="I133" s="80">
        <v>2022</v>
      </c>
      <c r="J133" s="80">
        <v>3</v>
      </c>
      <c r="K133" s="81" t="str">
        <f>IF(ISNUMBER(Table1[[#This Row],[Qtr]]),CONCATENATE(Table1[[#This Row],[Year]]," Q",Table1[[#This Row],[Qtr]]),CONCATENATE(Table1[[#This Row],[Year]],Table1[[#This Row],[Qtr]]))</f>
        <v>2022 Q3</v>
      </c>
      <c r="L133" s="80" t="s">
        <v>20</v>
      </c>
      <c r="M133" s="80" t="s">
        <v>84</v>
      </c>
      <c r="N133" s="80">
        <v>2</v>
      </c>
      <c r="O133" s="80" t="s">
        <v>1571</v>
      </c>
      <c r="P133" s="80">
        <f>23+8</f>
        <v>31</v>
      </c>
      <c r="Q133" s="82" t="s">
        <v>1657</v>
      </c>
      <c r="R133" s="82" t="s">
        <v>1658</v>
      </c>
      <c r="S133" s="80" t="str">
        <f t="shared" si="8"/>
        <v>No</v>
      </c>
      <c r="T133" s="82">
        <v>177670</v>
      </c>
      <c r="U133" s="82">
        <f>Table1[[#This Row],[Total GFA (sm)]]*10.7639</f>
        <v>1912422.1129999999</v>
      </c>
      <c r="V133" s="82">
        <f>Table1[[#This Row],[Office GFA (sf)]]/10.76391</f>
        <v>119659.12015243532</v>
      </c>
      <c r="W133" s="82">
        <v>1288000</v>
      </c>
      <c r="X133" s="82">
        <f>V133*0.74</f>
        <v>88547.748912802141</v>
      </c>
      <c r="Y133" s="82">
        <f>W133*0.74</f>
        <v>953120</v>
      </c>
      <c r="Z133" s="82"/>
      <c r="AA133" s="82"/>
      <c r="AB133" s="82"/>
      <c r="AC133" s="82">
        <f t="shared" si="7"/>
        <v>953120</v>
      </c>
      <c r="AD133" s="82">
        <f>IF(Table1[[#This Row],[For Sale or For Lease?]]="For Sale",Table1[[#This Row],[Office UFA (Net) (sf)]]-Table1[[#This Row],[Pre-leased space (Usable FA) (sf)]]-Table1[[#This Row],[Pre-sold (Usable FA) (sf)]]-Table1[[#This Row],[Self-use space (Usable FA) (sf)]],0)</f>
        <v>0</v>
      </c>
      <c r="AE133" s="82">
        <f>IF(Table1[[#This Row],[For Sale or For Lease?]]="Uncertain",Table1[[#This Row],[Office UFA (Net) (sf)]]-Table1[[#This Row],[Pre-leased space (Usable FA) (sf)]]-Table1[[#This Row],[Pre-sold (Usable FA) (sf)]]-Table1[[#This Row],[Self-use space (Usable FA) (sf)]],0)</f>
        <v>0</v>
      </c>
      <c r="AF133" s="86">
        <f>1-SUM(Table1[[#This Row],[Space available for lease (Usable FA) (sf)]:[Space available uncertain of use (Usable FA) (sf)]])/Table1[[#This Row],[Office UFA (Net) (sf)]]</f>
        <v>0</v>
      </c>
      <c r="AG133" s="79" t="s">
        <v>89</v>
      </c>
      <c r="AH133" s="84" t="s">
        <v>103</v>
      </c>
      <c r="AI133" s="79" t="s">
        <v>1271</v>
      </c>
      <c r="AJ133" s="83">
        <v>44774</v>
      </c>
      <c r="AK133" s="83">
        <v>44866</v>
      </c>
      <c r="AL133" s="85" t="s">
        <v>29</v>
      </c>
      <c r="AM133" s="85" t="s">
        <v>1396</v>
      </c>
      <c r="AN133" s="79" t="s">
        <v>74</v>
      </c>
      <c r="AO133" s="77" t="s">
        <v>705</v>
      </c>
      <c r="AP133" s="77" t="s">
        <v>81</v>
      </c>
      <c r="AQ133" s="77" t="s">
        <v>1949</v>
      </c>
      <c r="AR133" s="79" t="s">
        <v>2378</v>
      </c>
      <c r="AS133" s="79" t="s">
        <v>1999</v>
      </c>
      <c r="AT133" s="80">
        <v>22.330939999999998</v>
      </c>
      <c r="AU133" s="80">
        <v>114.1981</v>
      </c>
      <c r="AV133" s="77"/>
    </row>
    <row r="134" spans="1:48" ht="15" hidden="1" customHeight="1" x14ac:dyDescent="0.35">
      <c r="A134" s="77"/>
      <c r="B134" s="77" t="s">
        <v>2480</v>
      </c>
      <c r="C134" s="77" t="s">
        <v>1565</v>
      </c>
      <c r="D134" s="77"/>
      <c r="E134" s="79" t="s">
        <v>15</v>
      </c>
      <c r="F134" s="77" t="str">
        <f>VLOOKUP(Table1[[#This Row],[CBRE sub-markets]],Reference!$A$2:$B$31,2,FALSE)</f>
        <v>New Territories</v>
      </c>
      <c r="G134" s="77">
        <f>VLOOKUP(Table1[[#This Row],[CBRE sub-markets]],Reference!$A$2:$D$31,3,FALSE)</f>
        <v>9</v>
      </c>
      <c r="H134" s="79" t="str">
        <f>VLOOKUP(Table1[[#This Row],[CBRE sub-markets]],Reference!$A$2:$D$31,4,FALSE)</f>
        <v>New Territories</v>
      </c>
      <c r="I134" s="80">
        <v>2022</v>
      </c>
      <c r="J134" s="80">
        <v>3</v>
      </c>
      <c r="K134" s="81" t="str">
        <f>IF(ISNUMBER(Table1[[#This Row],[Qtr]]),CONCATENATE(Table1[[#This Row],[Year]]," Q",Table1[[#This Row],[Qtr]]),CONCATENATE(Table1[[#This Row],[Year]],Table1[[#This Row],[Qtr]]))</f>
        <v>2022 Q3</v>
      </c>
      <c r="L134" s="80" t="s">
        <v>20</v>
      </c>
      <c r="M134" s="80" t="s">
        <v>84</v>
      </c>
      <c r="N134" s="80">
        <v>1</v>
      </c>
      <c r="O134" s="80" t="s">
        <v>1566</v>
      </c>
      <c r="P134" s="80">
        <v>20</v>
      </c>
      <c r="Q134" s="82">
        <v>22700</v>
      </c>
      <c r="R134" s="82">
        <v>15570</v>
      </c>
      <c r="S134" s="80" t="str">
        <f t="shared" si="8"/>
        <v>Yes</v>
      </c>
      <c r="T134" s="82">
        <f>Table1[[#This Row],[Total GFA (sf)]]/10.7639</f>
        <v>50612.510335473205</v>
      </c>
      <c r="U134" s="82">
        <v>544788</v>
      </c>
      <c r="V134" s="82">
        <f>Table1[[#This Row],[Office GFA (sf)]]/10.7639</f>
        <v>50612.510335473205</v>
      </c>
      <c r="W134" s="82">
        <v>544788</v>
      </c>
      <c r="X134" s="82">
        <f>+Table1[[#This Row],[Office UFA (Net) (sf)]]/10.7639</f>
        <v>34717.063517869916</v>
      </c>
      <c r="Y134" s="82">
        <v>373691</v>
      </c>
      <c r="Z134" s="82"/>
      <c r="AA134" s="82"/>
      <c r="AB134" s="82"/>
      <c r="AC134" s="82">
        <f t="shared" si="7"/>
        <v>0</v>
      </c>
      <c r="AD134" s="82">
        <f>IF(Table1[[#This Row],[For Sale or For Lease?]]="For Sale",Table1[[#This Row],[Office UFA (Net) (sf)]]-Table1[[#This Row],[Pre-leased space (Usable FA) (sf)]]-Table1[[#This Row],[Pre-sold (Usable FA) (sf)]]-Table1[[#This Row],[Self-use space (Usable FA) (sf)]],0)</f>
        <v>373691</v>
      </c>
      <c r="AE134" s="82">
        <f>IF(Table1[[#This Row],[For Sale or For Lease?]]="Uncertain",Table1[[#This Row],[Office UFA (Net) (sf)]]-Table1[[#This Row],[Pre-leased space (Usable FA) (sf)]]-Table1[[#This Row],[Pre-sold (Usable FA) (sf)]]-Table1[[#This Row],[Self-use space (Usable FA) (sf)]],0)</f>
        <v>0</v>
      </c>
      <c r="AF134" s="86">
        <f>1-SUM(Table1[[#This Row],[Space available for lease (Usable FA) (sf)]:[Space available uncertain of use (Usable FA) (sf)]])/Table1[[#This Row],[Office UFA (Net) (sf)]]</f>
        <v>0</v>
      </c>
      <c r="AG134" s="79" t="s">
        <v>89</v>
      </c>
      <c r="AH134" s="84" t="s">
        <v>103</v>
      </c>
      <c r="AI134" s="79" t="s">
        <v>1550</v>
      </c>
      <c r="AJ134" s="83">
        <v>43647</v>
      </c>
      <c r="AK134" s="83">
        <v>43739</v>
      </c>
      <c r="AL134" s="85" t="s">
        <v>30</v>
      </c>
      <c r="AM134" s="85" t="s">
        <v>501</v>
      </c>
      <c r="AN134" s="79" t="s">
        <v>73</v>
      </c>
      <c r="AO134" s="77" t="s">
        <v>704</v>
      </c>
      <c r="AP134" s="77" t="s">
        <v>82</v>
      </c>
      <c r="AQ134" s="77" t="s">
        <v>1673</v>
      </c>
      <c r="AR134" s="79" t="s">
        <v>2436</v>
      </c>
      <c r="AS134" s="79"/>
      <c r="AT134" s="80">
        <v>22.375129999999999</v>
      </c>
      <c r="AU134" s="80">
        <v>114.10812</v>
      </c>
      <c r="AV134" s="77" t="s">
        <v>2137</v>
      </c>
    </row>
    <row r="135" spans="1:48" ht="15" hidden="1" customHeight="1" x14ac:dyDescent="0.35">
      <c r="A135" s="77"/>
      <c r="B135" s="77" t="s">
        <v>2264</v>
      </c>
      <c r="C135" s="77" t="s">
        <v>2265</v>
      </c>
      <c r="D135" s="77"/>
      <c r="E135" s="79" t="s">
        <v>130</v>
      </c>
      <c r="F135" s="77" t="str">
        <f>VLOOKUP(Table1[[#This Row],[CBRE sub-markets]],Reference!$A$2:$B$31,2,FALSE)</f>
        <v>Wong Chuk Hang</v>
      </c>
      <c r="G135" s="77">
        <f>VLOOKUP(Table1[[#This Row],[CBRE sub-markets]],Reference!$A$2:$D$31,3,FALSE)</f>
        <v>5</v>
      </c>
      <c r="H135" s="79" t="str">
        <f>VLOOKUP(Table1[[#This Row],[CBRE sub-markets]],Reference!$A$2:$D$31,4,FALSE)</f>
        <v>Hong Kong Island</v>
      </c>
      <c r="I135" s="80">
        <v>2022</v>
      </c>
      <c r="J135" s="80">
        <v>4</v>
      </c>
      <c r="K135" s="81" t="str">
        <f>IF(ISNUMBER(Table1[[#This Row],[Qtr]]),CONCATENATE(Table1[[#This Row],[Year]]," Q",Table1[[#This Row],[Qtr]]),CONCATENATE(Table1[[#This Row],[Year]],Table1[[#This Row],[Qtr]]))</f>
        <v>2022 Q4</v>
      </c>
      <c r="L135" s="80" t="s">
        <v>20</v>
      </c>
      <c r="M135" s="80" t="s">
        <v>84</v>
      </c>
      <c r="N135" s="80">
        <v>1</v>
      </c>
      <c r="O135" s="80">
        <v>28</v>
      </c>
      <c r="P135" s="80">
        <v>22</v>
      </c>
      <c r="Q135" s="82">
        <v>7630</v>
      </c>
      <c r="R135" s="82">
        <f>Table1[[#This Row],[Floor Plate (GFA) (sf)]]*0.7</f>
        <v>5341</v>
      </c>
      <c r="S135" s="80" t="str">
        <f t="shared" si="8"/>
        <v>No</v>
      </c>
      <c r="T135" s="82">
        <f>Table1[[#This Row],[Total GFA (sf)]]/10.7639</f>
        <v>15189.661739704012</v>
      </c>
      <c r="U135" s="82">
        <v>163500</v>
      </c>
      <c r="V135" s="82">
        <f>Table1[[#This Row],[Office GFA (sf)]]/10.7639</f>
        <v>16243.554845362742</v>
      </c>
      <c r="W135" s="82">
        <v>174844</v>
      </c>
      <c r="X135" s="82">
        <f>Table1[[#This Row],[Office UFA (Net) (sf)]]/10.7639</f>
        <v>11370.488391753917</v>
      </c>
      <c r="Y135" s="82">
        <f>W135*0.7</f>
        <v>122390.79999999999</v>
      </c>
      <c r="Z135" s="82"/>
      <c r="AA135" s="82"/>
      <c r="AB135" s="82"/>
      <c r="AC135" s="82">
        <f t="shared" si="7"/>
        <v>122390.79999999999</v>
      </c>
      <c r="AD135" s="82">
        <f>IF(Table1[[#This Row],[For Sale or For Lease?]]="For Sale",Table1[[#This Row],[Office UFA (Net) (sf)]]-Table1[[#This Row],[Pre-leased space (Usable FA) (sf)]]-Table1[[#This Row],[Pre-sold (Usable FA) (sf)]]-Table1[[#This Row],[Self-use space (Usable FA) (sf)]],0)</f>
        <v>0</v>
      </c>
      <c r="AE135" s="82">
        <f>IF(Table1[[#This Row],[For Sale or For Lease?]]="Uncertain",Table1[[#This Row],[Office UFA (Net) (sf)]]-Table1[[#This Row],[Pre-leased space (Usable FA) (sf)]]-Table1[[#This Row],[Pre-sold (Usable FA) (sf)]]-Table1[[#This Row],[Self-use space (Usable FA) (sf)]],0)</f>
        <v>0</v>
      </c>
      <c r="AF135" s="86">
        <f>1-SUM(Table1[[#This Row],[Space available for lease (Usable FA) (sf)]:[Space available uncertain of use (Usable FA) (sf)]])/Table1[[#This Row],[Office UFA (Net) (sf)]]</f>
        <v>0</v>
      </c>
      <c r="AG135" s="79" t="s">
        <v>89</v>
      </c>
      <c r="AH135" s="84" t="s">
        <v>103</v>
      </c>
      <c r="AI135" s="79" t="s">
        <v>2266</v>
      </c>
      <c r="AJ135" s="83">
        <v>44896</v>
      </c>
      <c r="AK135" s="83">
        <v>44958</v>
      </c>
      <c r="AL135" s="85" t="s">
        <v>30</v>
      </c>
      <c r="AM135" s="85" t="s">
        <v>1461</v>
      </c>
      <c r="AN135" s="79" t="s">
        <v>73</v>
      </c>
      <c r="AO135" s="77" t="s">
        <v>705</v>
      </c>
      <c r="AP135" s="77" t="s">
        <v>81</v>
      </c>
      <c r="AQ135" s="77" t="s">
        <v>1917</v>
      </c>
      <c r="AR135" s="79" t="s">
        <v>2387</v>
      </c>
      <c r="AS135" s="79"/>
      <c r="AT135" s="80">
        <v>22.2480334823635</v>
      </c>
      <c r="AU135" s="80">
        <v>114.165827310382</v>
      </c>
      <c r="AV135" s="77" t="s">
        <v>2085</v>
      </c>
    </row>
    <row r="136" spans="1:48" ht="15" hidden="1" customHeight="1" x14ac:dyDescent="0.35">
      <c r="A136" s="77"/>
      <c r="B136" s="77" t="s">
        <v>2243</v>
      </c>
      <c r="C136" s="77" t="s">
        <v>1317</v>
      </c>
      <c r="D136" s="77" t="s">
        <v>714</v>
      </c>
      <c r="E136" s="79" t="s">
        <v>50</v>
      </c>
      <c r="F136" s="77" t="str">
        <f>VLOOKUP(Table1[[#This Row],[CBRE sub-markets]],Reference!$A$2:$B$31,2,FALSE)</f>
        <v>Kowloon East</v>
      </c>
      <c r="G136" s="77">
        <f>VLOOKUP(Table1[[#This Row],[CBRE sub-markets]],Reference!$A$2:$D$31,3,FALSE)</f>
        <v>7</v>
      </c>
      <c r="H136" s="79" t="str">
        <f>VLOOKUP(Table1[[#This Row],[CBRE sub-markets]],Reference!$A$2:$D$31,4,FALSE)</f>
        <v>Kowloon</v>
      </c>
      <c r="I136" s="80">
        <v>2022</v>
      </c>
      <c r="J136" s="80">
        <v>4</v>
      </c>
      <c r="K136" s="81" t="str">
        <f>IF(ISNUMBER(Table1[[#This Row],[Qtr]]),CONCATENATE(Table1[[#This Row],[Year]]," Q",Table1[[#This Row],[Qtr]]),CONCATENATE(Table1[[#This Row],[Year]],Table1[[#This Row],[Qtr]]))</f>
        <v>2022 Q4</v>
      </c>
      <c r="L136" s="80" t="s">
        <v>20</v>
      </c>
      <c r="M136" s="80" t="s">
        <v>84</v>
      </c>
      <c r="N136" s="80">
        <v>2</v>
      </c>
      <c r="O136" s="80">
        <v>32</v>
      </c>
      <c r="P136" s="80" t="s">
        <v>1614</v>
      </c>
      <c r="Q136" s="82" t="s">
        <v>1345</v>
      </c>
      <c r="R136" s="82" t="s">
        <v>2178</v>
      </c>
      <c r="S136" s="80" t="str">
        <f t="shared" si="8"/>
        <v>No</v>
      </c>
      <c r="T136" s="82">
        <f>+Table1[[#This Row],[Total GFA (sf)]]/10.7639</f>
        <v>106830.39247856259</v>
      </c>
      <c r="U136" s="82">
        <v>1149911.6615999998</v>
      </c>
      <c r="V136" s="82">
        <f>Table1[[#This Row],[Office GFA (sf)]]/10.7639</f>
        <v>57599.940541996861</v>
      </c>
      <c r="W136" s="82">
        <f>400000+220000</f>
        <v>620000</v>
      </c>
      <c r="X136" s="82">
        <f>V136*0.75</f>
        <v>43199.955406497647</v>
      </c>
      <c r="Y136" s="82">
        <f>W136*0.75</f>
        <v>465000</v>
      </c>
      <c r="Z136" s="82">
        <f>90000+6866</f>
        <v>96866</v>
      </c>
      <c r="AA136" s="82"/>
      <c r="AB136" s="82"/>
      <c r="AC136" s="82">
        <f t="shared" si="7"/>
        <v>368134</v>
      </c>
      <c r="AD136" s="82">
        <f>IF(Table1[[#This Row],[For Sale or For Lease?]]="For Sale",Table1[[#This Row],[Office UFA (Net) (sf)]]-Table1[[#This Row],[Pre-leased space (Usable FA) (sf)]]-Table1[[#This Row],[Pre-sold (Usable FA) (sf)]]-Table1[[#This Row],[Self-use space (Usable FA) (sf)]],0)</f>
        <v>0</v>
      </c>
      <c r="AE136" s="82">
        <f>IF(Table1[[#This Row],[For Sale or For Lease?]]="Uncertain",Table1[[#This Row],[Office UFA (Net) (sf)]]-Table1[[#This Row],[Pre-leased space (Usable FA) (sf)]]-Table1[[#This Row],[Pre-sold (Usable FA) (sf)]]-Table1[[#This Row],[Self-use space (Usable FA) (sf)]],0)</f>
        <v>0</v>
      </c>
      <c r="AF136" s="86">
        <f>1-SUM(Table1[[#This Row],[Space available for lease (Usable FA) (sf)]:[Space available uncertain of use (Usable FA) (sf)]])/Table1[[#This Row],[Office UFA (Net) (sf)]]</f>
        <v>0.20831397849462363</v>
      </c>
      <c r="AG136" s="79" t="s">
        <v>89</v>
      </c>
      <c r="AH136" s="84" t="s">
        <v>103</v>
      </c>
      <c r="AI136" s="79" t="s">
        <v>1376</v>
      </c>
      <c r="AJ136" s="83">
        <v>44866</v>
      </c>
      <c r="AK136" s="83">
        <v>44958</v>
      </c>
      <c r="AL136" s="85" t="s">
        <v>30</v>
      </c>
      <c r="AM136" s="85" t="s">
        <v>2248</v>
      </c>
      <c r="AN136" s="79" t="s">
        <v>73</v>
      </c>
      <c r="AO136" s="77" t="s">
        <v>705</v>
      </c>
      <c r="AP136" s="77" t="s">
        <v>81</v>
      </c>
      <c r="AQ136" s="77" t="s">
        <v>2249</v>
      </c>
      <c r="AR136" s="79" t="s">
        <v>2435</v>
      </c>
      <c r="AS136" s="79" t="s">
        <v>2076</v>
      </c>
      <c r="AT136" s="80">
        <v>22.312794762016601</v>
      </c>
      <c r="AU136" s="80">
        <v>114.221279318138</v>
      </c>
      <c r="AV136" s="77" t="s">
        <v>2175</v>
      </c>
    </row>
    <row r="137" spans="1:48" ht="15" hidden="1" customHeight="1" x14ac:dyDescent="0.35">
      <c r="A137" s="77"/>
      <c r="B137" s="77" t="s">
        <v>2477</v>
      </c>
      <c r="C137" s="77" t="s">
        <v>327</v>
      </c>
      <c r="D137" s="77"/>
      <c r="E137" s="79" t="s">
        <v>50</v>
      </c>
      <c r="F137" s="77" t="str">
        <f>VLOOKUP(Table1[[#This Row],[CBRE sub-markets]],Reference!$A$2:$B$31,2,FALSE)</f>
        <v>Kowloon East</v>
      </c>
      <c r="G137" s="77">
        <f>VLOOKUP(Table1[[#This Row],[CBRE sub-markets]],Reference!$A$2:$D$31,3,FALSE)</f>
        <v>7</v>
      </c>
      <c r="H137" s="79" t="str">
        <f>VLOOKUP(Table1[[#This Row],[CBRE sub-markets]],Reference!$A$2:$D$31,4,FALSE)</f>
        <v>Kowloon</v>
      </c>
      <c r="I137" s="80">
        <v>2022</v>
      </c>
      <c r="J137" s="80">
        <v>4</v>
      </c>
      <c r="K137" s="81" t="str">
        <f>IF(ISNUMBER(Table1[[#This Row],[Qtr]]),CONCATENATE(Table1[[#This Row],[Year]]," Q",Table1[[#This Row],[Qtr]]),CONCATENATE(Table1[[#This Row],[Year]],Table1[[#This Row],[Qtr]]))</f>
        <v>2022 Q4</v>
      </c>
      <c r="L137" s="80" t="s">
        <v>20</v>
      </c>
      <c r="M137" s="80" t="s">
        <v>84</v>
      </c>
      <c r="N137" s="80">
        <v>1</v>
      </c>
      <c r="O137" s="80" t="s">
        <v>1600</v>
      </c>
      <c r="P137" s="80">
        <v>25</v>
      </c>
      <c r="Q137" s="82">
        <f>+Table1[[#This Row],[Office GFA (sf)]]/Table1[[#This Row],[No. of Storeys for Office]]</f>
        <v>14869</v>
      </c>
      <c r="R137" s="82">
        <f>+Table1[[#This Row],[Floor Plate (GFA) (sf)]]*0.75</f>
        <v>11151.75</v>
      </c>
      <c r="S137" s="80" t="str">
        <f t="shared" si="8"/>
        <v>No</v>
      </c>
      <c r="T137" s="82">
        <f>Table1[[#This Row],[Total GFA (sf)]]/10.7639</f>
        <v>37062.310129228252</v>
      </c>
      <c r="U137" s="82">
        <v>398935</v>
      </c>
      <c r="V137" s="82">
        <v>29449.82</v>
      </c>
      <c r="W137" s="82">
        <v>371725</v>
      </c>
      <c r="X137" s="82">
        <f>Table1[[#This Row],[Office GFA (sf)]]/10.7639</f>
        <v>34534.415964473847</v>
      </c>
      <c r="Y137" s="82">
        <f>W137*0.7</f>
        <v>260207.49999999997</v>
      </c>
      <c r="Z137" s="82"/>
      <c r="AA137" s="82"/>
      <c r="AB137" s="82"/>
      <c r="AC137" s="82">
        <f t="shared" si="7"/>
        <v>0</v>
      </c>
      <c r="AD137" s="82">
        <f>IF(Table1[[#This Row],[For Sale or For Lease?]]="For Sale",Table1[[#This Row],[Office UFA (Net) (sf)]]-Table1[[#This Row],[Pre-leased space (Usable FA) (sf)]]-Table1[[#This Row],[Pre-sold (Usable FA) (sf)]]-Table1[[#This Row],[Self-use space (Usable FA) (sf)]],0)</f>
        <v>260207.49999999997</v>
      </c>
      <c r="AE137" s="82">
        <f>IF(Table1[[#This Row],[For Sale or For Lease?]]="Uncertain",Table1[[#This Row],[Office UFA (Net) (sf)]]-Table1[[#This Row],[Pre-leased space (Usable FA) (sf)]]-Table1[[#This Row],[Pre-sold (Usable FA) (sf)]]-Table1[[#This Row],[Self-use space (Usable FA) (sf)]],0)</f>
        <v>0</v>
      </c>
      <c r="AF137" s="86">
        <f>1-SUM(Table1[[#This Row],[Space available for lease (Usable FA) (sf)]:[Space available uncertain of use (Usable FA) (sf)]])/Table1[[#This Row],[Office UFA (Net) (sf)]]</f>
        <v>0</v>
      </c>
      <c r="AG137" s="79" t="s">
        <v>89</v>
      </c>
      <c r="AH137" s="84" t="s">
        <v>103</v>
      </c>
      <c r="AI137" s="79" t="s">
        <v>92</v>
      </c>
      <c r="AJ137" s="83">
        <v>44866</v>
      </c>
      <c r="AK137" s="83">
        <v>44958</v>
      </c>
      <c r="AL137" s="85" t="s">
        <v>30</v>
      </c>
      <c r="AM137" s="85" t="s">
        <v>2256</v>
      </c>
      <c r="AN137" s="79" t="s">
        <v>73</v>
      </c>
      <c r="AO137" s="77" t="s">
        <v>704</v>
      </c>
      <c r="AP137" s="77" t="s">
        <v>82</v>
      </c>
      <c r="AQ137" s="77"/>
      <c r="AR137" s="79" t="s">
        <v>2383</v>
      </c>
      <c r="AS137" s="79"/>
      <c r="AT137" s="80">
        <v>22.307580000000002</v>
      </c>
      <c r="AU137" s="80">
        <v>114.22435</v>
      </c>
      <c r="AV137" s="77" t="s">
        <v>2108</v>
      </c>
    </row>
    <row r="138" spans="1:48" ht="15" hidden="1" customHeight="1" x14ac:dyDescent="0.35">
      <c r="A138" s="77"/>
      <c r="B138" s="77" t="s">
        <v>1933</v>
      </c>
      <c r="C138" s="77" t="s">
        <v>2275</v>
      </c>
      <c r="D138" s="77"/>
      <c r="E138" s="79" t="s">
        <v>54</v>
      </c>
      <c r="F138" s="77" t="str">
        <f>VLOOKUP(Table1[[#This Row],[CBRE sub-markets]],Reference!$A$2:$B$31,2,FALSE)</f>
        <v>New Territories</v>
      </c>
      <c r="G138" s="77">
        <f>VLOOKUP(Table1[[#This Row],[CBRE sub-markets]],Reference!$A$2:$D$31,3,FALSE)</f>
        <v>9</v>
      </c>
      <c r="H138" s="79" t="str">
        <f>VLOOKUP(Table1[[#This Row],[CBRE sub-markets]],Reference!$A$2:$D$31,4,FALSE)</f>
        <v>New Territories</v>
      </c>
      <c r="I138" s="80">
        <v>2022</v>
      </c>
      <c r="J138" s="80">
        <v>4</v>
      </c>
      <c r="K138" s="81" t="str">
        <f>IF(ISNUMBER(Table1[[#This Row],[Qtr]]),CONCATENATE(Table1[[#This Row],[Year]]," Q",Table1[[#This Row],[Qtr]]),CONCATENATE(Table1[[#This Row],[Year]],Table1[[#This Row],[Qtr]]))</f>
        <v>2022 Q4</v>
      </c>
      <c r="L138" s="80" t="s">
        <v>20</v>
      </c>
      <c r="M138" s="80" t="s">
        <v>84</v>
      </c>
      <c r="N138" s="80">
        <v>4</v>
      </c>
      <c r="O138" s="80" t="s">
        <v>1596</v>
      </c>
      <c r="P138" s="80">
        <v>26</v>
      </c>
      <c r="Q138" s="82">
        <f>+Table1[[#This Row],[Floor Plate (NFA) (sf)]]/0.75</f>
        <v>17115.384615384613</v>
      </c>
      <c r="R138" s="82">
        <f>+Table1[[#This Row],[Office UFA (Net) (sf)]]/Table1[[#This Row],[No. of Storeys for Office]]</f>
        <v>12836.538461538461</v>
      </c>
      <c r="S138" s="80" t="str">
        <f t="shared" si="8"/>
        <v>No</v>
      </c>
      <c r="T138" s="82">
        <f>+Table1[[#This Row],[Total GFA (sf)]]/10.7639</f>
        <v>53698.009085926104</v>
      </c>
      <c r="U138" s="82">
        <v>578000</v>
      </c>
      <c r="V138" s="82">
        <f>+Table1[[#This Row],[Office GFA (sf)]]/10.7639</f>
        <v>41341.892808368713</v>
      </c>
      <c r="W138" s="82">
        <v>445000</v>
      </c>
      <c r="X138" s="82">
        <f>V138*0.75</f>
        <v>31006.419606276533</v>
      </c>
      <c r="Y138" s="82">
        <f>W138*0.75</f>
        <v>333750</v>
      </c>
      <c r="Z138" s="82"/>
      <c r="AA138" s="82"/>
      <c r="AB138" s="82"/>
      <c r="AC138" s="82">
        <f t="shared" si="7"/>
        <v>333750</v>
      </c>
      <c r="AD138" s="82">
        <f>IF(Table1[[#This Row],[For Sale or For Lease?]]="For Sale",Table1[[#This Row],[Office UFA (Net) (sf)]]-Table1[[#This Row],[Pre-leased space (Usable FA) (sf)]]-Table1[[#This Row],[Pre-sold (Usable FA) (sf)]]-Table1[[#This Row],[Self-use space (Usable FA) (sf)]],0)</f>
        <v>0</v>
      </c>
      <c r="AE138" s="82">
        <f>IF(Table1[[#This Row],[For Sale or For Lease?]]="Uncertain",Table1[[#This Row],[Office UFA (Net) (sf)]]-Table1[[#This Row],[Pre-leased space (Usable FA) (sf)]]-Table1[[#This Row],[Pre-sold (Usable FA) (sf)]]-Table1[[#This Row],[Self-use space (Usable FA) (sf)]],0)</f>
        <v>0</v>
      </c>
      <c r="AF138" s="86">
        <f>1-SUM(Table1[[#This Row],[Space available for lease (Usable FA) (sf)]:[Space available uncertain of use (Usable FA) (sf)]])/Table1[[#This Row],[Office UFA (Net) (sf)]]</f>
        <v>0</v>
      </c>
      <c r="AG138" s="79" t="s">
        <v>89</v>
      </c>
      <c r="AH138" s="84" t="s">
        <v>103</v>
      </c>
      <c r="AI138" s="79" t="s">
        <v>92</v>
      </c>
      <c r="AJ138" s="83">
        <v>44835</v>
      </c>
      <c r="AK138" s="83">
        <v>44896</v>
      </c>
      <c r="AL138" s="85" t="s">
        <v>29</v>
      </c>
      <c r="AM138" s="85" t="s">
        <v>1597</v>
      </c>
      <c r="AN138" s="79" t="s">
        <v>73</v>
      </c>
      <c r="AO138" s="77" t="s">
        <v>705</v>
      </c>
      <c r="AP138" s="77" t="s">
        <v>81</v>
      </c>
      <c r="AQ138" s="77" t="s">
        <v>1934</v>
      </c>
      <c r="AR138" s="79" t="s">
        <v>2375</v>
      </c>
      <c r="AS138" s="79" t="s">
        <v>2081</v>
      </c>
      <c r="AT138" s="80">
        <v>22.45082</v>
      </c>
      <c r="AU138" s="80">
        <v>114.02943999999999</v>
      </c>
      <c r="AV138" s="77" t="s">
        <v>2155</v>
      </c>
    </row>
    <row r="139" spans="1:48" ht="15" hidden="1" customHeight="1" x14ac:dyDescent="0.35">
      <c r="A139" s="77"/>
      <c r="B139" s="77" t="s">
        <v>1955</v>
      </c>
      <c r="C139" s="77" t="s">
        <v>1578</v>
      </c>
      <c r="D139" s="77"/>
      <c r="E139" s="79" t="s">
        <v>4</v>
      </c>
      <c r="F139" s="77" t="str">
        <f>VLOOKUP(Table1[[#This Row],[CBRE sub-markets]],Reference!$A$2:$B$31,2,FALSE)</f>
        <v>Wan Chai &amp; Causeway Bay</v>
      </c>
      <c r="G139" s="77">
        <f>VLOOKUP(Table1[[#This Row],[CBRE sub-markets]],Reference!$A$2:$D$31,3,FALSE)</f>
        <v>3</v>
      </c>
      <c r="H139" s="79" t="str">
        <f>VLOOKUP(Table1[[#This Row],[CBRE sub-markets]],Reference!$A$2:$D$31,4,FALSE)</f>
        <v>Hong Kong Island</v>
      </c>
      <c r="I139" s="80">
        <v>2022</v>
      </c>
      <c r="J139" s="80"/>
      <c r="K139" s="81" t="str">
        <f>IF(ISNUMBER(Table1[[#This Row],[Qtr]]),CONCATENATE(Table1[[#This Row],[Year]]," Q",Table1[[#This Row],[Qtr]]),CONCATENATE(Table1[[#This Row],[Year]],Table1[[#This Row],[Qtr]]))</f>
        <v>2022</v>
      </c>
      <c r="L139" s="80" t="s">
        <v>21</v>
      </c>
      <c r="M139" s="80" t="s">
        <v>84</v>
      </c>
      <c r="N139" s="80">
        <v>1</v>
      </c>
      <c r="O139" s="80">
        <v>26</v>
      </c>
      <c r="P139" s="80">
        <v>24</v>
      </c>
      <c r="Q139" s="82">
        <f>+Table1[[#This Row],[Office GFA (sf)]]/Table1[[#This Row],[No. of Storeys for Office]]</f>
        <v>5687.625</v>
      </c>
      <c r="R139" s="82">
        <f>+Table1[[#This Row],[Office UFA (Net) (sf)]]/Table1[[#This Row],[No. of Storeys for Office]]</f>
        <v>4265.71875</v>
      </c>
      <c r="S139" s="80" t="str">
        <f t="shared" si="8"/>
        <v>No</v>
      </c>
      <c r="T139" s="82">
        <f>+Table1[[#This Row],[Total GFA (sf)]]/10.7639</f>
        <v>13570.267282304741</v>
      </c>
      <c r="U139" s="82">
        <v>146069</v>
      </c>
      <c r="V139" s="82">
        <f>Table1[[#This Row],[Office GFA (sf)]]/10.7639</f>
        <v>12681.555941619674</v>
      </c>
      <c r="W139" s="82">
        <v>136503</v>
      </c>
      <c r="X139" s="82">
        <f>Table1[[#This Row],[Office GFA (sm)]]*0.75</f>
        <v>9511.1669562147545</v>
      </c>
      <c r="Y139" s="82">
        <f>Table1[[#This Row],[Office GFA (sf)]]*0.75</f>
        <v>102377.25</v>
      </c>
      <c r="Z139" s="82"/>
      <c r="AA139" s="82"/>
      <c r="AB139" s="82"/>
      <c r="AC139" s="82">
        <f t="shared" si="7"/>
        <v>102377.25</v>
      </c>
      <c r="AD139" s="82">
        <f>IF(Table1[[#This Row],[For Sale or For Lease?]]="For Sale",Table1[[#This Row],[Office UFA (Net) (sf)]]-Table1[[#This Row],[Pre-leased space (Usable FA) (sf)]]-Table1[[#This Row],[Pre-sold (Usable FA) (sf)]]-Table1[[#This Row],[Self-use space (Usable FA) (sf)]],0)</f>
        <v>0</v>
      </c>
      <c r="AE139" s="82">
        <f>IF(Table1[[#This Row],[For Sale or For Lease?]]="Uncertain",Table1[[#This Row],[Office UFA (Net) (sf)]]-Table1[[#This Row],[Pre-leased space (Usable FA) (sf)]]-Table1[[#This Row],[Pre-sold (Usable FA) (sf)]]-Table1[[#This Row],[Self-use space (Usable FA) (sf)]],0)</f>
        <v>0</v>
      </c>
      <c r="AF139" s="86">
        <f>1-SUM(Table1[[#This Row],[Space available for lease (Usable FA) (sf)]:[Space available uncertain of use (Usable FA) (sf)]])/Table1[[#This Row],[Office UFA (Net) (sf)]]</f>
        <v>0</v>
      </c>
      <c r="AG139" s="79" t="s">
        <v>89</v>
      </c>
      <c r="AH139" s="84" t="s">
        <v>103</v>
      </c>
      <c r="AI139" s="79" t="s">
        <v>346</v>
      </c>
      <c r="AJ139" s="83">
        <v>44677</v>
      </c>
      <c r="AK139" s="83">
        <v>44755</v>
      </c>
      <c r="AL139" s="85" t="s">
        <v>30</v>
      </c>
      <c r="AM139" s="85" t="s">
        <v>1577</v>
      </c>
      <c r="AN139" s="79" t="s">
        <v>73</v>
      </c>
      <c r="AO139" s="77" t="s">
        <v>705</v>
      </c>
      <c r="AP139" s="77" t="s">
        <v>81</v>
      </c>
      <c r="AQ139" s="77" t="s">
        <v>1479</v>
      </c>
      <c r="AR139" s="79" t="s">
        <v>2402</v>
      </c>
      <c r="AS139" s="79" t="s">
        <v>2147</v>
      </c>
      <c r="AT139" s="80">
        <v>22.277962338199099</v>
      </c>
      <c r="AU139" s="80">
        <v>114.178713473044</v>
      </c>
      <c r="AV139" s="77" t="s">
        <v>2151</v>
      </c>
    </row>
    <row r="140" spans="1:48" ht="15" hidden="1" customHeight="1" x14ac:dyDescent="0.35">
      <c r="A140" s="77"/>
      <c r="B140" s="77" t="s">
        <v>1898</v>
      </c>
      <c r="C140" s="77" t="s">
        <v>1899</v>
      </c>
      <c r="D140" s="77"/>
      <c r="E140" s="79" t="s">
        <v>130</v>
      </c>
      <c r="F140" s="77" t="str">
        <f>VLOOKUP(Table1[[#This Row],[CBRE sub-markets]],Reference!$A$2:$B$31,2,FALSE)</f>
        <v>Wong Chuk Hang</v>
      </c>
      <c r="G140" s="77">
        <f>VLOOKUP(Table1[[#This Row],[CBRE sub-markets]],Reference!$A$2:$D$31,3,FALSE)</f>
        <v>5</v>
      </c>
      <c r="H140" s="79" t="str">
        <f>VLOOKUP(Table1[[#This Row],[CBRE sub-markets]],Reference!$A$2:$D$31,4,FALSE)</f>
        <v>Hong Kong Island</v>
      </c>
      <c r="I140" s="80">
        <v>2022</v>
      </c>
      <c r="J140" s="80"/>
      <c r="K140" s="81" t="str">
        <f>IF(ISNUMBER(Table1[[#This Row],[Qtr]]),CONCATENATE(Table1[[#This Row],[Year]]," Q",Table1[[#This Row],[Qtr]]),CONCATENATE(Table1[[#This Row],[Year]],Table1[[#This Row],[Qtr]]))</f>
        <v>2022</v>
      </c>
      <c r="L140" s="80" t="s">
        <v>748</v>
      </c>
      <c r="M140" s="80" t="s">
        <v>84</v>
      </c>
      <c r="N140" s="80"/>
      <c r="O140" s="80"/>
      <c r="P140" s="80"/>
      <c r="Q140" s="82"/>
      <c r="R140" s="82"/>
      <c r="S140" s="80" t="str">
        <f t="shared" si="8"/>
        <v>Unknown</v>
      </c>
      <c r="T140" s="82">
        <f>+Table1[[#This Row],[Total GFA (sf)]]/10.7639</f>
        <v>8273.6168637761421</v>
      </c>
      <c r="U140" s="82">
        <v>89056.384560000006</v>
      </c>
      <c r="V140" s="82">
        <f>+Table1[[#This Row],[Total GFA (sm)]]</f>
        <v>8273.6168637761421</v>
      </c>
      <c r="W140" s="82">
        <f>+Table1[[#This Row],[Office GFA (sm)]]*10.7639</f>
        <v>89056.384560000006</v>
      </c>
      <c r="X140" s="82">
        <f>+Table1[[#This Row],[Office GFA (sm)]]*0.75</f>
        <v>6205.2126478321061</v>
      </c>
      <c r="Y140" s="82">
        <f>W140*0.75</f>
        <v>66792.288419999997</v>
      </c>
      <c r="Z140" s="82"/>
      <c r="AA140" s="82"/>
      <c r="AB140" s="82"/>
      <c r="AC140" s="82">
        <f t="shared" si="7"/>
        <v>66792.288419999997</v>
      </c>
      <c r="AD140" s="82">
        <f>IF(Table1[[#This Row],[For Sale or For Lease?]]="For Sale",Table1[[#This Row],[Office UFA (Net) (sf)]]-Table1[[#This Row],[Pre-leased space (Usable FA) (sf)]]-Table1[[#This Row],[Pre-sold (Usable FA) (sf)]]-Table1[[#This Row],[Self-use space (Usable FA) (sf)]],0)</f>
        <v>0</v>
      </c>
      <c r="AE140" s="82">
        <f>IF(Table1[[#This Row],[For Sale or For Lease?]]="Uncertain",Table1[[#This Row],[Office UFA (Net) (sf)]]-Table1[[#This Row],[Pre-leased space (Usable FA) (sf)]]-Table1[[#This Row],[Pre-sold (Usable FA) (sf)]]-Table1[[#This Row],[Self-use space (Usable FA) (sf)]],0)</f>
        <v>0</v>
      </c>
      <c r="AF140" s="86">
        <f>1-SUM(Table1[[#This Row],[Space available for lease (Usable FA) (sf)]:[Space available uncertain of use (Usable FA) (sf)]])/Table1[[#This Row],[Office UFA (Net) (sf)]]</f>
        <v>0</v>
      </c>
      <c r="AG140" s="79" t="s">
        <v>89</v>
      </c>
      <c r="AH140" s="84"/>
      <c r="AI140" s="79" t="s">
        <v>1231</v>
      </c>
      <c r="AJ140" s="83"/>
      <c r="AK140" s="83">
        <v>44019</v>
      </c>
      <c r="AL140" s="85" t="s">
        <v>275</v>
      </c>
      <c r="AM140" s="85" t="s">
        <v>1900</v>
      </c>
      <c r="AN140" s="79" t="s">
        <v>73</v>
      </c>
      <c r="AO140" s="77" t="s">
        <v>705</v>
      </c>
      <c r="AP140" s="77" t="s">
        <v>81</v>
      </c>
      <c r="AQ140" s="77"/>
      <c r="AR140" s="79" t="s">
        <v>1901</v>
      </c>
      <c r="AS140" s="79"/>
      <c r="AT140" s="80">
        <v>22.248820475662299</v>
      </c>
      <c r="AU140" s="80">
        <v>114.16636088489</v>
      </c>
      <c r="AV140" s="77" t="s">
        <v>2087</v>
      </c>
    </row>
    <row r="141" spans="1:48" ht="15" hidden="1" customHeight="1" x14ac:dyDescent="0.35">
      <c r="A141" s="77"/>
      <c r="B141" s="77" t="s">
        <v>2244</v>
      </c>
      <c r="C141" s="77" t="s">
        <v>1536</v>
      </c>
      <c r="D141" s="77"/>
      <c r="E141" s="79" t="s">
        <v>12</v>
      </c>
      <c r="F141" s="77" t="str">
        <f>VLOOKUP(Table1[[#This Row],[CBRE sub-markets]],Reference!$A$2:$B$31,2,FALSE)</f>
        <v>Kowloon Others</v>
      </c>
      <c r="G141" s="77">
        <f>VLOOKUP(Table1[[#This Row],[CBRE sub-markets]],Reference!$A$2:$D$31,3,FALSE)</f>
        <v>8</v>
      </c>
      <c r="H141" s="79" t="str">
        <f>VLOOKUP(Table1[[#This Row],[CBRE sub-markets]],Reference!$A$2:$D$31,4,FALSE)</f>
        <v>Kowloon</v>
      </c>
      <c r="I141" s="80">
        <v>2022</v>
      </c>
      <c r="J141" s="80"/>
      <c r="K141" s="81" t="str">
        <f>IF(ISNUMBER(Table1[[#This Row],[Qtr]]),CONCATENATE(Table1[[#This Row],[Year]]," Q",Table1[[#This Row],[Qtr]]),CONCATENATE(Table1[[#This Row],[Year]],Table1[[#This Row],[Qtr]]))</f>
        <v>2022</v>
      </c>
      <c r="L141" s="80" t="s">
        <v>20</v>
      </c>
      <c r="M141" s="80" t="s">
        <v>86</v>
      </c>
      <c r="N141" s="80">
        <v>1</v>
      </c>
      <c r="O141" s="80" t="s">
        <v>1552</v>
      </c>
      <c r="P141" s="80">
        <v>21</v>
      </c>
      <c r="Q141" s="82">
        <f>+Table1[[#This Row],[Office GFA (sf)]]/Table1[[#This Row],[No. of Storeys for Office]]</f>
        <v>8451.4285714285706</v>
      </c>
      <c r="R141" s="82">
        <f>+Table1[[#This Row],[Floor Plate (GFA) (sf)]]*0.75</f>
        <v>6338.5714285714275</v>
      </c>
      <c r="S141" s="80" t="str">
        <f t="shared" si="8"/>
        <v>No</v>
      </c>
      <c r="T141" s="82">
        <v>17727.2</v>
      </c>
      <c r="U141" s="82">
        <f>+Table1[[#This Row],[Total GFA (sm)]]*10.7639</f>
        <v>190813.80807999999</v>
      </c>
      <c r="V141" s="82">
        <f>+Table1[[#This Row],[Office GFA (sf)]]/10.7639</f>
        <v>16488.447495796136</v>
      </c>
      <c r="W141" s="82">
        <v>177480</v>
      </c>
      <c r="X141" s="82">
        <f>+Table1[[#This Row],[Office GFA (sm)]]*0.75</f>
        <v>12366.335621847102</v>
      </c>
      <c r="Y141" s="82">
        <f>W141*0.75</f>
        <v>133110</v>
      </c>
      <c r="Z141" s="82"/>
      <c r="AA141" s="82"/>
      <c r="AB141" s="82"/>
      <c r="AC141" s="82">
        <f t="shared" si="7"/>
        <v>0</v>
      </c>
      <c r="AD141" s="82">
        <f>IF(Table1[[#This Row],[For Sale or For Lease?]]="For Sale",Table1[[#This Row],[Office UFA (Net) (sf)]]-Table1[[#This Row],[Pre-leased space (Usable FA) (sf)]]-Table1[[#This Row],[Pre-sold (Usable FA) (sf)]]-Table1[[#This Row],[Self-use space (Usable FA) (sf)]],0)</f>
        <v>133110</v>
      </c>
      <c r="AE141" s="82">
        <f>IF(Table1[[#This Row],[For Sale or For Lease?]]="Uncertain",Table1[[#This Row],[Office UFA (Net) (sf)]]-Table1[[#This Row],[Pre-leased space (Usable FA) (sf)]]-Table1[[#This Row],[Pre-sold (Usable FA) (sf)]]-Table1[[#This Row],[Self-use space (Usable FA) (sf)]],0)</f>
        <v>0</v>
      </c>
      <c r="AF141" s="86">
        <f>1-SUM(Table1[[#This Row],[Space available for lease (Usable FA) (sf)]:[Space available uncertain of use (Usable FA) (sf)]])/Table1[[#This Row],[Office UFA (Net) (sf)]]</f>
        <v>0</v>
      </c>
      <c r="AG141" s="79" t="s">
        <v>89</v>
      </c>
      <c r="AH141" s="84" t="s">
        <v>138</v>
      </c>
      <c r="AI141" s="79" t="s">
        <v>642</v>
      </c>
      <c r="AJ141" s="83">
        <v>43313</v>
      </c>
      <c r="AK141" s="83">
        <v>43398</v>
      </c>
      <c r="AL141" s="85" t="s">
        <v>30</v>
      </c>
      <c r="AM141" s="85" t="s">
        <v>839</v>
      </c>
      <c r="AN141" s="79" t="s">
        <v>73</v>
      </c>
      <c r="AO141" s="77" t="s">
        <v>704</v>
      </c>
      <c r="AP141" s="77" t="s">
        <v>82</v>
      </c>
      <c r="AQ141" s="77" t="s">
        <v>1664</v>
      </c>
      <c r="AR141" s="79" t="s">
        <v>1746</v>
      </c>
      <c r="AS141" s="79"/>
      <c r="AT141" s="80">
        <v>22.365469999999998</v>
      </c>
      <c r="AU141" s="80">
        <v>114.13772</v>
      </c>
      <c r="AV141" s="77" t="s">
        <v>2134</v>
      </c>
    </row>
    <row r="142" spans="1:48" ht="15" hidden="1" customHeight="1" x14ac:dyDescent="0.35">
      <c r="A142" s="77"/>
      <c r="B142" s="77" t="s">
        <v>1533</v>
      </c>
      <c r="C142" s="77" t="s">
        <v>1915</v>
      </c>
      <c r="D142" s="77"/>
      <c r="E142" s="79" t="s">
        <v>11</v>
      </c>
      <c r="F142" s="77" t="str">
        <f>VLOOKUP(Table1[[#This Row],[CBRE sub-markets]],Reference!$A$2:$B$31,2,FALSE)</f>
        <v>Kowloon Others</v>
      </c>
      <c r="G142" s="77">
        <f>VLOOKUP(Table1[[#This Row],[CBRE sub-markets]],Reference!$A$2:$D$31,3,FALSE)</f>
        <v>8</v>
      </c>
      <c r="H142" s="79" t="str">
        <f>VLOOKUP(Table1[[#This Row],[CBRE sub-markets]],Reference!$A$2:$D$31,4,FALSE)</f>
        <v>Kowloon</v>
      </c>
      <c r="I142" s="80">
        <v>2022</v>
      </c>
      <c r="J142" s="80"/>
      <c r="K142" s="81" t="str">
        <f>IF(ISNUMBER(Table1[[#This Row],[Qtr]]),CONCATENATE(Table1[[#This Row],[Year]]," Q",Table1[[#This Row],[Qtr]]),CONCATENATE(Table1[[#This Row],[Year]],Table1[[#This Row],[Qtr]]))</f>
        <v>2022</v>
      </c>
      <c r="L142" s="80" t="s">
        <v>20</v>
      </c>
      <c r="M142" s="80" t="s">
        <v>86</v>
      </c>
      <c r="N142" s="80">
        <v>1</v>
      </c>
      <c r="O142" s="80"/>
      <c r="P142" s="80"/>
      <c r="Q142" s="82">
        <f>14920*0.65</f>
        <v>9698</v>
      </c>
      <c r="R142" s="82">
        <f>+Table1[[#This Row],[Floor Plate (GFA) (sf)]]*0.75</f>
        <v>7273.5</v>
      </c>
      <c r="S142" s="80" t="str">
        <f t="shared" si="8"/>
        <v>No</v>
      </c>
      <c r="T142" s="82"/>
      <c r="U142" s="82"/>
      <c r="V142" s="82">
        <f>+Table1[[#This Row],[Office GFA (sf)]]/10.7639</f>
        <v>16633.37637845019</v>
      </c>
      <c r="W142" s="82">
        <f>14920*12</f>
        <v>179040</v>
      </c>
      <c r="X142" s="82">
        <f>+Table1[[#This Row],[Office GFA (sm)]]*0.75</f>
        <v>12475.032283837641</v>
      </c>
      <c r="Y142" s="82">
        <f>W142*0.75</f>
        <v>134280</v>
      </c>
      <c r="Z142" s="82"/>
      <c r="AA142" s="82"/>
      <c r="AB142" s="82"/>
      <c r="AC142" s="82">
        <f t="shared" si="7"/>
        <v>0</v>
      </c>
      <c r="AD142" s="82">
        <f>IF(Table1[[#This Row],[For Sale or For Lease?]]="For Sale",Table1[[#This Row],[Office UFA (Net) (sf)]]-Table1[[#This Row],[Pre-leased space (Usable FA) (sf)]]-Table1[[#This Row],[Pre-sold (Usable FA) (sf)]]-Table1[[#This Row],[Self-use space (Usable FA) (sf)]],0)</f>
        <v>134280</v>
      </c>
      <c r="AE142" s="82">
        <f>IF(Table1[[#This Row],[For Sale or For Lease?]]="Uncertain",Table1[[#This Row],[Office UFA (Net) (sf)]]-Table1[[#This Row],[Pre-leased space (Usable FA) (sf)]]-Table1[[#This Row],[Pre-sold (Usable FA) (sf)]]-Table1[[#This Row],[Self-use space (Usable FA) (sf)]],0)</f>
        <v>0</v>
      </c>
      <c r="AF142" s="86">
        <f>1-SUM(Table1[[#This Row],[Space available for lease (Usable FA) (sf)]:[Space available uncertain of use (Usable FA) (sf)]])/Table1[[#This Row],[Office UFA (Net) (sf)]]</f>
        <v>0</v>
      </c>
      <c r="AG142" s="79" t="s">
        <v>89</v>
      </c>
      <c r="AH142" s="84"/>
      <c r="AI142" s="79" t="s">
        <v>855</v>
      </c>
      <c r="AJ142" s="83">
        <v>43340</v>
      </c>
      <c r="AK142" s="83">
        <v>43341</v>
      </c>
      <c r="AL142" s="85" t="s">
        <v>30</v>
      </c>
      <c r="AM142" s="85" t="s">
        <v>1532</v>
      </c>
      <c r="AN142" s="79" t="s">
        <v>73</v>
      </c>
      <c r="AO142" s="77" t="s">
        <v>704</v>
      </c>
      <c r="AP142" s="77" t="s">
        <v>82</v>
      </c>
      <c r="AQ142" s="77" t="s">
        <v>1561</v>
      </c>
      <c r="AR142" s="79" t="s">
        <v>1745</v>
      </c>
      <c r="AS142" s="79"/>
      <c r="AT142" s="80"/>
      <c r="AU142" s="80"/>
      <c r="AV142" s="77"/>
    </row>
    <row r="143" spans="1:48" ht="15" hidden="1" customHeight="1" x14ac:dyDescent="0.35">
      <c r="A143" s="77"/>
      <c r="B143" s="77" t="s">
        <v>2251</v>
      </c>
      <c r="C143" s="77" t="s">
        <v>1585</v>
      </c>
      <c r="D143" s="77"/>
      <c r="E143" s="79" t="s">
        <v>6</v>
      </c>
      <c r="F143" s="77" t="str">
        <f>VLOOKUP(Table1[[#This Row],[CBRE sub-markets]],Reference!$A$2:$B$31,2,FALSE)</f>
        <v>Hong Kong East</v>
      </c>
      <c r="G143" s="77">
        <f>VLOOKUP(Table1[[#This Row],[CBRE sub-markets]],Reference!$A$2:$D$31,3,FALSE)</f>
        <v>4</v>
      </c>
      <c r="H143" s="79" t="str">
        <f>VLOOKUP(Table1[[#This Row],[CBRE sub-markets]],Reference!$A$2:$D$31,4,FALSE)</f>
        <v>Hong Kong Island</v>
      </c>
      <c r="I143" s="80">
        <v>2023</v>
      </c>
      <c r="J143" s="80">
        <v>1</v>
      </c>
      <c r="K143" s="81" t="str">
        <f>IF(ISNUMBER(Table1[[#This Row],[Qtr]]),CONCATENATE(Table1[[#This Row],[Year]]," Q",Table1[[#This Row],[Qtr]]),CONCATENATE(Table1[[#This Row],[Year]],Table1[[#This Row],[Qtr]]))</f>
        <v>2023 Q1</v>
      </c>
      <c r="L143" s="80" t="s">
        <v>21</v>
      </c>
      <c r="M143" s="80" t="s">
        <v>84</v>
      </c>
      <c r="N143" s="80">
        <v>1</v>
      </c>
      <c r="O143" s="80">
        <v>1</v>
      </c>
      <c r="P143" s="80">
        <v>23</v>
      </c>
      <c r="Q143" s="82">
        <f>7000*0.65</f>
        <v>4550</v>
      </c>
      <c r="R143" s="82">
        <f>+Table1[[#This Row],[Floor Plate (GFA) (sf)]]*0.75</f>
        <v>3412.5</v>
      </c>
      <c r="S143" s="80" t="str">
        <f t="shared" si="8"/>
        <v>No</v>
      </c>
      <c r="T143" s="82">
        <v>9754.5</v>
      </c>
      <c r="U143" s="82">
        <f>+Table1[[#This Row],[Total GFA (sm)]]*10.7639</f>
        <v>104996.46255</v>
      </c>
      <c r="V143" s="82">
        <v>6767.6</v>
      </c>
      <c r="W143" s="82">
        <f>Table1[[#This Row],[Total GFA (sf)]]</f>
        <v>104996.46255</v>
      </c>
      <c r="X143" s="82">
        <f>+Table1[[#This Row],[Office UFA (Net) (sf)]]/10.7639</f>
        <v>7315.875</v>
      </c>
      <c r="Y143" s="82">
        <f>Table1[[#This Row],[Office GFA (sf)]]*0.75</f>
        <v>78747.346912499997</v>
      </c>
      <c r="Z143" s="82"/>
      <c r="AA143" s="82"/>
      <c r="AB143" s="82"/>
      <c r="AC143" s="82">
        <f t="shared" si="7"/>
        <v>78747.346912499997</v>
      </c>
      <c r="AD143" s="82">
        <f>IF(Table1[[#This Row],[For Sale or For Lease?]]="For Sale",Table1[[#This Row],[Office UFA (Net) (sf)]]-Table1[[#This Row],[Pre-leased space (Usable FA) (sf)]]-Table1[[#This Row],[Pre-sold (Usable FA) (sf)]]-Table1[[#This Row],[Self-use space (Usable FA) (sf)]],0)</f>
        <v>0</v>
      </c>
      <c r="AE143" s="82">
        <f>IF(Table1[[#This Row],[For Sale or For Lease?]]="Uncertain",Table1[[#This Row],[Office UFA (Net) (sf)]]-Table1[[#This Row],[Pre-leased space (Usable FA) (sf)]]-Table1[[#This Row],[Pre-sold (Usable FA) (sf)]]-Table1[[#This Row],[Self-use space (Usable FA) (sf)]],0)</f>
        <v>0</v>
      </c>
      <c r="AF143" s="86">
        <f>1-SUM(Table1[[#This Row],[Space available for lease (Usable FA) (sf)]:[Space available uncertain of use (Usable FA) (sf)]])/Table1[[#This Row],[Office UFA (Net) (sf)]]</f>
        <v>0</v>
      </c>
      <c r="AG143" s="79" t="s">
        <v>89</v>
      </c>
      <c r="AH143" s="84" t="s">
        <v>103</v>
      </c>
      <c r="AI143" s="79" t="s">
        <v>1586</v>
      </c>
      <c r="AJ143" s="83">
        <v>44986</v>
      </c>
      <c r="AK143" s="83">
        <v>45047</v>
      </c>
      <c r="AL143" s="85" t="s">
        <v>30</v>
      </c>
      <c r="AM143" s="85" t="s">
        <v>1587</v>
      </c>
      <c r="AN143" s="79" t="s">
        <v>73</v>
      </c>
      <c r="AO143" s="77" t="s">
        <v>705</v>
      </c>
      <c r="AP143" s="77" t="s">
        <v>81</v>
      </c>
      <c r="AQ143" s="77"/>
      <c r="AR143" s="79" t="s">
        <v>2403</v>
      </c>
      <c r="AS143" s="79" t="s">
        <v>1986</v>
      </c>
      <c r="AT143" s="80">
        <v>22.2888419114458</v>
      </c>
      <c r="AU143" s="80">
        <v>114.193387748867</v>
      </c>
      <c r="AV143" s="77" t="s">
        <v>2228</v>
      </c>
    </row>
    <row r="144" spans="1:48" ht="15" hidden="1" customHeight="1" x14ac:dyDescent="0.35">
      <c r="A144" s="77"/>
      <c r="B144" s="77" t="s">
        <v>2250</v>
      </c>
      <c r="C144" s="77" t="s">
        <v>1595</v>
      </c>
      <c r="D144" s="77"/>
      <c r="E144" s="79" t="s">
        <v>11</v>
      </c>
      <c r="F144" s="77" t="str">
        <f>VLOOKUP(Table1[[#This Row],[CBRE sub-markets]],Reference!$A$2:$B$31,2,FALSE)</f>
        <v>Kowloon Others</v>
      </c>
      <c r="G144" s="77">
        <f>VLOOKUP(Table1[[#This Row],[CBRE sub-markets]],Reference!$A$2:$D$31,3,FALSE)</f>
        <v>8</v>
      </c>
      <c r="H144" s="79" t="str">
        <f>VLOOKUP(Table1[[#This Row],[CBRE sub-markets]],Reference!$A$2:$D$31,4,FALSE)</f>
        <v>Kowloon</v>
      </c>
      <c r="I144" s="80">
        <v>2023</v>
      </c>
      <c r="J144" s="80">
        <v>1</v>
      </c>
      <c r="K144" s="81" t="str">
        <f>IF(ISNUMBER(Table1[[#This Row],[Qtr]]),CONCATENATE(Table1[[#This Row],[Year]]," Q",Table1[[#This Row],[Qtr]]),CONCATENATE(Table1[[#This Row],[Year]],Table1[[#This Row],[Qtr]]))</f>
        <v>2023 Q1</v>
      </c>
      <c r="L144" s="80" t="s">
        <v>20</v>
      </c>
      <c r="M144" s="80" t="s">
        <v>84</v>
      </c>
      <c r="N144" s="80">
        <v>1</v>
      </c>
      <c r="O144" s="80" t="s">
        <v>2289</v>
      </c>
      <c r="P144" s="80">
        <v>21</v>
      </c>
      <c r="Q144" s="82">
        <f>+Table1[[#This Row],[Office GFA (sf)]]/21</f>
        <v>5880.4761904761908</v>
      </c>
      <c r="R144" s="82">
        <f>+Table1[[#This Row],[Office UFA (Net) (sf)]]/21</f>
        <v>4410.3571428571431</v>
      </c>
      <c r="S144" s="80" t="str">
        <f t="shared" si="8"/>
        <v>No</v>
      </c>
      <c r="T144" s="82">
        <v>15796.8</v>
      </c>
      <c r="U144" s="82">
        <v>168282</v>
      </c>
      <c r="V144" s="82">
        <v>9993.6</v>
      </c>
      <c r="W144" s="82">
        <v>123490</v>
      </c>
      <c r="X144" s="82">
        <f t="shared" ref="X144:Y146" si="9">V144*0.75</f>
        <v>7495.2000000000007</v>
      </c>
      <c r="Y144" s="82">
        <f t="shared" si="9"/>
        <v>92617.5</v>
      </c>
      <c r="Z144" s="82"/>
      <c r="AA144" s="82"/>
      <c r="AB144" s="82"/>
      <c r="AC144" s="82">
        <f t="shared" si="7"/>
        <v>92617.5</v>
      </c>
      <c r="AD144" s="82">
        <f>IF(Table1[[#This Row],[For Sale or For Lease?]]="For Sale",Table1[[#This Row],[Office UFA (Net) (sf)]]-Table1[[#This Row],[Pre-leased space (Usable FA) (sf)]]-Table1[[#This Row],[Pre-sold (Usable FA) (sf)]]-Table1[[#This Row],[Self-use space (Usable FA) (sf)]],0)</f>
        <v>0</v>
      </c>
      <c r="AE144" s="82">
        <f>IF(Table1[[#This Row],[For Sale or For Lease?]]="Uncertain",Table1[[#This Row],[Office UFA (Net) (sf)]]-Table1[[#This Row],[Pre-leased space (Usable FA) (sf)]]-Table1[[#This Row],[Pre-sold (Usable FA) (sf)]]-Table1[[#This Row],[Self-use space (Usable FA) (sf)]],0)</f>
        <v>0</v>
      </c>
      <c r="AF144" s="86">
        <f>1-SUM(Table1[[#This Row],[Space available for lease (Usable FA) (sf)]:[Space available uncertain of use (Usable FA) (sf)]])/Table1[[#This Row],[Office UFA (Net) (sf)]]</f>
        <v>0</v>
      </c>
      <c r="AG144" s="79" t="s">
        <v>89</v>
      </c>
      <c r="AH144" s="84" t="s">
        <v>103</v>
      </c>
      <c r="AI144" s="79" t="s">
        <v>92</v>
      </c>
      <c r="AJ144" s="83">
        <v>44986</v>
      </c>
      <c r="AK144" s="83">
        <v>45047</v>
      </c>
      <c r="AL144" s="85" t="s">
        <v>30</v>
      </c>
      <c r="AM144" s="85" t="s">
        <v>2255</v>
      </c>
      <c r="AN144" s="79" t="s">
        <v>73</v>
      </c>
      <c r="AO144" s="77" t="s">
        <v>705</v>
      </c>
      <c r="AP144" s="77" t="s">
        <v>81</v>
      </c>
      <c r="AQ144" s="77"/>
      <c r="AR144" s="79" t="s">
        <v>2384</v>
      </c>
      <c r="AS144" s="79"/>
      <c r="AT144" s="80">
        <v>22.338495895203799</v>
      </c>
      <c r="AU144" s="80">
        <v>114.200075047732</v>
      </c>
      <c r="AV144" s="77" t="s">
        <v>2131</v>
      </c>
    </row>
    <row r="145" spans="1:48" ht="15" hidden="1" customHeight="1" x14ac:dyDescent="0.35">
      <c r="A145" s="77"/>
      <c r="B145" s="77" t="s">
        <v>2252</v>
      </c>
      <c r="C145" s="77" t="s">
        <v>2252</v>
      </c>
      <c r="D145" s="77" t="s">
        <v>1286</v>
      </c>
      <c r="E145" s="79" t="s">
        <v>12</v>
      </c>
      <c r="F145" s="77" t="str">
        <f>VLOOKUP(Table1[[#This Row],[CBRE sub-markets]],Reference!$A$2:$B$31,2,FALSE)</f>
        <v>Kowloon Others</v>
      </c>
      <c r="G145" s="77">
        <f>VLOOKUP(Table1[[#This Row],[CBRE sub-markets]],Reference!$A$2:$D$31,3,FALSE)</f>
        <v>8</v>
      </c>
      <c r="H145" s="79" t="str">
        <f>VLOOKUP(Table1[[#This Row],[CBRE sub-markets]],Reference!$A$2:$D$31,4,FALSE)</f>
        <v>Kowloon</v>
      </c>
      <c r="I145" s="80">
        <v>2023</v>
      </c>
      <c r="J145" s="80">
        <v>2</v>
      </c>
      <c r="K145" s="81" t="str">
        <f>IF(ISNUMBER(Table1[[#This Row],[Qtr]]),CONCATENATE(Table1[[#This Row],[Year]]," Q",Table1[[#This Row],[Qtr]]),CONCATENATE(Table1[[#This Row],[Year]],Table1[[#This Row],[Qtr]]))</f>
        <v>2023 Q2</v>
      </c>
      <c r="L145" s="80" t="s">
        <v>20</v>
      </c>
      <c r="M145" s="80" t="s">
        <v>84</v>
      </c>
      <c r="N145" s="80">
        <v>1</v>
      </c>
      <c r="O145" s="80" t="s">
        <v>1482</v>
      </c>
      <c r="P145" s="80">
        <v>28</v>
      </c>
      <c r="Q145" s="82">
        <v>15000</v>
      </c>
      <c r="R145" s="82">
        <f>+Table1[[#This Row],[Floor Plate (GFA) (sf)]]*0.75</f>
        <v>11250</v>
      </c>
      <c r="S145" s="80" t="str">
        <f t="shared" si="8"/>
        <v>No</v>
      </c>
      <c r="T145" s="82">
        <v>34474.1</v>
      </c>
      <c r="U145" s="82">
        <f>+Table1[[#This Row],[Total GFA (sm)]]*10.7639</f>
        <v>371075.76499</v>
      </c>
      <c r="V145" s="82">
        <f>+Table1[[#This Row],[Office GFA (sf)]]/10.7639</f>
        <v>40952.5357909308</v>
      </c>
      <c r="W145" s="82" t="s">
        <v>2493</v>
      </c>
      <c r="X145" s="82">
        <f t="shared" si="9"/>
        <v>30714.401843198102</v>
      </c>
      <c r="Y145" s="82">
        <f t="shared" si="9"/>
        <v>330606.75</v>
      </c>
      <c r="Z145" s="82"/>
      <c r="AA145" s="82"/>
      <c r="AB145" s="82"/>
      <c r="AC145" s="82">
        <f t="shared" si="7"/>
        <v>0</v>
      </c>
      <c r="AD145" s="82">
        <f>IF(Table1[[#This Row],[For Sale or For Lease?]]="For Sale",Table1[[#This Row],[Office UFA (Net) (sf)]]-Table1[[#This Row],[Pre-leased space (Usable FA) (sf)]]-Table1[[#This Row],[Pre-sold (Usable FA) (sf)]]-Table1[[#This Row],[Self-use space (Usable FA) (sf)]],0)</f>
        <v>330606.75</v>
      </c>
      <c r="AE145" s="82">
        <f>IF(Table1[[#This Row],[For Sale or For Lease?]]="Uncertain",Table1[[#This Row],[Office UFA (Net) (sf)]]-Table1[[#This Row],[Pre-leased space (Usable FA) (sf)]]-Table1[[#This Row],[Pre-sold (Usable FA) (sf)]]-Table1[[#This Row],[Self-use space (Usable FA) (sf)]],0)</f>
        <v>0</v>
      </c>
      <c r="AF145" s="86">
        <f>1-SUM(Table1[[#This Row],[Space available for lease (Usable FA) (sf)]:[Space available uncertain of use (Usable FA) (sf)]])/Table1[[#This Row],[Office UFA (Net) (sf)]]</f>
        <v>0</v>
      </c>
      <c r="AG145" s="79" t="s">
        <v>89</v>
      </c>
      <c r="AH145" s="84" t="s">
        <v>103</v>
      </c>
      <c r="AI145" s="79" t="s">
        <v>1271</v>
      </c>
      <c r="AJ145" s="83">
        <v>45078</v>
      </c>
      <c r="AK145" s="83">
        <v>45078</v>
      </c>
      <c r="AL145" s="85" t="s">
        <v>29</v>
      </c>
      <c r="AM145" s="85" t="s">
        <v>1430</v>
      </c>
      <c r="AN145" s="79" t="s">
        <v>74</v>
      </c>
      <c r="AO145" s="77" t="s">
        <v>704</v>
      </c>
      <c r="AP145" s="77" t="s">
        <v>82</v>
      </c>
      <c r="AQ145" s="77" t="s">
        <v>2297</v>
      </c>
      <c r="AR145" s="79" t="s">
        <v>2381</v>
      </c>
      <c r="AS145" s="79"/>
      <c r="AT145" s="80">
        <v>22.33982</v>
      </c>
      <c r="AU145" s="80">
        <v>114.15017</v>
      </c>
      <c r="AV145" s="77" t="s">
        <v>2133</v>
      </c>
    </row>
    <row r="146" spans="1:48" ht="15" hidden="1" customHeight="1" x14ac:dyDescent="0.35">
      <c r="A146" s="77"/>
      <c r="B146" s="77" t="s">
        <v>2315</v>
      </c>
      <c r="C146" s="77" t="s">
        <v>1535</v>
      </c>
      <c r="D146" s="77"/>
      <c r="E146" s="79" t="s">
        <v>4</v>
      </c>
      <c r="F146" s="77" t="str">
        <f>VLOOKUP(Table1[[#This Row],[CBRE sub-markets]],Reference!$A$2:$B$31,2,FALSE)</f>
        <v>Wan Chai &amp; Causeway Bay</v>
      </c>
      <c r="G146" s="77">
        <f>VLOOKUP(Table1[[#This Row],[CBRE sub-markets]],Reference!$A$2:$D$31,3,FALSE)</f>
        <v>3</v>
      </c>
      <c r="H146" s="79" t="str">
        <f>VLOOKUP(Table1[[#This Row],[CBRE sub-markets]],Reference!$A$2:$D$31,4,FALSE)</f>
        <v>Hong Kong Island</v>
      </c>
      <c r="I146" s="80">
        <v>2023</v>
      </c>
      <c r="J146" s="80">
        <v>3</v>
      </c>
      <c r="K146" s="81" t="str">
        <f>IF(ISNUMBER(Table1[[#This Row],[Qtr]]),CONCATENATE(Table1[[#This Row],[Year]]," Q",Table1[[#This Row],[Qtr]]),CONCATENATE(Table1[[#This Row],[Year]],Table1[[#This Row],[Qtr]]))</f>
        <v>2023 Q3</v>
      </c>
      <c r="L146" s="80" t="s">
        <v>21</v>
      </c>
      <c r="M146" s="80" t="s">
        <v>84</v>
      </c>
      <c r="N146" s="80">
        <v>1</v>
      </c>
      <c r="O146" s="80" t="s">
        <v>2314</v>
      </c>
      <c r="P146" s="80">
        <v>20</v>
      </c>
      <c r="Q146" s="82">
        <v>3700</v>
      </c>
      <c r="R146" s="82">
        <f>Table1[[#This Row],[Office UFA (Net) (sf)]]/Table1[[#This Row],[No. of Storeys for Office]]</f>
        <v>2299.6130508750002</v>
      </c>
      <c r="S146" s="80" t="str">
        <f t="shared" si="8"/>
        <v>No</v>
      </c>
      <c r="T146" s="82">
        <v>9871.7999999999993</v>
      </c>
      <c r="U146" s="82">
        <f>+Table1[[#This Row],[Total GFA (sm)]]*10.7639</f>
        <v>106259.06801999999</v>
      </c>
      <c r="V146" s="82">
        <v>5697.1</v>
      </c>
      <c r="W146" s="82">
        <f>Table1[[#This Row],[Office GFA (sm)]]*10.7639</f>
        <v>61323.014690000004</v>
      </c>
      <c r="X146" s="82">
        <f t="shared" si="9"/>
        <v>4272.8250000000007</v>
      </c>
      <c r="Y146" s="82">
        <f t="shared" si="9"/>
        <v>45992.261017500001</v>
      </c>
      <c r="Z146" s="82"/>
      <c r="AA146" s="82"/>
      <c r="AB146" s="82"/>
      <c r="AC146" s="82">
        <f t="shared" si="7"/>
        <v>45992.261017500001</v>
      </c>
      <c r="AD146" s="82">
        <f>IF(Table1[[#This Row],[For Sale or For Lease?]]="For Sale",Table1[[#This Row],[Office UFA (Net) (sf)]]-Table1[[#This Row],[Pre-leased space (Usable FA) (sf)]]-Table1[[#This Row],[Pre-sold (Usable FA) (sf)]]-Table1[[#This Row],[Self-use space (Usable FA) (sf)]],0)</f>
        <v>0</v>
      </c>
      <c r="AE146" s="82">
        <f>IF(Table1[[#This Row],[For Sale or For Lease?]]="Uncertain",Table1[[#This Row],[Office UFA (Net) (sf)]]-Table1[[#This Row],[Pre-leased space (Usable FA) (sf)]]-Table1[[#This Row],[Pre-sold (Usable FA) (sf)]]-Table1[[#This Row],[Self-use space (Usable FA) (sf)]],0)</f>
        <v>0</v>
      </c>
      <c r="AF146" s="86">
        <f>1-SUM(Table1[[#This Row],[Space available for lease (Usable FA) (sf)]:[Space available uncertain of use (Usable FA) (sf)]])/Table1[[#This Row],[Office UFA (Net) (sf)]]</f>
        <v>0</v>
      </c>
      <c r="AG146" s="79" t="s">
        <v>89</v>
      </c>
      <c r="AH146" s="84" t="s">
        <v>103</v>
      </c>
      <c r="AI146" s="79" t="s">
        <v>92</v>
      </c>
      <c r="AJ146" s="83">
        <v>45200</v>
      </c>
      <c r="AK146" s="83">
        <v>45292</v>
      </c>
      <c r="AL146" s="85" t="s">
        <v>30</v>
      </c>
      <c r="AM146" s="85" t="s">
        <v>1311</v>
      </c>
      <c r="AN146" s="79" t="s">
        <v>73</v>
      </c>
      <c r="AO146" s="77" t="s">
        <v>705</v>
      </c>
      <c r="AP146" s="77" t="s">
        <v>81</v>
      </c>
      <c r="AQ146" s="77"/>
      <c r="AR146" s="79" t="s">
        <v>1741</v>
      </c>
      <c r="AS146" s="79" t="s">
        <v>2078</v>
      </c>
      <c r="AT146" s="80">
        <v>22.2750639212727</v>
      </c>
      <c r="AU146" s="80">
        <v>114.171491356514</v>
      </c>
      <c r="AV146" s="77" t="s">
        <v>2091</v>
      </c>
    </row>
    <row r="147" spans="1:48" ht="15" hidden="1" customHeight="1" x14ac:dyDescent="0.35">
      <c r="A147" s="77"/>
      <c r="B147" s="77" t="s">
        <v>2307</v>
      </c>
      <c r="C147" s="77" t="s">
        <v>1256</v>
      </c>
      <c r="D147" s="77" t="s">
        <v>1293</v>
      </c>
      <c r="E147" s="79" t="s">
        <v>567</v>
      </c>
      <c r="F147" s="77" t="str">
        <f>VLOOKUP(Table1[[#This Row],[CBRE sub-markets]],Reference!$A$2:$B$31,2,FALSE)</f>
        <v>Kowloon East</v>
      </c>
      <c r="G147" s="77">
        <f>VLOOKUP(Table1[[#This Row],[CBRE sub-markets]],Reference!$A$2:$D$31,3,FALSE)</f>
        <v>7</v>
      </c>
      <c r="H147" s="79" t="str">
        <f>VLOOKUP(Table1[[#This Row],[CBRE sub-markets]],Reference!$A$2:$D$31,4,FALSE)</f>
        <v>Kowloon</v>
      </c>
      <c r="I147" s="80">
        <v>2023</v>
      </c>
      <c r="J147" s="80">
        <v>3</v>
      </c>
      <c r="K147" s="81" t="str">
        <f>IF(ISNUMBER(Table1[[#This Row],[Qtr]]),CONCATENATE(Table1[[#This Row],[Year]]," Q",Table1[[#This Row],[Qtr]]),CONCATENATE(Table1[[#This Row],[Year]],Table1[[#This Row],[Qtr]]))</f>
        <v>2023 Q3</v>
      </c>
      <c r="L147" s="80" t="s">
        <v>20</v>
      </c>
      <c r="M147" s="80" t="s">
        <v>84</v>
      </c>
      <c r="N147" s="80">
        <v>2</v>
      </c>
      <c r="O147" s="80" t="s">
        <v>1401</v>
      </c>
      <c r="P147" s="80">
        <v>18</v>
      </c>
      <c r="Q147" s="82">
        <f>910634/22/Table1[[#This Row],[No. of Blocks]]</f>
        <v>20696.227272727272</v>
      </c>
      <c r="R147" s="82">
        <f>+Table1[[#This Row],[Floor Plate (GFA) (sf)]]*0.75</f>
        <v>15522.170454545454</v>
      </c>
      <c r="S147" s="80" t="str">
        <f t="shared" si="8"/>
        <v>Yes</v>
      </c>
      <c r="T147" s="82">
        <f>+Table1[[#This Row],[Total GFA (sf)]]/10.7639</f>
        <v>101944.3311859456</v>
      </c>
      <c r="U147" s="82">
        <v>1097318.5864523998</v>
      </c>
      <c r="V147" s="82">
        <f>50000/10.7639</f>
        <v>4645.1564953223278</v>
      </c>
      <c r="W147" s="82">
        <f>V147*10.764</f>
        <v>50000.464515649532</v>
      </c>
      <c r="X147" s="82">
        <f>V147*0.75</f>
        <v>3483.8673714917459</v>
      </c>
      <c r="Y147" s="110">
        <f>W147*0.9</f>
        <v>45000.418064084581</v>
      </c>
      <c r="Z147" s="82"/>
      <c r="AA147" s="82"/>
      <c r="AB147" s="82">
        <f>Table1[[#This Row],[Office UFA (Net) (sf)]]*0.5</f>
        <v>22500.20903204229</v>
      </c>
      <c r="AC147" s="82">
        <f t="shared" si="7"/>
        <v>22500.20903204229</v>
      </c>
      <c r="AD147" s="82">
        <f>IF(Table1[[#This Row],[For Sale or For Lease?]]="For Sale",Table1[[#This Row],[Office UFA (Net) (sf)]]-Table1[[#This Row],[Pre-leased space (Usable FA) (sf)]]-Table1[[#This Row],[Pre-sold (Usable FA) (sf)]]-Table1[[#This Row],[Self-use space (Usable FA) (sf)]],0)</f>
        <v>0</v>
      </c>
      <c r="AE147" s="82">
        <f>IF(Table1[[#This Row],[For Sale or For Lease?]]="Uncertain",Table1[[#This Row],[Office UFA (Net) (sf)]]-Table1[[#This Row],[Pre-leased space (Usable FA) (sf)]]-Table1[[#This Row],[Pre-sold (Usable FA) (sf)]]-Table1[[#This Row],[Self-use space (Usable FA) (sf)]],0)</f>
        <v>0</v>
      </c>
      <c r="AF147" s="86">
        <f>1-SUM(Table1[[#This Row],[Space available for lease (Usable FA) (sf)]:[Space available uncertain of use (Usable FA) (sf)]])/Table1[[#This Row],[Office UFA (Net) (sf)]]</f>
        <v>0.5</v>
      </c>
      <c r="AG147" s="79" t="s">
        <v>89</v>
      </c>
      <c r="AH147" s="84" t="s">
        <v>103</v>
      </c>
      <c r="AI147" s="79" t="s">
        <v>92</v>
      </c>
      <c r="AJ147" s="83">
        <v>45170</v>
      </c>
      <c r="AK147" s="83">
        <v>44074</v>
      </c>
      <c r="AL147" s="85" t="s">
        <v>29</v>
      </c>
      <c r="AM147" s="85" t="s">
        <v>1408</v>
      </c>
      <c r="AN147" s="79" t="s">
        <v>74</v>
      </c>
      <c r="AO147" s="77" t="s">
        <v>705</v>
      </c>
      <c r="AP147" s="77" t="s">
        <v>81</v>
      </c>
      <c r="AQ147" s="77" t="s">
        <v>2300</v>
      </c>
      <c r="AR147" s="79" t="s">
        <v>2379</v>
      </c>
      <c r="AS147" s="79" t="s">
        <v>2075</v>
      </c>
      <c r="AT147" s="80">
        <v>22.332519999999999</v>
      </c>
      <c r="AU147" s="80">
        <v>114.20085</v>
      </c>
      <c r="AV147" s="77" t="s">
        <v>2162</v>
      </c>
    </row>
    <row r="148" spans="1:48" ht="15" hidden="1" customHeight="1" x14ac:dyDescent="0.35">
      <c r="A148" s="77"/>
      <c r="B148" s="77" t="s">
        <v>2304</v>
      </c>
      <c r="C148" s="77" t="s">
        <v>2304</v>
      </c>
      <c r="D148" s="77" t="s">
        <v>1249</v>
      </c>
      <c r="E148" s="79" t="s">
        <v>12</v>
      </c>
      <c r="F148" s="77" t="str">
        <f>VLOOKUP(Table1[[#This Row],[CBRE sub-markets]],Reference!$A$2:$B$31,2,FALSE)</f>
        <v>Kowloon Others</v>
      </c>
      <c r="G148" s="77">
        <f>VLOOKUP(Table1[[#This Row],[CBRE sub-markets]],Reference!$A$2:$D$31,3,FALSE)</f>
        <v>8</v>
      </c>
      <c r="H148" s="79" t="str">
        <f>VLOOKUP(Table1[[#This Row],[CBRE sub-markets]],Reference!$A$2:$D$31,4,FALSE)</f>
        <v>Kowloon</v>
      </c>
      <c r="I148" s="80">
        <v>2023</v>
      </c>
      <c r="J148" s="80">
        <v>4</v>
      </c>
      <c r="K148" s="81" t="str">
        <f>IF(ISNUMBER(Table1[[#This Row],[Qtr]]),CONCATENATE(Table1[[#This Row],[Year]]," Q",Table1[[#This Row],[Qtr]]),CONCATENATE(Table1[[#This Row],[Year]],Table1[[#This Row],[Qtr]]))</f>
        <v>2023 Q4</v>
      </c>
      <c r="L148" s="80" t="s">
        <v>20</v>
      </c>
      <c r="M148" s="80" t="s">
        <v>84</v>
      </c>
      <c r="N148" s="80">
        <v>2</v>
      </c>
      <c r="O148" s="80" t="s">
        <v>1888</v>
      </c>
      <c r="P148" s="80">
        <v>23</v>
      </c>
      <c r="Q148" s="82" t="s">
        <v>2180</v>
      </c>
      <c r="R148" s="82" t="s">
        <v>2179</v>
      </c>
      <c r="S148" s="80" t="str">
        <f t="shared" si="8"/>
        <v>No</v>
      </c>
      <c r="T148" s="82">
        <f>Table1[[#This Row],[Total GFA (sf)]]/10.76391</f>
        <v>108512.8916908447</v>
      </c>
      <c r="U148" s="82">
        <f>729182+393620+29478+15743</f>
        <v>1168023</v>
      </c>
      <c r="V148" s="82">
        <f>Table1[[#This Row],[Office GFA (sf)]]/10.76391</f>
        <v>104318.0405633269</v>
      </c>
      <c r="W148" s="82">
        <v>1122870</v>
      </c>
      <c r="X148" s="82">
        <f>V148*0.75</f>
        <v>78238.530422495169</v>
      </c>
      <c r="Y148" s="82">
        <f>W148*0.75</f>
        <v>842152.5</v>
      </c>
      <c r="Z148" s="82">
        <v>188602.5</v>
      </c>
      <c r="AA148" s="82"/>
      <c r="AB148" s="82">
        <f>180000*0.75</f>
        <v>135000</v>
      </c>
      <c r="AC148" s="82">
        <f t="shared" si="7"/>
        <v>0</v>
      </c>
      <c r="AD148" s="82">
        <f>IF(Table1[[#This Row],[For Sale or For Lease?]]="For Sale",Table1[[#This Row],[Office UFA (Net) (sf)]]-Table1[[#This Row],[Pre-leased space (Usable FA) (sf)]]-Table1[[#This Row],[Pre-sold (Usable FA) (sf)]]-Table1[[#This Row],[Self-use space (Usable FA) (sf)]],0)</f>
        <v>518550</v>
      </c>
      <c r="AE148" s="82">
        <f>IF(Table1[[#This Row],[For Sale or For Lease?]]="Uncertain",Table1[[#This Row],[Office UFA (Net) (sf)]]-Table1[[#This Row],[Pre-leased space (Usable FA) (sf)]]-Table1[[#This Row],[Pre-sold (Usable FA) (sf)]]-Table1[[#This Row],[Self-use space (Usable FA) (sf)]],0)</f>
        <v>0</v>
      </c>
      <c r="AF148" s="86">
        <f>1-SUM(Table1[[#This Row],[Space available for lease (Usable FA) (sf)]:[Space available uncertain of use (Usable FA) (sf)]])/Table1[[#This Row],[Office UFA (Net) (sf)]]</f>
        <v>0.38425641436675662</v>
      </c>
      <c r="AG148" s="79" t="s">
        <v>89</v>
      </c>
      <c r="AH148" s="84" t="s">
        <v>103</v>
      </c>
      <c r="AI148" s="79" t="s">
        <v>1271</v>
      </c>
      <c r="AJ148" s="83">
        <v>45231</v>
      </c>
      <c r="AK148" s="83">
        <v>45231</v>
      </c>
      <c r="AL148" s="85" t="s">
        <v>29</v>
      </c>
      <c r="AM148" s="85" t="s">
        <v>1225</v>
      </c>
      <c r="AN148" s="79" t="s">
        <v>74</v>
      </c>
      <c r="AO148" s="77" t="s">
        <v>704</v>
      </c>
      <c r="AP148" s="77" t="s">
        <v>82</v>
      </c>
      <c r="AQ148" s="77" t="s">
        <v>2070</v>
      </c>
      <c r="AR148" s="79" t="s">
        <v>2380</v>
      </c>
      <c r="AS148" s="79" t="s">
        <v>2048</v>
      </c>
      <c r="AT148" s="80">
        <v>22.339259999999999</v>
      </c>
      <c r="AU148" s="80">
        <v>114.14648</v>
      </c>
      <c r="AV148" s="77"/>
    </row>
    <row r="149" spans="1:48" ht="15" hidden="1" customHeight="1" x14ac:dyDescent="0.35">
      <c r="A149" s="77"/>
      <c r="B149" s="77" t="s">
        <v>2479</v>
      </c>
      <c r="C149" s="77" t="s">
        <v>1927</v>
      </c>
      <c r="D149" s="77" t="s">
        <v>1654</v>
      </c>
      <c r="E149" s="79" t="s">
        <v>567</v>
      </c>
      <c r="F149" s="77" t="str">
        <f>VLOOKUP(Table1[[#This Row],[CBRE sub-markets]],Reference!$A$2:$B$31,2,FALSE)</f>
        <v>Kowloon East</v>
      </c>
      <c r="G149" s="77">
        <f>VLOOKUP(Table1[[#This Row],[CBRE sub-markets]],Reference!$A$2:$D$31,3,FALSE)</f>
        <v>7</v>
      </c>
      <c r="H149" s="79" t="str">
        <f>VLOOKUP(Table1[[#This Row],[CBRE sub-markets]],Reference!$A$2:$D$31,4,FALSE)</f>
        <v>Kowloon</v>
      </c>
      <c r="I149" s="80">
        <v>2023</v>
      </c>
      <c r="J149" s="80">
        <v>4</v>
      </c>
      <c r="K149" s="81" t="str">
        <f>IF(ISNUMBER(Table1[[#This Row],[Qtr]]),CONCATENATE(Table1[[#This Row],[Year]]," Q",Table1[[#This Row],[Qtr]]),CONCATENATE(Table1[[#This Row],[Year]],Table1[[#This Row],[Qtr]]))</f>
        <v>2023 Q4</v>
      </c>
      <c r="L149" s="80" t="s">
        <v>20</v>
      </c>
      <c r="M149" s="80" t="s">
        <v>84</v>
      </c>
      <c r="N149" s="80">
        <v>1</v>
      </c>
      <c r="O149" s="80">
        <v>10</v>
      </c>
      <c r="P149" s="80">
        <v>8</v>
      </c>
      <c r="Q149" s="82">
        <f>Table1[[#This Row],[Office GFA (sf)]]/Table1[[#This Row],[No. of Storeys for Office]]</f>
        <v>20229.592499999999</v>
      </c>
      <c r="R149" s="82">
        <f>Table1[[#This Row],[Floor Plate (GFA) (sf)]]*0.75</f>
        <v>15172.194374999999</v>
      </c>
      <c r="S149" s="80" t="str">
        <f t="shared" si="8"/>
        <v>Yes</v>
      </c>
      <c r="T149" s="82">
        <v>32000</v>
      </c>
      <c r="U149" s="82">
        <f>+Table1[[#This Row],[Total GFA (sm)]]*10.7639</f>
        <v>344444.8</v>
      </c>
      <c r="V149" s="82">
        <f>16585-1550</f>
        <v>15035</v>
      </c>
      <c r="W149" s="82">
        <f>V149*10.764</f>
        <v>161836.74</v>
      </c>
      <c r="X149" s="82">
        <f>V149*0.75</f>
        <v>11276.25</v>
      </c>
      <c r="Y149" s="82">
        <f>W149*0.75</f>
        <v>121377.55499999999</v>
      </c>
      <c r="Z149" s="82"/>
      <c r="AA149" s="82"/>
      <c r="AB149" s="82">
        <v>121377.55499999999</v>
      </c>
      <c r="AC149" s="82">
        <f t="shared" si="7"/>
        <v>0</v>
      </c>
      <c r="AD149" s="82">
        <f>IF(Table1[[#This Row],[For Sale or For Lease?]]="For Sale",Table1[[#This Row],[Office UFA (Net) (sf)]]-Table1[[#This Row],[Pre-leased space (Usable FA) (sf)]]-Table1[[#This Row],[Pre-sold (Usable FA) (sf)]]-Table1[[#This Row],[Self-use space (Usable FA) (sf)]],0)</f>
        <v>0</v>
      </c>
      <c r="AE149" s="82">
        <f>IF(Table1[[#This Row],[For Sale or For Lease?]]="Uncertain",Table1[[#This Row],[Office UFA (Net) (sf)]]-Table1[[#This Row],[Pre-leased space (Usable FA) (sf)]]-Table1[[#This Row],[Pre-sold (Usable FA) (sf)]]-Table1[[#This Row],[Self-use space (Usable FA) (sf)]],0)</f>
        <v>0</v>
      </c>
      <c r="AF149" s="86">
        <f>1-SUM(Table1[[#This Row],[Space available for lease (Usable FA) (sf)]:[Space available uncertain of use (Usable FA) (sf)]])/Table1[[#This Row],[Office UFA (Net) (sf)]]</f>
        <v>1</v>
      </c>
      <c r="AG149" s="79" t="s">
        <v>89</v>
      </c>
      <c r="AH149" s="84" t="s">
        <v>96</v>
      </c>
      <c r="AI149" s="79" t="s">
        <v>1550</v>
      </c>
      <c r="AJ149" s="83">
        <v>45291</v>
      </c>
      <c r="AK149" s="83">
        <v>45343</v>
      </c>
      <c r="AL149" s="85" t="s">
        <v>29</v>
      </c>
      <c r="AM149" s="85" t="s">
        <v>1617</v>
      </c>
      <c r="AN149" s="79" t="s">
        <v>74</v>
      </c>
      <c r="AO149" s="77" t="s">
        <v>1611</v>
      </c>
      <c r="AP149" s="77" t="s">
        <v>81</v>
      </c>
      <c r="AQ149" s="77" t="s">
        <v>2299</v>
      </c>
      <c r="AR149" s="79" t="s">
        <v>2394</v>
      </c>
      <c r="AS149" s="79" t="s">
        <v>2053</v>
      </c>
      <c r="AT149" s="80">
        <v>22.3219615</v>
      </c>
      <c r="AU149" s="80">
        <v>114.1949858</v>
      </c>
      <c r="AV149" s="77" t="s">
        <v>2229</v>
      </c>
    </row>
    <row r="150" spans="1:48" ht="15" hidden="1" customHeight="1" x14ac:dyDescent="0.35">
      <c r="A150" s="77"/>
      <c r="B150" s="77" t="s">
        <v>2322</v>
      </c>
      <c r="C150" s="77" t="s">
        <v>2230</v>
      </c>
      <c r="D150" s="77"/>
      <c r="E150" s="79" t="s">
        <v>171</v>
      </c>
      <c r="F150" s="77" t="str">
        <f>VLOOKUP(Table1[[#This Row],[CBRE sub-markets]],Reference!$A$2:$B$31,2,FALSE)</f>
        <v>Kowloon East</v>
      </c>
      <c r="G150" s="77">
        <f>VLOOKUP(Table1[[#This Row],[CBRE sub-markets]],Reference!$A$2:$D$31,3,FALSE)</f>
        <v>7</v>
      </c>
      <c r="H150" s="79" t="str">
        <f>VLOOKUP(Table1[[#This Row],[CBRE sub-markets]],Reference!$A$2:$D$31,4,FALSE)</f>
        <v>Kowloon</v>
      </c>
      <c r="I150" s="80">
        <v>2023</v>
      </c>
      <c r="J150" s="80">
        <v>4</v>
      </c>
      <c r="K150" s="81" t="str">
        <f>IF(ISNUMBER(Table1[[#This Row],[Qtr]]),CONCATENATE(Table1[[#This Row],[Year]]," Q",Table1[[#This Row],[Qtr]]),CONCATENATE(Table1[[#This Row],[Year]],Table1[[#This Row],[Qtr]]))</f>
        <v>2023 Q4</v>
      </c>
      <c r="L150" s="80" t="s">
        <v>20</v>
      </c>
      <c r="M150" s="80" t="s">
        <v>84</v>
      </c>
      <c r="N150" s="80">
        <v>1</v>
      </c>
      <c r="O150" s="80" t="s">
        <v>204</v>
      </c>
      <c r="P150" s="80">
        <v>19</v>
      </c>
      <c r="Q150" s="82">
        <f>+Table1[[#This Row],[Office GFA (sf)]]/19</f>
        <v>14342</v>
      </c>
      <c r="R150" s="82">
        <f>+Table1[[#This Row],[Floor Plate (GFA) (sf)]]*0.75</f>
        <v>10756.5</v>
      </c>
      <c r="S150" s="80" t="str">
        <f t="shared" si="8"/>
        <v>No</v>
      </c>
      <c r="T150" s="82">
        <f>Table1[[#This Row],[Total GFA (sf)]]/10.76</f>
        <v>26672.862453531598</v>
      </c>
      <c r="U150" s="82">
        <v>287000</v>
      </c>
      <c r="V150" s="82">
        <f>Table1[[#This Row],[Office GFA (sf)]]/10.76</f>
        <v>25325.092936802976</v>
      </c>
      <c r="W150" s="106">
        <v>272498</v>
      </c>
      <c r="X150" s="82">
        <f>V150*0.66</f>
        <v>16714.561338289965</v>
      </c>
      <c r="Y150" s="82">
        <f>Table1[[#This Row],[Office GFA (sf)]]*0.66</f>
        <v>179848.68000000002</v>
      </c>
      <c r="Z150" s="82"/>
      <c r="AA150" s="82"/>
      <c r="AB150" s="82"/>
      <c r="AC150" s="82">
        <f t="shared" si="7"/>
        <v>0</v>
      </c>
      <c r="AD150" s="82">
        <f>IF(Table1[[#This Row],[For Sale or For Lease?]]="For Sale",Table1[[#This Row],[Office UFA (Net) (sf)]]-Table1[[#This Row],[Pre-leased space (Usable FA) (sf)]]-Table1[[#This Row],[Pre-sold (Usable FA) (sf)]]-Table1[[#This Row],[Self-use space (Usable FA) (sf)]],0)</f>
        <v>179848.68000000002</v>
      </c>
      <c r="AE150" s="82">
        <f>IF(Table1[[#This Row],[For Sale or For Lease?]]="Uncertain",Table1[[#This Row],[Office UFA (Net) (sf)]]-Table1[[#This Row],[Pre-leased space (Usable FA) (sf)]]-Table1[[#This Row],[Pre-sold (Usable FA) (sf)]]-Table1[[#This Row],[Self-use space (Usable FA) (sf)]],0)</f>
        <v>0</v>
      </c>
      <c r="AF150" s="86">
        <f>1-SUM(Table1[[#This Row],[Space available for lease (Usable FA) (sf)]:[Space available uncertain of use (Usable FA) (sf)]])/Table1[[#This Row],[Office UFA (Net) (sf)]]</f>
        <v>0</v>
      </c>
      <c r="AG150" s="79" t="s">
        <v>89</v>
      </c>
      <c r="AH150" s="84" t="s">
        <v>103</v>
      </c>
      <c r="AI150" s="79" t="s">
        <v>92</v>
      </c>
      <c r="AJ150" s="83">
        <v>45231</v>
      </c>
      <c r="AK150" s="83">
        <v>45231</v>
      </c>
      <c r="AL150" s="85" t="s">
        <v>30</v>
      </c>
      <c r="AM150" s="85" t="s">
        <v>839</v>
      </c>
      <c r="AN150" s="79" t="s">
        <v>73</v>
      </c>
      <c r="AO150" s="77" t="s">
        <v>704</v>
      </c>
      <c r="AP150" s="77" t="s">
        <v>82</v>
      </c>
      <c r="AQ150" s="77" t="s">
        <v>2231</v>
      </c>
      <c r="AR150" s="79" t="s">
        <v>2382</v>
      </c>
      <c r="AS150" s="79"/>
      <c r="AT150" s="80">
        <v>22.32272</v>
      </c>
      <c r="AU150" s="80">
        <v>114.20923999999999</v>
      </c>
      <c r="AV150" s="77" t="s">
        <v>2123</v>
      </c>
    </row>
    <row r="151" spans="1:48" ht="15" hidden="1" customHeight="1" x14ac:dyDescent="0.35">
      <c r="A151" s="77"/>
      <c r="B151" s="77" t="s">
        <v>2301</v>
      </c>
      <c r="C151" s="77" t="s">
        <v>1531</v>
      </c>
      <c r="D151" s="77"/>
      <c r="E151" s="79" t="s">
        <v>50</v>
      </c>
      <c r="F151" s="77" t="str">
        <f>VLOOKUP(Table1[[#This Row],[CBRE sub-markets]],Reference!$A$2:$B$31,2,FALSE)</f>
        <v>Kowloon East</v>
      </c>
      <c r="G151" s="77">
        <f>VLOOKUP(Table1[[#This Row],[CBRE sub-markets]],Reference!$A$2:$D$31,3,FALSE)</f>
        <v>7</v>
      </c>
      <c r="H151" s="79" t="str">
        <f>VLOOKUP(Table1[[#This Row],[CBRE sub-markets]],Reference!$A$2:$D$31,4,FALSE)</f>
        <v>Kowloon</v>
      </c>
      <c r="I151" s="80">
        <v>2023</v>
      </c>
      <c r="J151" s="80">
        <v>4</v>
      </c>
      <c r="K151" s="81" t="str">
        <f>IF(ISNUMBER(Table1[[#This Row],[Qtr]]),CONCATENATE(Table1[[#This Row],[Year]]," Q",Table1[[#This Row],[Qtr]]),CONCATENATE(Table1[[#This Row],[Year]],Table1[[#This Row],[Qtr]]))</f>
        <v>2023 Q4</v>
      </c>
      <c r="L151" s="80" t="s">
        <v>21</v>
      </c>
      <c r="M151" s="80" t="s">
        <v>84</v>
      </c>
      <c r="N151" s="80">
        <v>1</v>
      </c>
      <c r="O151" s="80" t="s">
        <v>1613</v>
      </c>
      <c r="P151" s="80">
        <v>28</v>
      </c>
      <c r="Q151" s="82">
        <f>+Table1[[#This Row],[Office GFA (sf)]]/Table1[[#This Row],[No. of Storeys for Office]]</f>
        <v>3362.8730149999997</v>
      </c>
      <c r="R151" s="82">
        <f>Table1[[#This Row],[Office UFA (Net) (sf)]]/Table1[[#This Row],[No. of Storeys for Office]]</f>
        <v>2522.1547612499999</v>
      </c>
      <c r="S151" s="80" t="str">
        <f t="shared" si="8"/>
        <v>No</v>
      </c>
      <c r="T151" s="82">
        <v>13655.1</v>
      </c>
      <c r="U151" s="82">
        <f>+Table1[[#This Row],[Total GFA (sm)]]*10.7639</f>
        <v>146982.13089</v>
      </c>
      <c r="V151" s="82">
        <v>8747.7999999999993</v>
      </c>
      <c r="W151" s="82">
        <f>+Table1[[#This Row],[Office GFA (sm)]]*10.7639</f>
        <v>94160.444419999985</v>
      </c>
      <c r="X151" s="82">
        <f>Table1[[#This Row],[Office GFA (sm)]]*0.75</f>
        <v>6560.8499999999995</v>
      </c>
      <c r="Y151" s="82">
        <f>Table1[[#This Row],[Office UFA (Net) (sm)]]*10.7639</f>
        <v>70620.333314999996</v>
      </c>
      <c r="Z151" s="82"/>
      <c r="AA151" s="82"/>
      <c r="AB151" s="82"/>
      <c r="AC151" s="82">
        <f t="shared" si="7"/>
        <v>0</v>
      </c>
      <c r="AD151" s="82">
        <f>IF(Table1[[#This Row],[For Sale or For Lease?]]="For Sale",Table1[[#This Row],[Office UFA (Net) (sf)]]-Table1[[#This Row],[Pre-leased space (Usable FA) (sf)]]-Table1[[#This Row],[Pre-sold (Usable FA) (sf)]]-Table1[[#This Row],[Self-use space (Usable FA) (sf)]],0)</f>
        <v>70620.333314999996</v>
      </c>
      <c r="AE151" s="82">
        <f>IF(Table1[[#This Row],[For Sale or For Lease?]]="Uncertain",Table1[[#This Row],[Office UFA (Net) (sf)]]-Table1[[#This Row],[Pre-leased space (Usable FA) (sf)]]-Table1[[#This Row],[Pre-sold (Usable FA) (sf)]]-Table1[[#This Row],[Self-use space (Usable FA) (sf)]],0)</f>
        <v>0</v>
      </c>
      <c r="AF151" s="86">
        <f>1-SUM(Table1[[#This Row],[Space available for lease (Usable FA) (sf)]:[Space available uncertain of use (Usable FA) (sf)]])/Table1[[#This Row],[Office UFA (Net) (sf)]]</f>
        <v>0</v>
      </c>
      <c r="AG151" s="79" t="s">
        <v>89</v>
      </c>
      <c r="AH151" s="84" t="s">
        <v>103</v>
      </c>
      <c r="AI151" s="79" t="s">
        <v>1550</v>
      </c>
      <c r="AJ151" s="83">
        <v>45229</v>
      </c>
      <c r="AK151" s="83">
        <v>45292</v>
      </c>
      <c r="AL151" s="85" t="s">
        <v>30</v>
      </c>
      <c r="AM151" s="85" t="s">
        <v>2259</v>
      </c>
      <c r="AN151" s="79" t="s">
        <v>73</v>
      </c>
      <c r="AO151" s="77" t="s">
        <v>704</v>
      </c>
      <c r="AP151" s="77" t="s">
        <v>82</v>
      </c>
      <c r="AQ151" s="77"/>
      <c r="AR151" s="79" t="s">
        <v>1744</v>
      </c>
      <c r="AS151" s="79"/>
      <c r="AT151" s="80">
        <v>22.312350085803299</v>
      </c>
      <c r="AU151" s="80">
        <v>114.220058467694</v>
      </c>
      <c r="AV151" s="77" t="s">
        <v>2112</v>
      </c>
    </row>
    <row r="152" spans="1:48" ht="15" hidden="1" customHeight="1" x14ac:dyDescent="0.35">
      <c r="A152" s="77"/>
      <c r="B152" s="77" t="s">
        <v>1495</v>
      </c>
      <c r="C152" s="77" t="s">
        <v>1495</v>
      </c>
      <c r="D152" s="77"/>
      <c r="E152" s="79" t="s">
        <v>1</v>
      </c>
      <c r="F152" s="77" t="str">
        <f>VLOOKUP(Table1[[#This Row],[CBRE sub-markets]],Reference!$A$2:$B$31,2,FALSE)</f>
        <v>Central</v>
      </c>
      <c r="G152" s="77">
        <f>VLOOKUP(Table1[[#This Row],[CBRE sub-markets]],Reference!$A$2:$D$31,3,FALSE)</f>
        <v>1</v>
      </c>
      <c r="H152" s="79" t="str">
        <f>VLOOKUP(Table1[[#This Row],[CBRE sub-markets]],Reference!$A$2:$D$31,4,FALSE)</f>
        <v>Hong Kong Island</v>
      </c>
      <c r="I152" s="80">
        <v>2023</v>
      </c>
      <c r="J152" s="80"/>
      <c r="K152" s="81" t="str">
        <f>IF(ISNUMBER(Table1[[#This Row],[Qtr]]),CONCATENATE(Table1[[#This Row],[Year]]," Q",Table1[[#This Row],[Qtr]]),CONCATENATE(Table1[[#This Row],[Year]],Table1[[#This Row],[Qtr]]))</f>
        <v>2023</v>
      </c>
      <c r="L152" s="80" t="s">
        <v>20</v>
      </c>
      <c r="M152" s="80" t="s">
        <v>86</v>
      </c>
      <c r="N152" s="80">
        <v>1</v>
      </c>
      <c r="O152" s="80" t="s">
        <v>1496</v>
      </c>
      <c r="P152" s="80">
        <v>15</v>
      </c>
      <c r="Q152" s="82">
        <v>7540</v>
      </c>
      <c r="R152" s="82">
        <f>+Table1[[#This Row],[Floor Plate (GFA) (sf)]]*0.75</f>
        <v>5655</v>
      </c>
      <c r="S152" s="80" t="str">
        <f t="shared" si="8"/>
        <v>No</v>
      </c>
      <c r="T152" s="82"/>
      <c r="U152" s="82"/>
      <c r="V152" s="82">
        <f>+Table1[[#This Row],[Floor Plate (GFA) (sf)]]*15/10.7639</f>
        <v>10507.343992419104</v>
      </c>
      <c r="W152" s="82">
        <f>+Table1[[#This Row],[Office GFA (sm)]]*10.7639</f>
        <v>113099.99999999999</v>
      </c>
      <c r="X152" s="82">
        <f>+Table1[[#This Row],[Office GFA (sf)]]*0.75</f>
        <v>84824.999999999985</v>
      </c>
      <c r="Y152" s="82">
        <f>W152*0.75</f>
        <v>84824.999999999985</v>
      </c>
      <c r="Z152" s="82"/>
      <c r="AA152" s="82"/>
      <c r="AB152" s="82"/>
      <c r="AC152" s="82">
        <f t="shared" si="7"/>
        <v>0</v>
      </c>
      <c r="AD152" s="82">
        <f>IF(Table1[[#This Row],[For Sale or For Lease?]]="For Sale",Table1[[#This Row],[Office UFA (Net) (sf)]]-Table1[[#This Row],[Pre-leased space (Usable FA) (sf)]]-Table1[[#This Row],[Pre-sold (Usable FA) (sf)]]-Table1[[#This Row],[Self-use space (Usable FA) (sf)]],0)</f>
        <v>84824.999999999985</v>
      </c>
      <c r="AE152" s="82">
        <f>IF(Table1[[#This Row],[For Sale or For Lease?]]="Uncertain",Table1[[#This Row],[Office UFA (Net) (sf)]]-Table1[[#This Row],[Pre-leased space (Usable FA) (sf)]]-Table1[[#This Row],[Pre-sold (Usable FA) (sf)]]-Table1[[#This Row],[Self-use space (Usable FA) (sf)]],0)</f>
        <v>0</v>
      </c>
      <c r="AF152" s="86">
        <f>1-SUM(Table1[[#This Row],[Space available for lease (Usable FA) (sf)]:[Space available uncertain of use (Usable FA) (sf)]])/Table1[[#This Row],[Office UFA (Net) (sf)]]</f>
        <v>0</v>
      </c>
      <c r="AG152" s="79" t="s">
        <v>89</v>
      </c>
      <c r="AH152" s="84"/>
      <c r="AI152" s="79" t="s">
        <v>1231</v>
      </c>
      <c r="AJ152" s="83">
        <v>43236</v>
      </c>
      <c r="AK152" s="83">
        <v>43236</v>
      </c>
      <c r="AL152" s="85" t="s">
        <v>30</v>
      </c>
      <c r="AM152" s="85" t="s">
        <v>1497</v>
      </c>
      <c r="AN152" s="79" t="s">
        <v>73</v>
      </c>
      <c r="AO152" s="77" t="s">
        <v>704</v>
      </c>
      <c r="AP152" s="77" t="s">
        <v>82</v>
      </c>
      <c r="AQ152" s="77" t="s">
        <v>1541</v>
      </c>
      <c r="AR152" s="79" t="s">
        <v>1748</v>
      </c>
      <c r="AS152" s="79"/>
      <c r="AT152" s="80"/>
      <c r="AU152" s="80"/>
      <c r="AV152" s="77"/>
    </row>
    <row r="153" spans="1:48" ht="15" hidden="1" customHeight="1" x14ac:dyDescent="0.35">
      <c r="A153" s="77"/>
      <c r="B153" s="77" t="s">
        <v>2232</v>
      </c>
      <c r="C153" s="77" t="s">
        <v>1507</v>
      </c>
      <c r="D153" s="77"/>
      <c r="E153" s="79" t="s">
        <v>730</v>
      </c>
      <c r="F153" s="77" t="str">
        <f>VLOOKUP(Table1[[#This Row],[CBRE sub-markets]],Reference!$A$2:$B$31,2,FALSE)</f>
        <v>Kowloon Others</v>
      </c>
      <c r="G153" s="77">
        <f>VLOOKUP(Table1[[#This Row],[CBRE sub-markets]],Reference!$A$2:$D$31,3,FALSE)</f>
        <v>8</v>
      </c>
      <c r="H153" s="79" t="str">
        <f>VLOOKUP(Table1[[#This Row],[CBRE sub-markets]],Reference!$A$2:$D$31,4,FALSE)</f>
        <v>Kowloon</v>
      </c>
      <c r="I153" s="80">
        <v>2023</v>
      </c>
      <c r="J153" s="80"/>
      <c r="K153" s="81" t="str">
        <f>IF(ISNUMBER(Table1[[#This Row],[Qtr]]),CONCATENATE(Table1[[#This Row],[Year]]," Q",Table1[[#This Row],[Qtr]]),CONCATENATE(Table1[[#This Row],[Year]],Table1[[#This Row],[Qtr]]))</f>
        <v>2023</v>
      </c>
      <c r="L153" s="80" t="s">
        <v>21</v>
      </c>
      <c r="M153" s="80" t="s">
        <v>83</v>
      </c>
      <c r="N153" s="80">
        <v>1</v>
      </c>
      <c r="O153" s="80" t="s">
        <v>830</v>
      </c>
      <c r="P153" s="80">
        <v>25</v>
      </c>
      <c r="Q153" s="82">
        <f>+Table1[[#This Row],[Total GFA (sf)]]/Table1[[#This Row],[No. of Storeys for Office]]</f>
        <v>5784.1839599039995</v>
      </c>
      <c r="R153" s="82">
        <f>+Table1[[#This Row],[Floor Plate (GFA) (sf)]]*0.75</f>
        <v>4338.1379699279996</v>
      </c>
      <c r="S153" s="80" t="str">
        <f t="shared" si="8"/>
        <v>No</v>
      </c>
      <c r="T153" s="82">
        <f>Table1[[#This Row],[Total GFA (sf)]]/10.7639</f>
        <v>13434.219845743644</v>
      </c>
      <c r="U153" s="82">
        <v>144604.5989976</v>
      </c>
      <c r="V153" s="82">
        <f>Table1[[#This Row],[Office GFA (sf)]]/10.7639</f>
        <v>13340.99815290183</v>
      </c>
      <c r="W153" s="82">
        <v>143601.17001802</v>
      </c>
      <c r="X153" s="82">
        <f>+Table1[[#This Row],[Office GFA (sm)]]*0.75</f>
        <v>10005.748614676373</v>
      </c>
      <c r="Y153" s="82">
        <f>W153*0.75</f>
        <v>107700.87751351501</v>
      </c>
      <c r="Z153" s="82"/>
      <c r="AA153" s="82"/>
      <c r="AB153" s="82"/>
      <c r="AC153" s="82">
        <f t="shared" si="7"/>
        <v>0</v>
      </c>
      <c r="AD153" s="82">
        <f>IF(Table1[[#This Row],[For Sale or For Lease?]]="For Sale",Table1[[#This Row],[Office UFA (Net) (sf)]]-Table1[[#This Row],[Pre-leased space (Usable FA) (sf)]]-Table1[[#This Row],[Pre-sold (Usable FA) (sf)]]-Table1[[#This Row],[Self-use space (Usable FA) (sf)]],0)</f>
        <v>107700.87751351501</v>
      </c>
      <c r="AE153" s="82">
        <f>IF(Table1[[#This Row],[For Sale or For Lease?]]="Uncertain",Table1[[#This Row],[Office UFA (Net) (sf)]]-Table1[[#This Row],[Pre-leased space (Usable FA) (sf)]]-Table1[[#This Row],[Pre-sold (Usable FA) (sf)]]-Table1[[#This Row],[Self-use space (Usable FA) (sf)]],0)</f>
        <v>0</v>
      </c>
      <c r="AF153" s="86">
        <f>1-SUM(Table1[[#This Row],[Space available for lease (Usable FA) (sf)]:[Space available uncertain of use (Usable FA) (sf)]])/Table1[[#This Row],[Office UFA (Net) (sf)]]</f>
        <v>0</v>
      </c>
      <c r="AG153" s="79" t="s">
        <v>89</v>
      </c>
      <c r="AH153" s="84" t="s">
        <v>90</v>
      </c>
      <c r="AI153" s="79" t="s">
        <v>1550</v>
      </c>
      <c r="AJ153" s="83">
        <v>44256</v>
      </c>
      <c r="AK153" s="83">
        <v>44317</v>
      </c>
      <c r="AL153" s="85" t="s">
        <v>30</v>
      </c>
      <c r="AM153" s="85" t="s">
        <v>2257</v>
      </c>
      <c r="AN153" s="79" t="s">
        <v>73</v>
      </c>
      <c r="AO153" s="77" t="s">
        <v>704</v>
      </c>
      <c r="AP153" s="77" t="s">
        <v>82</v>
      </c>
      <c r="AQ153" s="77" t="s">
        <v>1508</v>
      </c>
      <c r="AR153" s="79" t="s">
        <v>1747</v>
      </c>
      <c r="AS153" s="79"/>
      <c r="AT153" s="80">
        <v>22.3236977837342</v>
      </c>
      <c r="AU153" s="80">
        <v>114.16318134581</v>
      </c>
      <c r="AV153" s="77" t="s">
        <v>2124</v>
      </c>
    </row>
    <row r="154" spans="1:48" ht="15" hidden="1" customHeight="1" x14ac:dyDescent="0.35">
      <c r="A154" s="77"/>
      <c r="B154" s="77" t="s">
        <v>1903</v>
      </c>
      <c r="C154" s="77" t="s">
        <v>1269</v>
      </c>
      <c r="D154" s="77" t="s">
        <v>1270</v>
      </c>
      <c r="E154" s="79" t="s">
        <v>1</v>
      </c>
      <c r="F154" s="77" t="str">
        <f>VLOOKUP(Table1[[#This Row],[CBRE sub-markets]],Reference!$A$2:$B$31,2,FALSE)</f>
        <v>Central</v>
      </c>
      <c r="G154" s="77">
        <f>VLOOKUP(Table1[[#This Row],[CBRE sub-markets]],Reference!$A$2:$D$31,3,FALSE)</f>
        <v>1</v>
      </c>
      <c r="H154" s="79" t="str">
        <f>VLOOKUP(Table1[[#This Row],[CBRE sub-markets]],Reference!$A$2:$D$31,4,FALSE)</f>
        <v>Hong Kong Island</v>
      </c>
      <c r="I154" s="80">
        <v>2024</v>
      </c>
      <c r="J154" s="80">
        <v>1</v>
      </c>
      <c r="K154" s="81" t="str">
        <f>IF(ISNUMBER(Table1[[#This Row],[Qtr]]),CONCATENATE(Table1[[#This Row],[Year]]," Q",Table1[[#This Row],[Qtr]]),CONCATENATE(Table1[[#This Row],[Year]],Table1[[#This Row],[Qtr]]))</f>
        <v>2024 Q1</v>
      </c>
      <c r="L154" s="80" t="s">
        <v>20</v>
      </c>
      <c r="M154" s="80" t="s">
        <v>84</v>
      </c>
      <c r="N154" s="80">
        <v>1</v>
      </c>
      <c r="O154" s="80" t="s">
        <v>1875</v>
      </c>
      <c r="P154" s="80">
        <v>25</v>
      </c>
      <c r="Q154" s="82" t="s">
        <v>1918</v>
      </c>
      <c r="R154" s="82" t="s">
        <v>1919</v>
      </c>
      <c r="S154" s="80" t="str">
        <f t="shared" si="8"/>
        <v>No</v>
      </c>
      <c r="T154" s="82">
        <v>43199.9</v>
      </c>
      <c r="U154" s="82">
        <f>+Table1[[#This Row],[Total GFA (sm)]]*10.7639108</f>
        <v>464999.87016892002</v>
      </c>
      <c r="V154" s="82">
        <f>43199.9*34/35</f>
        <v>41965.617142857147</v>
      </c>
      <c r="W154" s="82">
        <f>15000*12+14000*11+11642+11769</f>
        <v>357411</v>
      </c>
      <c r="X154" s="82">
        <f>V154*0.93</f>
        <v>39028.023942857151</v>
      </c>
      <c r="Y154" s="82">
        <f>W154*0.93</f>
        <v>332392.23000000004</v>
      </c>
      <c r="Z154" s="82">
        <f>145713*0.93</f>
        <v>135513.09</v>
      </c>
      <c r="AA154" s="82"/>
      <c r="AB154" s="82">
        <f>14000*0.93</f>
        <v>13020</v>
      </c>
      <c r="AC154" s="82">
        <f t="shared" si="7"/>
        <v>183859.14000000004</v>
      </c>
      <c r="AD154" s="82">
        <f>IF(Table1[[#This Row],[For Sale or For Lease?]]="For Sale",Table1[[#This Row],[Office UFA (Net) (sf)]]-Table1[[#This Row],[Pre-leased space (Usable FA) (sf)]]-Table1[[#This Row],[Pre-sold (Usable FA) (sf)]]-Table1[[#This Row],[Self-use space (Usable FA) (sf)]],0)</f>
        <v>0</v>
      </c>
      <c r="AE154" s="82">
        <f>IF(Table1[[#This Row],[For Sale or For Lease?]]="Uncertain",Table1[[#This Row],[Office UFA (Net) (sf)]]-Table1[[#This Row],[Pre-leased space (Usable FA) (sf)]]-Table1[[#This Row],[Pre-sold (Usable FA) (sf)]]-Table1[[#This Row],[Self-use space (Usable FA) (sf)]],0)</f>
        <v>0</v>
      </c>
      <c r="AF154" s="86">
        <f>1-SUM(Table1[[#This Row],[Space available for lease (Usable FA) (sf)]:[Space available uncertain of use (Usable FA) (sf)]])/Table1[[#This Row],[Office UFA (Net) (sf)]]</f>
        <v>0.44686089683865349</v>
      </c>
      <c r="AG154" s="79" t="s">
        <v>89</v>
      </c>
      <c r="AH154" s="84" t="s">
        <v>138</v>
      </c>
      <c r="AI154" s="79" t="s">
        <v>1271</v>
      </c>
      <c r="AJ154" s="83">
        <v>45322</v>
      </c>
      <c r="AK154" s="83">
        <v>42431</v>
      </c>
      <c r="AL154" s="85" t="s">
        <v>30</v>
      </c>
      <c r="AM154" s="85" t="s">
        <v>129</v>
      </c>
      <c r="AN154" s="79" t="s">
        <v>74</v>
      </c>
      <c r="AO154" s="77" t="s">
        <v>705</v>
      </c>
      <c r="AP154" s="77" t="s">
        <v>81</v>
      </c>
      <c r="AQ154" s="77" t="s">
        <v>1656</v>
      </c>
      <c r="AR154" s="79" t="s">
        <v>2376</v>
      </c>
      <c r="AS154" s="79" t="s">
        <v>2016</v>
      </c>
      <c r="AT154" s="80">
        <v>22.280110000000001</v>
      </c>
      <c r="AU154" s="80">
        <v>114.1622</v>
      </c>
      <c r="AV154" s="77" t="s">
        <v>1970</v>
      </c>
    </row>
    <row r="155" spans="1:48" ht="15" hidden="1" customHeight="1" x14ac:dyDescent="0.35">
      <c r="A155" s="77"/>
      <c r="B155" s="77" t="s">
        <v>2454</v>
      </c>
      <c r="C155" s="77" t="s">
        <v>1609</v>
      </c>
      <c r="D155" s="77"/>
      <c r="E155" s="79" t="s">
        <v>4</v>
      </c>
      <c r="F155" s="77" t="str">
        <f>VLOOKUP(Table1[[#This Row],[CBRE sub-markets]],Reference!$A$2:$B$31,2,FALSE)</f>
        <v>Wan Chai &amp; Causeway Bay</v>
      </c>
      <c r="G155" s="77">
        <f>VLOOKUP(Table1[[#This Row],[CBRE sub-markets]],Reference!$A$2:$D$31,3,FALSE)</f>
        <v>3</v>
      </c>
      <c r="H155" s="79" t="str">
        <f>VLOOKUP(Table1[[#This Row],[CBRE sub-markets]],Reference!$A$2:$D$31,4,FALSE)</f>
        <v>Hong Kong Island</v>
      </c>
      <c r="I155" s="80">
        <v>2024</v>
      </c>
      <c r="J155" s="80">
        <v>1</v>
      </c>
      <c r="K155" s="81" t="str">
        <f>IF(ISNUMBER(Table1[[#This Row],[Qtr]]),CONCATENATE(Table1[[#This Row],[Year]]," Q",Table1[[#This Row],[Qtr]]),CONCATENATE(Table1[[#This Row],[Year]],Table1[[#This Row],[Qtr]]))</f>
        <v>2024 Q1</v>
      </c>
      <c r="L155" s="80" t="s">
        <v>20</v>
      </c>
      <c r="M155" s="80" t="s">
        <v>84</v>
      </c>
      <c r="N155" s="80">
        <v>1</v>
      </c>
      <c r="O155" s="80" t="s">
        <v>1610</v>
      </c>
      <c r="P155" s="80">
        <v>18</v>
      </c>
      <c r="Q155" s="82">
        <f>+Table1[[#This Row],[Office GFA (sf)]]/Table1[[#This Row],[No. of Storeys for Office]]</f>
        <v>14145.618382777777</v>
      </c>
      <c r="R155" s="82">
        <f>+Table1[[#This Row],[Floor Plate (GFA) (sf)]]*0.75</f>
        <v>10609.213787083332</v>
      </c>
      <c r="S155" s="80" t="str">
        <f t="shared" si="8"/>
        <v>No</v>
      </c>
      <c r="T155" s="82">
        <v>23655.1</v>
      </c>
      <c r="U155" s="82">
        <f>+Table1[[#This Row],[Total GFA (sm)]]*10.7639</f>
        <v>254621.13088999997</v>
      </c>
      <c r="V155" s="82">
        <f>+Table1[[#This Row],[Total GFA (sm)]]</f>
        <v>23655.1</v>
      </c>
      <c r="W155" s="82">
        <f>+Table1[[#This Row],[Office GFA (sm)]]*10.7639</f>
        <v>254621.13088999997</v>
      </c>
      <c r="X155" s="82">
        <v>14372.2</v>
      </c>
      <c r="Y155" s="82">
        <f>W155*0.75</f>
        <v>190965.84816749999</v>
      </c>
      <c r="Z155" s="82"/>
      <c r="AA155" s="82"/>
      <c r="AB155" s="82">
        <f>Table1[[#This Row],[Office UFA (Net) (sf)]]</f>
        <v>190965.84816749999</v>
      </c>
      <c r="AC155" s="82">
        <f t="shared" si="7"/>
        <v>0</v>
      </c>
      <c r="AD155" s="82">
        <f>IF(Table1[[#This Row],[For Sale or For Lease?]]="For Sale",Table1[[#This Row],[Office UFA (Net) (sf)]]-Table1[[#This Row],[Pre-leased space (Usable FA) (sf)]]-Table1[[#This Row],[Pre-sold (Usable FA) (sf)]]-Table1[[#This Row],[Self-use space (Usable FA) (sf)]],0)</f>
        <v>0</v>
      </c>
      <c r="AE155" s="82">
        <f>IF(Table1[[#This Row],[For Sale or For Lease?]]="Uncertain",Table1[[#This Row],[Office UFA (Net) (sf)]]-Table1[[#This Row],[Pre-leased space (Usable FA) (sf)]]-Table1[[#This Row],[Pre-sold (Usable FA) (sf)]]-Table1[[#This Row],[Self-use space (Usable FA) (sf)]],0)</f>
        <v>0</v>
      </c>
      <c r="AF155" s="86">
        <f>1-SUM(Table1[[#This Row],[Space available for lease (Usable FA) (sf)]:[Space available uncertain of use (Usable FA) (sf)]])/Table1[[#This Row],[Office UFA (Net) (sf)]]</f>
        <v>1</v>
      </c>
      <c r="AG155" s="79" t="s">
        <v>89</v>
      </c>
      <c r="AH155" s="84" t="s">
        <v>103</v>
      </c>
      <c r="AI155" s="79" t="s">
        <v>92</v>
      </c>
      <c r="AJ155" s="83">
        <v>45323</v>
      </c>
      <c r="AK155" s="83" t="s">
        <v>2325</v>
      </c>
      <c r="AL155" s="85" t="s">
        <v>30</v>
      </c>
      <c r="AM155" s="85" t="s">
        <v>1612</v>
      </c>
      <c r="AN155" s="79" t="s">
        <v>73</v>
      </c>
      <c r="AO155" s="77" t="s">
        <v>1611</v>
      </c>
      <c r="AP155" s="77" t="s">
        <v>81</v>
      </c>
      <c r="AQ155" s="77"/>
      <c r="AR155" s="79" t="s">
        <v>2450</v>
      </c>
      <c r="AS155" s="79"/>
      <c r="AT155" s="80">
        <v>22.273890000000002</v>
      </c>
      <c r="AU155" s="80">
        <v>114.17726999999999</v>
      </c>
      <c r="AV155" s="77" t="s">
        <v>2090</v>
      </c>
    </row>
    <row r="156" spans="1:48" ht="15" hidden="1" customHeight="1" x14ac:dyDescent="0.35">
      <c r="A156" s="77"/>
      <c r="B156" s="77" t="s">
        <v>1904</v>
      </c>
      <c r="C156" s="77" t="s">
        <v>1683</v>
      </c>
      <c r="D156" s="77"/>
      <c r="E156" s="79" t="s">
        <v>4</v>
      </c>
      <c r="F156" s="77" t="str">
        <f>VLOOKUP(Table1[[#This Row],[CBRE sub-markets]],Reference!$A$2:$B$31,2,FALSE)</f>
        <v>Wan Chai &amp; Causeway Bay</v>
      </c>
      <c r="G156" s="77">
        <f>VLOOKUP(Table1[[#This Row],[CBRE sub-markets]],Reference!$A$2:$D$31,3,FALSE)</f>
        <v>3</v>
      </c>
      <c r="H156" s="79" t="str">
        <f>VLOOKUP(Table1[[#This Row],[CBRE sub-markets]],Reference!$A$2:$D$31,4,FALSE)</f>
        <v>Hong Kong Island</v>
      </c>
      <c r="I156" s="80">
        <v>2024</v>
      </c>
      <c r="J156" s="80">
        <v>1</v>
      </c>
      <c r="K156" s="81" t="str">
        <f>IF(ISNUMBER(Table1[[#This Row],[Qtr]]),CONCATENATE(Table1[[#This Row],[Year]]," Q",Table1[[#This Row],[Qtr]]),CONCATENATE(Table1[[#This Row],[Year]],Table1[[#This Row],[Qtr]]))</f>
        <v>2024 Q1</v>
      </c>
      <c r="L156" s="80" t="s">
        <v>20</v>
      </c>
      <c r="M156" s="80" t="s">
        <v>84</v>
      </c>
      <c r="N156" s="80">
        <v>1</v>
      </c>
      <c r="O156" s="80" t="s">
        <v>1684</v>
      </c>
      <c r="P156" s="80">
        <v>22</v>
      </c>
      <c r="Q156" s="82" t="s">
        <v>2182</v>
      </c>
      <c r="R156" s="82" t="s">
        <v>2181</v>
      </c>
      <c r="S156" s="80" t="str">
        <f t="shared" si="8"/>
        <v>No</v>
      </c>
      <c r="T156" s="82">
        <v>20728.400000000001</v>
      </c>
      <c r="U156" s="82">
        <f>+Table1[[#This Row],[Total GFA (sm)]]*10.7639</f>
        <v>223118.42475999999</v>
      </c>
      <c r="V156" s="82">
        <f>+Table1[[#This Row],[Total GFA (sm)]]</f>
        <v>20728.400000000001</v>
      </c>
      <c r="W156" s="82">
        <v>178384</v>
      </c>
      <c r="X156" s="82">
        <f>V156*0.9</f>
        <v>18655.560000000001</v>
      </c>
      <c r="Y156" s="82">
        <f>W156*0.9</f>
        <v>160545.60000000001</v>
      </c>
      <c r="Z156" s="82">
        <f>160546-103048</f>
        <v>57498</v>
      </c>
      <c r="AA156" s="82"/>
      <c r="AB156" s="82"/>
      <c r="AC156" s="82">
        <f t="shared" si="7"/>
        <v>103047.6</v>
      </c>
      <c r="AD156" s="82">
        <f>IF(Table1[[#This Row],[For Sale or For Lease?]]="For Sale",Table1[[#This Row],[Office UFA (Net) (sf)]]-Table1[[#This Row],[Pre-leased space (Usable FA) (sf)]]-Table1[[#This Row],[Pre-sold (Usable FA) (sf)]]-Table1[[#This Row],[Self-use space (Usable FA) (sf)]],0)</f>
        <v>0</v>
      </c>
      <c r="AE156" s="82">
        <f>IF(Table1[[#This Row],[For Sale or For Lease?]]="Uncertain",Table1[[#This Row],[Office UFA (Net) (sf)]]-Table1[[#This Row],[Pre-leased space (Usable FA) (sf)]]-Table1[[#This Row],[Pre-sold (Usable FA) (sf)]]-Table1[[#This Row],[Self-use space (Usable FA) (sf)]],0)</f>
        <v>0</v>
      </c>
      <c r="AF156" s="86">
        <f>1-SUM(Table1[[#This Row],[Space available for lease (Usable FA) (sf)]:[Space available uncertain of use (Usable FA) (sf)]])/Table1[[#This Row],[Office UFA (Net) (sf)]]</f>
        <v>0.35814123837713396</v>
      </c>
      <c r="AG156" s="79" t="s">
        <v>89</v>
      </c>
      <c r="AH156" s="84" t="s">
        <v>90</v>
      </c>
      <c r="AI156" s="79" t="s">
        <v>1685</v>
      </c>
      <c r="AJ156" s="83">
        <v>43983</v>
      </c>
      <c r="AK156" s="83">
        <v>44491</v>
      </c>
      <c r="AL156" s="85" t="s">
        <v>30</v>
      </c>
      <c r="AM156" s="85" t="s">
        <v>99</v>
      </c>
      <c r="AN156" s="79" t="s">
        <v>73</v>
      </c>
      <c r="AO156" s="77" t="s">
        <v>705</v>
      </c>
      <c r="AP156" s="77" t="s">
        <v>81</v>
      </c>
      <c r="AQ156" s="77" t="s">
        <v>2326</v>
      </c>
      <c r="AR156" s="79" t="s">
        <v>2393</v>
      </c>
      <c r="AS156" s="79"/>
      <c r="AT156" s="80">
        <v>22.277159933130498</v>
      </c>
      <c r="AU156" s="80">
        <v>114.16908638706199</v>
      </c>
      <c r="AV156" s="77" t="s">
        <v>2092</v>
      </c>
    </row>
    <row r="157" spans="1:48" ht="15" hidden="1" customHeight="1" x14ac:dyDescent="0.35">
      <c r="A157" s="77" t="s">
        <v>2279</v>
      </c>
      <c r="B157" s="77" t="s">
        <v>2278</v>
      </c>
      <c r="C157" s="77" t="s">
        <v>2286</v>
      </c>
      <c r="D157" s="77"/>
      <c r="E157" s="79" t="s">
        <v>130</v>
      </c>
      <c r="F157" s="77" t="str">
        <f>VLOOKUP(Table1[[#This Row],[CBRE sub-markets]],Reference!$A$2:$B$31,2,FALSE)</f>
        <v>Wong Chuk Hang</v>
      </c>
      <c r="G157" s="77">
        <f>VLOOKUP(Table1[[#This Row],[CBRE sub-markets]],Reference!$A$2:$D$31,3,FALSE)</f>
        <v>5</v>
      </c>
      <c r="H157" s="79" t="str">
        <f>VLOOKUP(Table1[[#This Row],[CBRE sub-markets]],Reference!$A$2:$D$31,4,FALSE)</f>
        <v>Hong Kong Island</v>
      </c>
      <c r="I157" s="80">
        <v>2024</v>
      </c>
      <c r="J157" s="80">
        <v>1</v>
      </c>
      <c r="K157" s="81" t="str">
        <f>IF(ISNUMBER(Table1[[#This Row],[Qtr]]),CONCATENATE(Table1[[#This Row],[Year]]," Q",Table1[[#This Row],[Qtr]]),CONCATENATE(Table1[[#This Row],[Year]],Table1[[#This Row],[Qtr]]))</f>
        <v>2024 Q1</v>
      </c>
      <c r="L157" s="80" t="s">
        <v>20</v>
      </c>
      <c r="M157" s="80" t="s">
        <v>84</v>
      </c>
      <c r="N157" s="80"/>
      <c r="O157" s="80" t="s">
        <v>1672</v>
      </c>
      <c r="P157" s="80">
        <v>26</v>
      </c>
      <c r="Q157" s="82" t="s">
        <v>2280</v>
      </c>
      <c r="R157" s="82" t="s">
        <v>2281</v>
      </c>
      <c r="S157" s="80" t="str">
        <f t="shared" si="8"/>
        <v>No</v>
      </c>
      <c r="T157" s="82">
        <v>27306.7</v>
      </c>
      <c r="U157" s="82">
        <f>+Table1[[#This Row],[Total GFA (sm)]]*10.7639</f>
        <v>293926.58812999999</v>
      </c>
      <c r="V157" s="82">
        <f>Table1[[#This Row],[Total GFA (sm)]]</f>
        <v>27306.7</v>
      </c>
      <c r="W157" s="82">
        <v>297861</v>
      </c>
      <c r="X157" s="82">
        <f>Table1[[#This Row],[Office GFA (sm)]]</f>
        <v>27306.7</v>
      </c>
      <c r="Y157" s="82">
        <f>W157*0.81</f>
        <v>241267.41</v>
      </c>
      <c r="Z157" s="82"/>
      <c r="AA157" s="82"/>
      <c r="AB157" s="82"/>
      <c r="AC157" s="82">
        <f t="shared" si="7"/>
        <v>241267.41</v>
      </c>
      <c r="AD157" s="82">
        <f>IF(Table1[[#This Row],[For Sale or For Lease?]]="For Sale",Table1[[#This Row],[Office UFA (Net) (sf)]]-Table1[[#This Row],[Pre-leased space (Usable FA) (sf)]]-Table1[[#This Row],[Pre-sold (Usable FA) (sf)]]-Table1[[#This Row],[Self-use space (Usable FA) (sf)]],0)</f>
        <v>0</v>
      </c>
      <c r="AE157" s="82">
        <f>IF(Table1[[#This Row],[For Sale or For Lease?]]="Uncertain",Table1[[#This Row],[Office UFA (Net) (sf)]]-Table1[[#This Row],[Pre-leased space (Usable FA) (sf)]]-Table1[[#This Row],[Pre-sold (Usable FA) (sf)]]-Table1[[#This Row],[Self-use space (Usable FA) (sf)]],0)</f>
        <v>0</v>
      </c>
      <c r="AF157" s="86">
        <f>1-SUM(Table1[[#This Row],[Space available for lease (Usable FA) (sf)]:[Space available uncertain of use (Usable FA) (sf)]])/Table1[[#This Row],[Office UFA (Net) (sf)]]</f>
        <v>0</v>
      </c>
      <c r="AG157" s="79" t="s">
        <v>89</v>
      </c>
      <c r="AH157" s="84" t="s">
        <v>96</v>
      </c>
      <c r="AI157" s="79" t="s">
        <v>92</v>
      </c>
      <c r="AJ157" s="83">
        <v>43922</v>
      </c>
      <c r="AK157" s="83">
        <v>44074</v>
      </c>
      <c r="AL157" s="85" t="s">
        <v>30</v>
      </c>
      <c r="AM157" s="85" t="s">
        <v>1895</v>
      </c>
      <c r="AN157" s="79" t="s">
        <v>73</v>
      </c>
      <c r="AO157" s="77" t="s">
        <v>705</v>
      </c>
      <c r="AP157" s="77" t="s">
        <v>81</v>
      </c>
      <c r="AQ157" s="77" t="s">
        <v>2287</v>
      </c>
      <c r="AR157" s="79" t="s">
        <v>2388</v>
      </c>
      <c r="AS157" s="79"/>
      <c r="AT157" s="80">
        <v>22.248000000000001</v>
      </c>
      <c r="AU157" s="80">
        <v>114.16426</v>
      </c>
      <c r="AV157" s="77" t="s">
        <v>2084</v>
      </c>
    </row>
    <row r="158" spans="1:48" ht="15" hidden="1" customHeight="1" x14ac:dyDescent="0.35">
      <c r="A158" s="77"/>
      <c r="B158" s="77" t="s">
        <v>1905</v>
      </c>
      <c r="C158" s="77" t="s">
        <v>1305</v>
      </c>
      <c r="D158" s="77"/>
      <c r="E158" s="79" t="s">
        <v>1</v>
      </c>
      <c r="F158" s="77" t="str">
        <f>VLOOKUP(Table1[[#This Row],[CBRE sub-markets]],Reference!$A$2:$B$31,2,FALSE)</f>
        <v>Central</v>
      </c>
      <c r="G158" s="77">
        <f>VLOOKUP(Table1[[#This Row],[CBRE sub-markets]],Reference!$A$2:$D$31,3,FALSE)</f>
        <v>1</v>
      </c>
      <c r="H158" s="79" t="str">
        <f>VLOOKUP(Table1[[#This Row],[CBRE sub-markets]],Reference!$A$2:$D$31,4,FALSE)</f>
        <v>Hong Kong Island</v>
      </c>
      <c r="I158" s="80">
        <v>2024</v>
      </c>
      <c r="J158" s="80">
        <v>2</v>
      </c>
      <c r="K158" s="81" t="str">
        <f>IF(ISNUMBER(Table1[[#This Row],[Qtr]]),CONCATENATE(Table1[[#This Row],[Year]]," Q",Table1[[#This Row],[Qtr]]),CONCATENATE(Table1[[#This Row],[Year]],Table1[[#This Row],[Qtr]]))</f>
        <v>2024 Q2</v>
      </c>
      <c r="L158" s="80" t="s">
        <v>20</v>
      </c>
      <c r="M158" s="80" t="s">
        <v>84</v>
      </c>
      <c r="N158" s="80">
        <v>1</v>
      </c>
      <c r="O158" s="80" t="s">
        <v>1107</v>
      </c>
      <c r="P158" s="80"/>
      <c r="Q158" s="82">
        <v>17300</v>
      </c>
      <c r="R158" s="82">
        <f>Table1[[#This Row],[Floor Plate (GFA) (sf)]]*0.76</f>
        <v>13148</v>
      </c>
      <c r="S158" s="80" t="str">
        <f t="shared" si="8"/>
        <v>No</v>
      </c>
      <c r="T158" s="82">
        <f>Table1[[#This Row],[Total GFA (sf)]]/10.7639</f>
        <v>51294.419308986522</v>
      </c>
      <c r="U158" s="82">
        <v>552128</v>
      </c>
      <c r="V158" s="82">
        <f>Table1[[#This Row],[Office GFA (sf)]]/10.7639</f>
        <v>51294.419308986522</v>
      </c>
      <c r="W158" s="82">
        <f>Table1[[#This Row],[Total GFA (sf)]]</f>
        <v>552128</v>
      </c>
      <c r="X158" s="82">
        <f>V158*0.76</f>
        <v>38983.758674829754</v>
      </c>
      <c r="Y158" s="82">
        <f>W158*0.76</f>
        <v>419617.28000000003</v>
      </c>
      <c r="Z158" s="82">
        <f>13113+6308+4028+6080+6557</f>
        <v>36086</v>
      </c>
      <c r="AA158" s="82"/>
      <c r="AB158" s="82"/>
      <c r="AC158" s="82">
        <f t="shared" si="7"/>
        <v>383531.28</v>
      </c>
      <c r="AD158" s="82">
        <f>IF(Table1[[#This Row],[For Sale or For Lease?]]="For Sale",Table1[[#This Row],[Office UFA (Net) (sf)]]-Table1[[#This Row],[Pre-leased space (Usable FA) (sf)]]-Table1[[#This Row],[Pre-sold (Usable FA) (sf)]]-Table1[[#This Row],[Self-use space (Usable FA) (sf)]],0)</f>
        <v>0</v>
      </c>
      <c r="AE158" s="82">
        <f>IF(Table1[[#This Row],[For Sale or For Lease?]]="Uncertain",Table1[[#This Row],[Office UFA (Net) (sf)]]-Table1[[#This Row],[Pre-leased space (Usable FA) (sf)]]-Table1[[#This Row],[Pre-sold (Usable FA) (sf)]]-Table1[[#This Row],[Self-use space (Usable FA) (sf)]],0)</f>
        <v>0</v>
      </c>
      <c r="AF158" s="86">
        <f>1-SUM(Table1[[#This Row],[Space available for lease (Usable FA) (sf)]:[Space available uncertain of use (Usable FA) (sf)]])/Table1[[#This Row],[Office UFA (Net) (sf)]]</f>
        <v>8.5997411736713936E-2</v>
      </c>
      <c r="AG158" s="79" t="s">
        <v>1108</v>
      </c>
      <c r="AH158" s="84" t="s">
        <v>90</v>
      </c>
      <c r="AI158" s="79" t="s">
        <v>92</v>
      </c>
      <c r="AJ158" s="83">
        <v>44256</v>
      </c>
      <c r="AK158" s="83">
        <v>44317</v>
      </c>
      <c r="AL158" s="85" t="s">
        <v>30</v>
      </c>
      <c r="AM158" s="85" t="s">
        <v>2258</v>
      </c>
      <c r="AN158" s="79" t="s">
        <v>73</v>
      </c>
      <c r="AO158" s="77" t="s">
        <v>705</v>
      </c>
      <c r="AP158" s="77" t="s">
        <v>81</v>
      </c>
      <c r="AQ158" s="77" t="s">
        <v>2303</v>
      </c>
      <c r="AR158" s="79" t="s">
        <v>2437</v>
      </c>
      <c r="AS158" s="79"/>
      <c r="AT158" s="80">
        <v>22.281020000000002</v>
      </c>
      <c r="AU158" s="80">
        <v>114.16254000000001</v>
      </c>
      <c r="AV158" s="77" t="s">
        <v>2098</v>
      </c>
    </row>
    <row r="159" spans="1:48" ht="15" hidden="1" customHeight="1" x14ac:dyDescent="0.35">
      <c r="A159" s="77"/>
      <c r="B159" s="77" t="s">
        <v>2478</v>
      </c>
      <c r="C159" s="77" t="s">
        <v>1464</v>
      </c>
      <c r="D159" s="77"/>
      <c r="E159" s="79" t="s">
        <v>50</v>
      </c>
      <c r="F159" s="77" t="str">
        <f>VLOOKUP(Table1[[#This Row],[CBRE sub-markets]],Reference!$A$2:$B$31,2,FALSE)</f>
        <v>Kowloon East</v>
      </c>
      <c r="G159" s="77">
        <f>VLOOKUP(Table1[[#This Row],[CBRE sub-markets]],Reference!$A$2:$D$31,3,FALSE)</f>
        <v>7</v>
      </c>
      <c r="H159" s="79" t="str">
        <f>VLOOKUP(Table1[[#This Row],[CBRE sub-markets]],Reference!$A$2:$D$31,4,FALSE)</f>
        <v>Kowloon</v>
      </c>
      <c r="I159" s="80">
        <v>2024</v>
      </c>
      <c r="J159" s="80">
        <v>2</v>
      </c>
      <c r="K159" s="81" t="str">
        <f>IF(ISNUMBER(Table1[[#This Row],[Qtr]]),CONCATENATE(Table1[[#This Row],[Year]]," Q",Table1[[#This Row],[Qtr]]),CONCATENATE(Table1[[#This Row],[Year]],Table1[[#This Row],[Qtr]]))</f>
        <v>2024 Q2</v>
      </c>
      <c r="L159" s="80" t="s">
        <v>20</v>
      </c>
      <c r="M159" s="80" t="s">
        <v>84</v>
      </c>
      <c r="N159" s="80">
        <v>1</v>
      </c>
      <c r="O159" s="80" t="s">
        <v>1869</v>
      </c>
      <c r="P159" s="80">
        <v>24</v>
      </c>
      <c r="Q159" s="82">
        <f>1782*10.7639*0.522</f>
        <v>10012.622835599999</v>
      </c>
      <c r="R159" s="82">
        <f>+Table1[[#This Row],[Floor Plate (GFA) (sf)]]*0.75</f>
        <v>7509.4671266999994</v>
      </c>
      <c r="S159" s="80" t="str">
        <f t="shared" si="8"/>
        <v>No</v>
      </c>
      <c r="T159" s="82">
        <v>26715.9</v>
      </c>
      <c r="U159" s="82">
        <f>+Table1[[#This Row],[Total GFA (sm)]]*10.7639</f>
        <v>287567.27601000003</v>
      </c>
      <c r="V159" s="82">
        <v>22058</v>
      </c>
      <c r="W159" s="82">
        <v>302064</v>
      </c>
      <c r="X159" s="82">
        <f>V159*0.7</f>
        <v>15440.599999999999</v>
      </c>
      <c r="Y159" s="82">
        <f>W159*0.7</f>
        <v>211444.8</v>
      </c>
      <c r="Z159" s="82"/>
      <c r="AA159" s="82"/>
      <c r="AB159" s="82"/>
      <c r="AC159" s="82">
        <f t="shared" si="7"/>
        <v>211444.8</v>
      </c>
      <c r="AD159" s="82">
        <f>IF(Table1[[#This Row],[For Sale or For Lease?]]="For Sale",Table1[[#This Row],[Office UFA (Net) (sf)]]-Table1[[#This Row],[Pre-leased space (Usable FA) (sf)]]-Table1[[#This Row],[Pre-sold (Usable FA) (sf)]]-Table1[[#This Row],[Self-use space (Usable FA) (sf)]],0)</f>
        <v>0</v>
      </c>
      <c r="AE159" s="82">
        <f>IF(Table1[[#This Row],[For Sale or For Lease?]]="Uncertain",Table1[[#This Row],[Office UFA (Net) (sf)]]-Table1[[#This Row],[Pre-leased space (Usable FA) (sf)]]-Table1[[#This Row],[Pre-sold (Usable FA) (sf)]]-Table1[[#This Row],[Self-use space (Usable FA) (sf)]],0)</f>
        <v>0</v>
      </c>
      <c r="AF159" s="86">
        <f>1-SUM(Table1[[#This Row],[Space available for lease (Usable FA) (sf)]:[Space available uncertain of use (Usable FA) (sf)]])/Table1[[#This Row],[Office UFA (Net) (sf)]]</f>
        <v>0</v>
      </c>
      <c r="AG159" s="79" t="s">
        <v>89</v>
      </c>
      <c r="AH159" s="84" t="s">
        <v>90</v>
      </c>
      <c r="AI159" s="79" t="s">
        <v>92</v>
      </c>
      <c r="AJ159" s="83">
        <v>43647</v>
      </c>
      <c r="AK159" s="83">
        <v>43739</v>
      </c>
      <c r="AL159" s="85" t="s">
        <v>30</v>
      </c>
      <c r="AM159" s="85" t="s">
        <v>1465</v>
      </c>
      <c r="AN159" s="79" t="s">
        <v>73</v>
      </c>
      <c r="AO159" s="77" t="s">
        <v>705</v>
      </c>
      <c r="AP159" s="77" t="s">
        <v>81</v>
      </c>
      <c r="AQ159" s="77"/>
      <c r="AR159" s="79" t="s">
        <v>2449</v>
      </c>
      <c r="AS159" s="79"/>
      <c r="AT159" s="80">
        <v>22.31503</v>
      </c>
      <c r="AU159" s="80">
        <v>114.21796000000001</v>
      </c>
      <c r="AV159" s="77" t="s">
        <v>2116</v>
      </c>
    </row>
    <row r="160" spans="1:48" ht="15" hidden="1" customHeight="1" x14ac:dyDescent="0.35">
      <c r="A160" s="77"/>
      <c r="B160" s="77" t="s">
        <v>2323</v>
      </c>
      <c r="C160" s="77" t="s">
        <v>1651</v>
      </c>
      <c r="D160" s="77"/>
      <c r="E160" s="79" t="s">
        <v>15</v>
      </c>
      <c r="F160" s="77" t="str">
        <f>VLOOKUP(Table1[[#This Row],[CBRE sub-markets]],Reference!$A$2:$B$31,2,FALSE)</f>
        <v>New Territories</v>
      </c>
      <c r="G160" s="77">
        <f>VLOOKUP(Table1[[#This Row],[CBRE sub-markets]],Reference!$A$2:$D$31,3,FALSE)</f>
        <v>9</v>
      </c>
      <c r="H160" s="79" t="str">
        <f>VLOOKUP(Table1[[#This Row],[CBRE sub-markets]],Reference!$A$2:$D$31,4,FALSE)</f>
        <v>New Territories</v>
      </c>
      <c r="I160" s="80">
        <v>2024</v>
      </c>
      <c r="J160" s="80">
        <v>2</v>
      </c>
      <c r="K160" s="81" t="str">
        <f>IF(ISNUMBER(Table1[[#This Row],[Qtr]]),CONCATENATE(Table1[[#This Row],[Year]]," Q",Table1[[#This Row],[Qtr]]),CONCATENATE(Table1[[#This Row],[Year]],Table1[[#This Row],[Qtr]]))</f>
        <v>2024 Q2</v>
      </c>
      <c r="L160" s="80" t="s">
        <v>21</v>
      </c>
      <c r="M160" s="80" t="s">
        <v>84</v>
      </c>
      <c r="N160" s="80">
        <v>1</v>
      </c>
      <c r="O160" s="80" t="s">
        <v>1652</v>
      </c>
      <c r="P160" s="80">
        <v>18</v>
      </c>
      <c r="Q160" s="82">
        <f>Table1[[#This Row],[Office GFA (sf)]]/Table1[[#This Row],[No. of Storeys for Office]]</f>
        <v>9511.6111111111113</v>
      </c>
      <c r="R160" s="82">
        <f>Table1[[#This Row],[Office UFA (Net) (sf)]]/Table1[[#This Row],[No. of Storeys for Office]]</f>
        <v>6201.7222222222226</v>
      </c>
      <c r="S160" s="80" t="str">
        <f t="shared" si="8"/>
        <v>No</v>
      </c>
      <c r="T160" s="82">
        <f>Table1[[#This Row],[Total GFA (sf)]]/10.7639</f>
        <v>15905.851968152807</v>
      </c>
      <c r="U160" s="82">
        <v>171209</v>
      </c>
      <c r="V160" s="82">
        <f>Table1[[#This Row],[Total GFA (sm)]]</f>
        <v>15905.851968152807</v>
      </c>
      <c r="W160" s="82">
        <f>Table1[[#This Row],[Total GFA (sf)]]</f>
        <v>171209</v>
      </c>
      <c r="X160" s="82">
        <f>Table1[[#This Row],[Office UFA (Net) (sf)]]/10.7639</f>
        <v>10370.869294586535</v>
      </c>
      <c r="Y160" s="82">
        <v>111631</v>
      </c>
      <c r="Z160" s="82"/>
      <c r="AA160" s="82"/>
      <c r="AB160" s="82"/>
      <c r="AC160" s="82">
        <f t="shared" si="7"/>
        <v>0</v>
      </c>
      <c r="AD160" s="82">
        <f>IF(Table1[[#This Row],[For Sale or For Lease?]]="For Sale",Table1[[#This Row],[Office UFA (Net) (sf)]]-Table1[[#This Row],[Pre-leased space (Usable FA) (sf)]]-Table1[[#This Row],[Pre-sold (Usable FA) (sf)]]-Table1[[#This Row],[Self-use space (Usable FA) (sf)]],0)</f>
        <v>111631</v>
      </c>
      <c r="AE160" s="82">
        <f>IF(Table1[[#This Row],[For Sale or For Lease?]]="Uncertain",Table1[[#This Row],[Office UFA (Net) (sf)]]-Table1[[#This Row],[Pre-leased space (Usable FA) (sf)]]-Table1[[#This Row],[Pre-sold (Usable FA) (sf)]]-Table1[[#This Row],[Self-use space (Usable FA) (sf)]],0)</f>
        <v>0</v>
      </c>
      <c r="AF160" s="86">
        <f>1-SUM(Table1[[#This Row],[Space available for lease (Usable FA) (sf)]:[Space available uncertain of use (Usable FA) (sf)]])/Table1[[#This Row],[Office UFA (Net) (sf)]]</f>
        <v>0</v>
      </c>
      <c r="AG160" s="79" t="s">
        <v>89</v>
      </c>
      <c r="AH160" s="84" t="s">
        <v>90</v>
      </c>
      <c r="AI160" s="79" t="s">
        <v>1550</v>
      </c>
      <c r="AJ160" s="83">
        <v>44562</v>
      </c>
      <c r="AK160" s="83">
        <v>44652</v>
      </c>
      <c r="AL160" s="85" t="s">
        <v>30</v>
      </c>
      <c r="AM160" s="85" t="s">
        <v>501</v>
      </c>
      <c r="AN160" s="79" t="s">
        <v>73</v>
      </c>
      <c r="AO160" s="77" t="s">
        <v>704</v>
      </c>
      <c r="AP160" s="77" t="s">
        <v>82</v>
      </c>
      <c r="AQ160" s="77"/>
      <c r="AR160" s="79" t="s">
        <v>1759</v>
      </c>
      <c r="AS160" s="79"/>
      <c r="AT160" s="80">
        <v>22.37398</v>
      </c>
      <c r="AU160" s="80">
        <v>114.10937</v>
      </c>
      <c r="AV160" s="77" t="s">
        <v>2136</v>
      </c>
    </row>
    <row r="161" spans="1:48" ht="15" hidden="1" customHeight="1" x14ac:dyDescent="0.35">
      <c r="A161" s="77"/>
      <c r="B161" s="77" t="s">
        <v>2268</v>
      </c>
      <c r="C161" s="77" t="s">
        <v>2267</v>
      </c>
      <c r="D161" s="77"/>
      <c r="E161" s="79" t="s">
        <v>12</v>
      </c>
      <c r="F161" s="77" t="str">
        <f>VLOOKUP(Table1[[#This Row],[CBRE sub-markets]],Reference!$A$2:$B$31,2,FALSE)</f>
        <v>Kowloon Others</v>
      </c>
      <c r="G161" s="77">
        <f>VLOOKUP(Table1[[#This Row],[CBRE sub-markets]],Reference!$A$2:$D$31,3,FALSE)</f>
        <v>8</v>
      </c>
      <c r="H161" s="79" t="str">
        <f>VLOOKUP(Table1[[#This Row],[CBRE sub-markets]],Reference!$A$2:$D$31,4,FALSE)</f>
        <v>Kowloon</v>
      </c>
      <c r="I161" s="80">
        <v>2024</v>
      </c>
      <c r="J161" s="80">
        <v>3</v>
      </c>
      <c r="K161" s="81" t="str">
        <f>IF(ISNUMBER(Table1[[#This Row],[Qtr]]),CONCATENATE(Table1[[#This Row],[Year]]," Q",Table1[[#This Row],[Qtr]]),CONCATENATE(Table1[[#This Row],[Year]],Table1[[#This Row],[Qtr]]))</f>
        <v>2024 Q3</v>
      </c>
      <c r="L161" s="80" t="s">
        <v>20</v>
      </c>
      <c r="M161" s="80" t="s">
        <v>86</v>
      </c>
      <c r="N161" s="80">
        <v>1</v>
      </c>
      <c r="O161" s="80" t="s">
        <v>102</v>
      </c>
      <c r="P161" s="80">
        <v>24</v>
      </c>
      <c r="Q161" s="82">
        <f>1730+1700+1431+1434</f>
        <v>6295</v>
      </c>
      <c r="R161" s="82">
        <f>Table1[[#This Row],[Floor Plate (GFA) (sf)]]*0.75</f>
        <v>4721.25</v>
      </c>
      <c r="S161" s="80" t="str">
        <f t="shared" si="8"/>
        <v>No</v>
      </c>
      <c r="T161" s="82">
        <v>10699.8</v>
      </c>
      <c r="U161" s="82">
        <v>138235</v>
      </c>
      <c r="V161" s="82">
        <v>6578.6</v>
      </c>
      <c r="W161" s="82">
        <v>138235</v>
      </c>
      <c r="X161" s="82">
        <f>Table1[[#This Row],[Office UFA (Net) (sf)]]/10.76391</f>
        <v>9631.8391736831691</v>
      </c>
      <c r="Y161" s="82">
        <f>W161*0.75</f>
        <v>103676.25</v>
      </c>
      <c r="Z161" s="82"/>
      <c r="AA161" s="82"/>
      <c r="AB161" s="82"/>
      <c r="AC161" s="82">
        <f t="shared" si="7"/>
        <v>0</v>
      </c>
      <c r="AD161" s="82">
        <f>IF(Table1[[#This Row],[For Sale or For Lease?]]="For Sale",Table1[[#This Row],[Office UFA (Net) (sf)]]-Table1[[#This Row],[Pre-leased space (Usable FA) (sf)]]-Table1[[#This Row],[Pre-sold (Usable FA) (sf)]]-Table1[[#This Row],[Self-use space (Usable FA) (sf)]],0)</f>
        <v>103676.25</v>
      </c>
      <c r="AE161" s="82">
        <f>IF(Table1[[#This Row],[For Sale or For Lease?]]="Uncertain",Table1[[#This Row],[Office UFA (Net) (sf)]]-Table1[[#This Row],[Pre-leased space (Usable FA) (sf)]]-Table1[[#This Row],[Pre-sold (Usable FA) (sf)]]-Table1[[#This Row],[Self-use space (Usable FA) (sf)]],0)</f>
        <v>0</v>
      </c>
      <c r="AF161" s="86">
        <f>1-SUM(Table1[[#This Row],[Space available for lease (Usable FA) (sf)]:[Space available uncertain of use (Usable FA) (sf)]])/Table1[[#This Row],[Office UFA (Net) (sf)]]</f>
        <v>0</v>
      </c>
      <c r="AG161" s="79" t="s">
        <v>89</v>
      </c>
      <c r="AH161" s="84" t="s">
        <v>96</v>
      </c>
      <c r="AI161" s="79" t="s">
        <v>92</v>
      </c>
      <c r="AJ161" s="83">
        <v>44986</v>
      </c>
      <c r="AK161" s="83">
        <v>45047</v>
      </c>
      <c r="AL161" s="85" t="s">
        <v>30</v>
      </c>
      <c r="AM161" s="85" t="s">
        <v>839</v>
      </c>
      <c r="AN161" s="79" t="s">
        <v>73</v>
      </c>
      <c r="AO161" s="77" t="s">
        <v>704</v>
      </c>
      <c r="AP161" s="77" t="s">
        <v>82</v>
      </c>
      <c r="AQ161" s="77"/>
      <c r="AR161" s="79" t="s">
        <v>2273</v>
      </c>
      <c r="AS161" s="79"/>
      <c r="AT161" s="80">
        <v>22.336880000000001</v>
      </c>
      <c r="AU161" s="80">
        <v>114.14572</v>
      </c>
      <c r="AV161" s="77" t="s">
        <v>2272</v>
      </c>
    </row>
    <row r="162" spans="1:48" ht="15" hidden="1" customHeight="1" x14ac:dyDescent="0.35">
      <c r="A162" s="77"/>
      <c r="B162" s="77" t="s">
        <v>2269</v>
      </c>
      <c r="C162" s="77" t="s">
        <v>2270</v>
      </c>
      <c r="D162" s="77"/>
      <c r="E162" s="79" t="s">
        <v>12</v>
      </c>
      <c r="F162" s="77" t="str">
        <f>VLOOKUP(Table1[[#This Row],[CBRE sub-markets]],Reference!$A$2:$B$31,2,FALSE)</f>
        <v>Kowloon Others</v>
      </c>
      <c r="G162" s="77">
        <f>VLOOKUP(Table1[[#This Row],[CBRE sub-markets]],Reference!$A$2:$D$31,3,FALSE)</f>
        <v>8</v>
      </c>
      <c r="H162" s="79" t="str">
        <f>VLOOKUP(Table1[[#This Row],[CBRE sub-markets]],Reference!$A$2:$D$31,4,FALSE)</f>
        <v>Kowloon</v>
      </c>
      <c r="I162" s="80">
        <v>2024</v>
      </c>
      <c r="J162" s="80">
        <v>3</v>
      </c>
      <c r="K162" s="81" t="str">
        <f>IF(ISNUMBER(Table1[[#This Row],[Qtr]]),CONCATENATE(Table1[[#This Row],[Year]]," Q",Table1[[#This Row],[Qtr]]),CONCATENATE(Table1[[#This Row],[Year]],Table1[[#This Row],[Qtr]]))</f>
        <v>2024 Q3</v>
      </c>
      <c r="L162" s="80" t="s">
        <v>20</v>
      </c>
      <c r="M162" s="80" t="s">
        <v>86</v>
      </c>
      <c r="N162" s="80">
        <v>1</v>
      </c>
      <c r="O162" s="80" t="s">
        <v>102</v>
      </c>
      <c r="P162" s="80">
        <v>24</v>
      </c>
      <c r="Q162" s="82">
        <f>1730+1408+1485+1254+1239+1271</f>
        <v>8387</v>
      </c>
      <c r="R162" s="82">
        <f>Table1[[#This Row],[Floor Plate (GFA) (sf)]]*0.75</f>
        <v>6290.25</v>
      </c>
      <c r="S162" s="80" t="str">
        <f t="shared" ref="S162" si="10">IF(AND(ISNUMBER(R162),R162&gt;=15000),"Yes",IF(R162="","Unknown","No"))</f>
        <v>No</v>
      </c>
      <c r="T162" s="82">
        <v>13189.7</v>
      </c>
      <c r="U162" s="82">
        <v>172801</v>
      </c>
      <c r="V162" s="82">
        <v>8745</v>
      </c>
      <c r="W162" s="82">
        <v>172801</v>
      </c>
      <c r="X162" s="82">
        <f>Table1[[#This Row],[Office UFA (Net) (sf)]]/10.76391</f>
        <v>12040.304127403519</v>
      </c>
      <c r="Y162" s="82">
        <f>W162*0.75</f>
        <v>129600.75</v>
      </c>
      <c r="Z162" s="82"/>
      <c r="AA162" s="82"/>
      <c r="AB162" s="82"/>
      <c r="AC162" s="82">
        <f t="shared" si="7"/>
        <v>0</v>
      </c>
      <c r="AD162" s="82">
        <f>IF(Table1[[#This Row],[For Sale or For Lease?]]="For Sale",Table1[[#This Row],[Office UFA (Net) (sf)]]-Table1[[#This Row],[Pre-leased space (Usable FA) (sf)]]-Table1[[#This Row],[Pre-sold (Usable FA) (sf)]]-Table1[[#This Row],[Self-use space (Usable FA) (sf)]],0)</f>
        <v>129600.75</v>
      </c>
      <c r="AE162" s="82">
        <f>IF(Table1[[#This Row],[For Sale or For Lease?]]="Uncertain",Table1[[#This Row],[Office UFA (Net) (sf)]]-Table1[[#This Row],[Pre-leased space (Usable FA) (sf)]]-Table1[[#This Row],[Pre-sold (Usable FA) (sf)]]-Table1[[#This Row],[Self-use space (Usable FA) (sf)]],0)</f>
        <v>0</v>
      </c>
      <c r="AF162" s="86">
        <f>1-SUM(Table1[[#This Row],[Space available for lease (Usable FA) (sf)]:[Space available uncertain of use (Usable FA) (sf)]])/Table1[[#This Row],[Office UFA (Net) (sf)]]</f>
        <v>0</v>
      </c>
      <c r="AG162" s="79" t="s">
        <v>89</v>
      </c>
      <c r="AH162" s="84" t="s">
        <v>96</v>
      </c>
      <c r="AI162" s="79" t="s">
        <v>92</v>
      </c>
      <c r="AJ162" s="83">
        <v>44986</v>
      </c>
      <c r="AK162" s="83">
        <v>45047</v>
      </c>
      <c r="AL162" s="85" t="s">
        <v>30</v>
      </c>
      <c r="AM162" s="85" t="s">
        <v>839</v>
      </c>
      <c r="AN162" s="79" t="s">
        <v>73</v>
      </c>
      <c r="AO162" s="77" t="s">
        <v>704</v>
      </c>
      <c r="AP162" s="77" t="s">
        <v>82</v>
      </c>
      <c r="AQ162" s="77"/>
      <c r="AR162" s="79" t="s">
        <v>2274</v>
      </c>
      <c r="AS162" s="79"/>
      <c r="AT162" s="80">
        <v>22.336960000000001</v>
      </c>
      <c r="AU162" s="80">
        <v>114.14601</v>
      </c>
      <c r="AV162" s="77" t="s">
        <v>2271</v>
      </c>
    </row>
    <row r="163" spans="1:48" ht="15" hidden="1" customHeight="1" x14ac:dyDescent="0.35">
      <c r="A163" s="77"/>
      <c r="B163" s="77" t="s">
        <v>2475</v>
      </c>
      <c r="C163" s="77" t="s">
        <v>1195</v>
      </c>
      <c r="D163" s="77"/>
      <c r="E163" s="79" t="s">
        <v>1</v>
      </c>
      <c r="F163" s="77" t="str">
        <f>VLOOKUP(Table1[[#This Row],[CBRE sub-markets]],Reference!$A$2:$B$31,2,FALSE)</f>
        <v>Central</v>
      </c>
      <c r="G163" s="77">
        <f>VLOOKUP(Table1[[#This Row],[CBRE sub-markets]],Reference!$A$2:$D$31,3,FALSE)</f>
        <v>1</v>
      </c>
      <c r="H163" s="79" t="str">
        <f>VLOOKUP(Table1[[#This Row],[CBRE sub-markets]],Reference!$A$2:$D$31,4,FALSE)</f>
        <v>Hong Kong Island</v>
      </c>
      <c r="I163" s="80">
        <v>2025</v>
      </c>
      <c r="J163" s="80">
        <v>4</v>
      </c>
      <c r="K163" s="81" t="str">
        <f>IF(ISNUMBER(Table1[[#This Row],[Qtr]]),CONCATENATE(Table1[[#This Row],[Year]]," Q",Table1[[#This Row],[Qtr]]),CONCATENATE(Table1[[#This Row],[Year]],Table1[[#This Row],[Qtr]]))</f>
        <v>2025 Q4</v>
      </c>
      <c r="L163" s="80" t="s">
        <v>20</v>
      </c>
      <c r="M163" s="80" t="s">
        <v>84</v>
      </c>
      <c r="N163" s="80">
        <v>1</v>
      </c>
      <c r="O163" s="80" t="s">
        <v>167</v>
      </c>
      <c r="P163" s="80"/>
      <c r="Q163" s="82">
        <f>Table1[[#This Row],[Floor Plate (NFA) (sf)]]/0.75</f>
        <v>6000</v>
      </c>
      <c r="R163" s="82">
        <v>4500</v>
      </c>
      <c r="S163" s="80" t="str">
        <f>IF(AND(ISNUMBER(R163),R163&gt;=15000),"Yes",IF(R163="","Unknown","No"))</f>
        <v>No</v>
      </c>
      <c r="T163" s="82"/>
      <c r="U163" s="82"/>
      <c r="V163" s="82">
        <v>14277.9</v>
      </c>
      <c r="W163" s="82">
        <v>91808</v>
      </c>
      <c r="X163" s="82">
        <f>Table1[[#This Row],[Office GFA (sm)]]*0.75</f>
        <v>10708.424999999999</v>
      </c>
      <c r="Y163" s="82">
        <f>Table1[[#This Row],[Office GFA (sf)]]*0.85</f>
        <v>78036.800000000003</v>
      </c>
      <c r="Z163" s="82"/>
      <c r="AA163" s="82"/>
      <c r="AB163" s="82"/>
      <c r="AC163" s="82">
        <f>IF(Table1[[#This Row],[For Sale or For Lease?]]="For Lease",Table1[[#This Row],[Office UFA (Net) (sf)]]-Table1[[#This Row],[Pre-leased space (Usable FA) (sf)]]-Table1[[#This Row],[Pre-sold (Usable FA) (sf)]]-Table1[[#This Row],[Self-use space (Usable FA) (sf)]],0)</f>
        <v>78036.800000000003</v>
      </c>
      <c r="AD163" s="82">
        <f>IF(Table1[[#This Row],[For Sale or For Lease?]]="For Sale",Table1[[#This Row],[Office UFA (Net) (sf)]]-Table1[[#This Row],[Pre-leased space (Usable FA) (sf)]]-Table1[[#This Row],[Pre-sold (Usable FA) (sf)]]-Table1[[#This Row],[Self-use space (Usable FA) (sf)]],0)</f>
        <v>0</v>
      </c>
      <c r="AE163" s="82">
        <f>IF(Table1[[#This Row],[For Sale or For Lease?]]="Uncertain",Table1[[#This Row],[Office UFA (Net) (sf)]]-Table1[[#This Row],[Pre-leased space (Usable FA) (sf)]]-Table1[[#This Row],[Pre-sold (Usable FA) (sf)]]-Table1[[#This Row],[Self-use space (Usable FA) (sf)]],0)</f>
        <v>0</v>
      </c>
      <c r="AF163" s="86">
        <f>1-SUM(Table1[[#This Row],[Space available for lease (Usable FA) (sf)]:[Space available uncertain of use (Usable FA) (sf)]])/Table1[[#This Row],[Office UFA (Net) (sf)]]</f>
        <v>0</v>
      </c>
      <c r="AG163" s="79" t="s">
        <v>89</v>
      </c>
      <c r="AH163" s="84" t="s">
        <v>138</v>
      </c>
      <c r="AI163" s="79" t="s">
        <v>92</v>
      </c>
      <c r="AJ163" s="83">
        <v>41913</v>
      </c>
      <c r="AK163" s="83">
        <v>42116</v>
      </c>
      <c r="AL163" s="85" t="s">
        <v>30</v>
      </c>
      <c r="AM163" s="85" t="s">
        <v>581</v>
      </c>
      <c r="AN163" s="79" t="s">
        <v>73</v>
      </c>
      <c r="AO163" s="77" t="s">
        <v>705</v>
      </c>
      <c r="AP163" s="77" t="s">
        <v>81</v>
      </c>
      <c r="AQ163" s="107" t="s">
        <v>2492</v>
      </c>
      <c r="AR163" s="79" t="s">
        <v>1739</v>
      </c>
      <c r="AS163" s="79"/>
      <c r="AT163" s="80">
        <v>22.282229999999998</v>
      </c>
      <c r="AU163" s="80">
        <v>114.15724</v>
      </c>
      <c r="AV163" s="77" t="s">
        <v>2100</v>
      </c>
    </row>
    <row r="164" spans="1:48" ht="15" hidden="1" customHeight="1" x14ac:dyDescent="0.35">
      <c r="A164" s="77"/>
      <c r="B164" s="77" t="s">
        <v>2456</v>
      </c>
      <c r="C164" s="77" t="s">
        <v>2445</v>
      </c>
      <c r="D164" s="77"/>
      <c r="E164" s="79" t="s">
        <v>2</v>
      </c>
      <c r="F164" s="77" t="str">
        <f>VLOOKUP(Table1[[#This Row],[CBRE sub-markets]],Reference!$A$2:$B$31,2,FALSE)</f>
        <v>Admiralty &amp; Sheung Wan</v>
      </c>
      <c r="G164" s="77">
        <f>VLOOKUP(Table1[[#This Row],[CBRE sub-markets]],Reference!$A$2:$D$31,3,FALSE)</f>
        <v>2</v>
      </c>
      <c r="H164" s="79" t="str">
        <f>VLOOKUP(Table1[[#This Row],[CBRE sub-markets]],Reference!$A$2:$D$31,4,FALSE)</f>
        <v>Hong Kong Island</v>
      </c>
      <c r="I164" s="80">
        <v>2025</v>
      </c>
      <c r="J164" s="80">
        <v>2</v>
      </c>
      <c r="K164" s="81" t="str">
        <f>IF(ISNUMBER(Table1[[#This Row],[Qtr]]),CONCATENATE(Table1[[#This Row],[Year]]," Q",Table1[[#This Row],[Qtr]]),CONCATENATE(Table1[[#This Row],[Year]],Table1[[#This Row],[Qtr]]))</f>
        <v>2025 Q2</v>
      </c>
      <c r="L164" s="80" t="s">
        <v>20</v>
      </c>
      <c r="M164" s="80" t="s">
        <v>84</v>
      </c>
      <c r="N164" s="80">
        <v>1</v>
      </c>
      <c r="O164" s="80">
        <v>28</v>
      </c>
      <c r="P164" s="80">
        <v>17</v>
      </c>
      <c r="Q164" s="82">
        <f>+Table1[[#This Row],[Office GFA (sf)]]/Table1[[#This Row],[No. of Storeys for Office]]</f>
        <v>8980.0588235294126</v>
      </c>
      <c r="R164" s="82">
        <f>+Table1[[#This Row],[Floor Plate (GFA) (sf)]]*0.75</f>
        <v>6735.0441176470595</v>
      </c>
      <c r="S164" s="80" t="str">
        <f>IF(AND(ISNUMBER(R164),R164&gt;=15000),"Yes",IF(R164="","Unknown","No"))</f>
        <v>No</v>
      </c>
      <c r="T164" s="82">
        <f>Table1[[#This Row],[Total GFA (sf)]]/10.7639</f>
        <v>19649.011975213445</v>
      </c>
      <c r="U164" s="82">
        <v>211500</v>
      </c>
      <c r="V164" s="82">
        <f>Table1[[#This Row],[Office GFA (sf)]]/10.7639</f>
        <v>14182.684714648038</v>
      </c>
      <c r="W164" s="82">
        <f>9760*4+8912*12+6677</f>
        <v>152661</v>
      </c>
      <c r="X164" s="82">
        <f>Table1[[#This Row],[Office GFA (sm)]]*0.8</f>
        <v>11346.147771718432</v>
      </c>
      <c r="Y164" s="82">
        <f>Table1[[#This Row],[Office GFA (sf)]]*0.8</f>
        <v>122128.8</v>
      </c>
      <c r="Z164" s="82"/>
      <c r="AA164" s="82"/>
      <c r="AB164" s="82">
        <f>8912*0.8*5</f>
        <v>35648</v>
      </c>
      <c r="AC164" s="82">
        <f t="shared" ref="AC164:AC167" si="11">IF(AO164="For Lease",Y164-Z164-AA164-AB164,0)</f>
        <v>86480.8</v>
      </c>
      <c r="AD164" s="82">
        <f>IF(Table1[[#This Row],[For Sale or For Lease?]]="For Sale",Table1[[#This Row],[Office UFA (Net) (sf)]]-Table1[[#This Row],[Pre-leased space (Usable FA) (sf)]]-Table1[[#This Row],[Pre-sold (Usable FA) (sf)]]-Table1[[#This Row],[Self-use space (Usable FA) (sf)]],0)</f>
        <v>0</v>
      </c>
      <c r="AE164" s="82">
        <f>IF(Table1[[#This Row],[For Sale or For Lease?]]="Uncertain",Table1[[#This Row],[Office UFA (Net) (sf)]]-Table1[[#This Row],[Pre-leased space (Usable FA) (sf)]]-Table1[[#This Row],[Pre-sold (Usable FA) (sf)]]-Table1[[#This Row],[Self-use space (Usable FA) (sf)]],0)</f>
        <v>0</v>
      </c>
      <c r="AF164" s="86">
        <f>1-SUM(Table1[[#This Row],[Space available for lease (Usable FA) (sf)]:[Space available uncertain of use (Usable FA) (sf)]])/Table1[[#This Row],[Office UFA (Net) (sf)]]</f>
        <v>0.29188856354930204</v>
      </c>
      <c r="AG164" s="79" t="s">
        <v>89</v>
      </c>
      <c r="AH164" s="84" t="s">
        <v>90</v>
      </c>
      <c r="AI164" s="79" t="s">
        <v>92</v>
      </c>
      <c r="AJ164" s="83">
        <v>44986</v>
      </c>
      <c r="AK164" s="83">
        <v>45047</v>
      </c>
      <c r="AL164" s="85" t="s">
        <v>30</v>
      </c>
      <c r="AM164" s="85" t="s">
        <v>1856</v>
      </c>
      <c r="AN164" s="79" t="s">
        <v>73</v>
      </c>
      <c r="AO164" s="77" t="s">
        <v>705</v>
      </c>
      <c r="AP164" s="77" t="s">
        <v>81</v>
      </c>
      <c r="AQ164" s="77" t="s">
        <v>2474</v>
      </c>
      <c r="AR164" s="79" t="s">
        <v>1846</v>
      </c>
      <c r="AS164" s="79" t="s">
        <v>1984</v>
      </c>
      <c r="AT164" s="80">
        <v>22.28715</v>
      </c>
      <c r="AU164" s="80">
        <v>114.15089999999999</v>
      </c>
      <c r="AV164" s="77"/>
    </row>
    <row r="165" spans="1:48" ht="15" hidden="1" customHeight="1" x14ac:dyDescent="0.35">
      <c r="A165" s="77"/>
      <c r="B165" s="77" t="s">
        <v>2453</v>
      </c>
      <c r="C165" s="77" t="s">
        <v>1265</v>
      </c>
      <c r="D165" s="77"/>
      <c r="E165" s="79" t="s">
        <v>2496</v>
      </c>
      <c r="F165" s="77" t="str">
        <f>VLOOKUP(Table1[[#This Row],[CBRE sub-markets]],Reference!$A$2:$B$31,2,FALSE)</f>
        <v>Tsim Sha Tsui West</v>
      </c>
      <c r="G165" s="77">
        <f>VLOOKUP(Table1[[#This Row],[CBRE sub-markets]],Reference!$A$2:$D$31,3,FALSE)</f>
        <v>6</v>
      </c>
      <c r="H165" s="79" t="str">
        <f>VLOOKUP(Table1[[#This Row],[CBRE sub-markets]],Reference!$A$2:$D$31,4,FALSE)</f>
        <v>Kowloon</v>
      </c>
      <c r="I165" s="80">
        <v>2025</v>
      </c>
      <c r="J165" s="80">
        <v>4</v>
      </c>
      <c r="K165" s="81" t="str">
        <f>IF(ISNUMBER(Table1[[#This Row],[Qtr]]),CONCATENATE(Table1[[#This Row],[Year]]," Q",Table1[[#This Row],[Qtr]]),CONCATENATE(Table1[[#This Row],[Year]],Table1[[#This Row],[Qtr]]))</f>
        <v>2025 Q4</v>
      </c>
      <c r="L165" s="80" t="s">
        <v>20</v>
      </c>
      <c r="M165" s="80" t="s">
        <v>84</v>
      </c>
      <c r="N165" s="80">
        <v>2</v>
      </c>
      <c r="O165" s="80" t="s">
        <v>1687</v>
      </c>
      <c r="P165" s="80" t="s">
        <v>1686</v>
      </c>
      <c r="Q165" s="82" t="s">
        <v>2186</v>
      </c>
      <c r="R165" s="82" t="s">
        <v>2185</v>
      </c>
      <c r="S165" s="80" t="s">
        <v>818</v>
      </c>
      <c r="T165" s="82">
        <v>293858.5</v>
      </c>
      <c r="U165" s="82">
        <f>+Table1[[#This Row],[Total GFA (sm)]]*10.7639</f>
        <v>3163063.5081499997</v>
      </c>
      <c r="V165" s="82">
        <v>238000</v>
      </c>
      <c r="W165" s="82">
        <f>V165*10.764</f>
        <v>2561832</v>
      </c>
      <c r="X165" s="82">
        <f>V165*0.75</f>
        <v>178500</v>
      </c>
      <c r="Y165" s="82">
        <f>W165*0.75</f>
        <v>1921374</v>
      </c>
      <c r="Z165" s="82">
        <f>(250000+210000+27000+99105)*0.75</f>
        <v>439578.75</v>
      </c>
      <c r="AA165" s="82"/>
      <c r="AB165" s="82"/>
      <c r="AC165" s="82">
        <f t="shared" si="11"/>
        <v>1481795.25</v>
      </c>
      <c r="AD165" s="82">
        <f>IF(Table1[[#This Row],[For Sale or For Lease?]]="For Sale",Table1[[#This Row],[Office UFA (Net) (sf)]]-Table1[[#This Row],[Pre-leased space (Usable FA) (sf)]]-Table1[[#This Row],[Pre-sold (Usable FA) (sf)]]-Table1[[#This Row],[Self-use space (Usable FA) (sf)]],0)</f>
        <v>0</v>
      </c>
      <c r="AE165" s="82">
        <f>IF(Table1[[#This Row],[For Sale or For Lease?]]="Uncertain",Table1[[#This Row],[Office UFA (Net) (sf)]]-Table1[[#This Row],[Pre-leased space (Usable FA) (sf)]]-Table1[[#This Row],[Pre-sold (Usable FA) (sf)]]-Table1[[#This Row],[Self-use space (Usable FA) (sf)]],0)</f>
        <v>0</v>
      </c>
      <c r="AF165" s="86">
        <f>1-SUM(Table1[[#This Row],[Space available for lease (Usable FA) (sf)]:[Space available uncertain of use (Usable FA) (sf)]])/Table1[[#This Row],[Office UFA (Net) (sf)]]</f>
        <v>0.22878354240246823</v>
      </c>
      <c r="AG165" s="79" t="s">
        <v>89</v>
      </c>
      <c r="AH165" s="84" t="s">
        <v>96</v>
      </c>
      <c r="AI165" s="79" t="s">
        <v>1550</v>
      </c>
      <c r="AJ165" s="83">
        <v>44409</v>
      </c>
      <c r="AK165" s="83">
        <v>44501</v>
      </c>
      <c r="AL165" s="85" t="s">
        <v>29</v>
      </c>
      <c r="AM165" s="85" t="s">
        <v>1655</v>
      </c>
      <c r="AN165" s="79" t="s">
        <v>74</v>
      </c>
      <c r="AO165" s="77" t="s">
        <v>705</v>
      </c>
      <c r="AP165" s="77" t="s">
        <v>81</v>
      </c>
      <c r="AQ165" s="77" t="s">
        <v>1688</v>
      </c>
      <c r="AR165" s="79" t="s">
        <v>2395</v>
      </c>
      <c r="AS165" s="79" t="s">
        <v>2079</v>
      </c>
      <c r="AT165" s="80">
        <v>22.304754715561302</v>
      </c>
      <c r="AU165" s="80">
        <v>114.165009748196</v>
      </c>
      <c r="AV165" s="77" t="s">
        <v>2188</v>
      </c>
    </row>
    <row r="166" spans="1:48" ht="15" hidden="1" customHeight="1" x14ac:dyDescent="0.35">
      <c r="A166" s="77"/>
      <c r="B166" s="77" t="s">
        <v>2463</v>
      </c>
      <c r="C166" s="77" t="s">
        <v>2461</v>
      </c>
      <c r="D166" s="77"/>
      <c r="E166" s="79" t="s">
        <v>171</v>
      </c>
      <c r="F166" s="77" t="str">
        <f>VLOOKUP(Table1[[#This Row],[CBRE sub-markets]],Reference!$A$2:$B$31,2,FALSE)</f>
        <v>Kowloon East</v>
      </c>
      <c r="G166" s="77">
        <f>VLOOKUP(Table1[[#This Row],[CBRE sub-markets]],Reference!$A$2:$D$31,3,FALSE)</f>
        <v>7</v>
      </c>
      <c r="H166" s="79" t="str">
        <f>VLOOKUP(Table1[[#This Row],[CBRE sub-markets]],Reference!$A$2:$D$31,4,FALSE)</f>
        <v>Kowloon</v>
      </c>
      <c r="I166" s="80">
        <v>2025</v>
      </c>
      <c r="J166" s="80">
        <v>1</v>
      </c>
      <c r="K166" s="81" t="str">
        <f>IF(ISNUMBER(Table1[[#This Row],[Qtr]]),CONCATENATE(Table1[[#This Row],[Year]]," Q",Table1[[#This Row],[Qtr]]),CONCATENATE(Table1[[#This Row],[Year]],Table1[[#This Row],[Qtr]]))</f>
        <v>2025 Q1</v>
      </c>
      <c r="L166" s="80" t="s">
        <v>20</v>
      </c>
      <c r="M166" s="80" t="s">
        <v>84</v>
      </c>
      <c r="N166" s="80">
        <v>1</v>
      </c>
      <c r="O166" s="80" t="s">
        <v>1453</v>
      </c>
      <c r="P166" s="80">
        <v>17</v>
      </c>
      <c r="Q166" s="82">
        <f>Table1[[#This Row],[Office GFA (sf)]]/17</f>
        <v>27647.058823529413</v>
      </c>
      <c r="R166" s="82">
        <f>Table1[[#This Row],[Office UFA (Net) (sf)]]/17</f>
        <v>19297.266651764709</v>
      </c>
      <c r="S166" s="80" t="str">
        <f t="shared" ref="S166:S167" si="12">IF(AND(ISNUMBER(R166),R166&gt;=15000),"Yes",IF(R166="","Unknown","No"))</f>
        <v>Yes</v>
      </c>
      <c r="T166" s="82">
        <f>Table1[[#This Row],[Total GFA (sf)]]/10.7639</f>
        <v>46228.597441447804</v>
      </c>
      <c r="U166" s="82">
        <f>470000+27600</f>
        <v>497600</v>
      </c>
      <c r="V166" s="82">
        <f>Table1[[#This Row],[Office GFA (sf)]]/10.7639</f>
        <v>43664.471056029877</v>
      </c>
      <c r="W166" s="82">
        <v>470000</v>
      </c>
      <c r="X166" s="82">
        <v>30477.200000000001</v>
      </c>
      <c r="Y166" s="82">
        <f>+Table1[[#This Row],[Office UFA (Net) (sm)]]*10.7639</f>
        <v>328053.53308000002</v>
      </c>
      <c r="Z166" s="108"/>
      <c r="AA166" s="82"/>
      <c r="AB166" s="82"/>
      <c r="AC166" s="82">
        <f t="shared" si="11"/>
        <v>328053.53308000002</v>
      </c>
      <c r="AD166" s="82">
        <f>IF(Table1[[#This Row],[For Sale or For Lease?]]="For Sale",Table1[[#This Row],[Office UFA (Net) (sf)]]-Table1[[#This Row],[Pre-leased space (Usable FA) (sf)]]-Table1[[#This Row],[Pre-sold (Usable FA) (sf)]]-Table1[[#This Row],[Self-use space (Usable FA) (sf)]],0)</f>
        <v>0</v>
      </c>
      <c r="AE166" s="82">
        <f>IF(Table1[[#This Row],[For Sale or For Lease?]]="Uncertain",Table1[[#This Row],[Office UFA (Net) (sf)]]-Table1[[#This Row],[Pre-leased space (Usable FA) (sf)]]-Table1[[#This Row],[Pre-sold (Usable FA) (sf)]]-Table1[[#This Row],[Self-use space (Usable FA) (sf)]],0)</f>
        <v>0</v>
      </c>
      <c r="AF166" s="86">
        <f>1-SUM(Table1[[#This Row],[Space available for lease (Usable FA) (sf)]:[Space available uncertain of use (Usable FA) (sf)]])/Table1[[#This Row],[Office UFA (Net) (sf)]]</f>
        <v>0</v>
      </c>
      <c r="AG166" s="79" t="s">
        <v>89</v>
      </c>
      <c r="AH166" s="84" t="s">
        <v>90</v>
      </c>
      <c r="AI166" s="79" t="s">
        <v>92</v>
      </c>
      <c r="AJ166" s="83">
        <v>43770</v>
      </c>
      <c r="AK166" s="83">
        <v>43831</v>
      </c>
      <c r="AL166" s="85" t="s">
        <v>30</v>
      </c>
      <c r="AM166" s="85" t="s">
        <v>1677</v>
      </c>
      <c r="AN166" s="79" t="s">
        <v>73</v>
      </c>
      <c r="AO166" s="77" t="s">
        <v>705</v>
      </c>
      <c r="AP166" s="77" t="s">
        <v>81</v>
      </c>
      <c r="AQ166" s="77" t="s">
        <v>2464</v>
      </c>
      <c r="AR166" s="79" t="s">
        <v>1755</v>
      </c>
      <c r="AS166" s="79" t="s">
        <v>1993</v>
      </c>
      <c r="AT166" s="80">
        <v>22.32217</v>
      </c>
      <c r="AU166" s="80">
        <v>114.20993</v>
      </c>
      <c r="AV166" s="77" t="s">
        <v>1982</v>
      </c>
    </row>
    <row r="167" spans="1:48" ht="15" hidden="1" customHeight="1" x14ac:dyDescent="0.35">
      <c r="A167" s="77"/>
      <c r="B167" s="77" t="s">
        <v>2441</v>
      </c>
      <c r="C167" s="77" t="s">
        <v>1310</v>
      </c>
      <c r="D167" s="77"/>
      <c r="E167" s="79" t="s">
        <v>5</v>
      </c>
      <c r="F167" s="77" t="str">
        <f>VLOOKUP(Table1[[#This Row],[CBRE sub-markets]],Reference!$A$2:$B$31,2,FALSE)</f>
        <v>Wan Chai &amp; Causeway Bay</v>
      </c>
      <c r="G167" s="77">
        <f>VLOOKUP(Table1[[#This Row],[CBRE sub-markets]],Reference!$A$2:$D$31,3,FALSE)</f>
        <v>3</v>
      </c>
      <c r="H167" s="79" t="str">
        <f>VLOOKUP(Table1[[#This Row],[CBRE sub-markets]],Reference!$A$2:$D$31,4,FALSE)</f>
        <v>Hong Kong Island</v>
      </c>
      <c r="I167" s="80">
        <v>2025</v>
      </c>
      <c r="J167" s="80">
        <v>3</v>
      </c>
      <c r="K167" s="81" t="str">
        <f>IF(ISNUMBER(Table1[[#This Row],[Qtr]]),CONCATENATE(Table1[[#This Row],[Year]]," Q",Table1[[#This Row],[Qtr]]),CONCATENATE(Table1[[#This Row],[Year]],Table1[[#This Row],[Qtr]]))</f>
        <v>2025 Q3</v>
      </c>
      <c r="L167" s="80" t="s">
        <v>20</v>
      </c>
      <c r="M167" s="80" t="s">
        <v>84</v>
      </c>
      <c r="N167" s="80">
        <v>1</v>
      </c>
      <c r="O167" s="80" t="s">
        <v>1559</v>
      </c>
      <c r="P167" s="80">
        <v>24</v>
      </c>
      <c r="Q167" s="82">
        <v>20000</v>
      </c>
      <c r="R167" s="82">
        <f>Table1[[#This Row],[Floor Plate (GFA) (sf)]]*0.88</f>
        <v>17600</v>
      </c>
      <c r="S167" s="80" t="str">
        <f t="shared" si="12"/>
        <v>Yes</v>
      </c>
      <c r="T167" s="82">
        <f>+(64080)</f>
        <v>64080</v>
      </c>
      <c r="U167" s="82">
        <f>T167*10.764</f>
        <v>689757.12</v>
      </c>
      <c r="V167" s="82">
        <f>Table1[[#This Row],[Office GFA (sf)]]/10.7639</f>
        <v>49237.358206597979</v>
      </c>
      <c r="W167" s="82">
        <v>529986</v>
      </c>
      <c r="X167" s="82">
        <f>Table1[[#This Row],[Office GFA (sm)]]*0.88</f>
        <v>43328.875221806222</v>
      </c>
      <c r="Y167" s="82">
        <f>W167*0.88</f>
        <v>466387.68</v>
      </c>
      <c r="Z167" s="82">
        <f>(21479+21552+21503)*0.88</f>
        <v>56789.919999999998</v>
      </c>
      <c r="AA167" s="82"/>
      <c r="AB167" s="82"/>
      <c r="AC167" s="82">
        <f t="shared" si="11"/>
        <v>409597.76</v>
      </c>
      <c r="AD167" s="82">
        <f>IF(Table1[[#This Row],[For Sale or For Lease?]]="For Sale",Table1[[#This Row],[Office UFA (Net) (sf)]]-Table1[[#This Row],[Pre-leased space (Usable FA) (sf)]]-Table1[[#This Row],[Pre-sold (Usable FA) (sf)]]-Table1[[#This Row],[Self-use space (Usable FA) (sf)]],0)</f>
        <v>0</v>
      </c>
      <c r="AE167" s="82">
        <f>IF(Table1[[#This Row],[For Sale or For Lease?]]="Uncertain",Table1[[#This Row],[Office UFA (Net) (sf)]]-Table1[[#This Row],[Pre-leased space (Usable FA) (sf)]]-Table1[[#This Row],[Pre-sold (Usable FA) (sf)]]-Table1[[#This Row],[Self-use space (Usable FA) (sf)]],0)</f>
        <v>0</v>
      </c>
      <c r="AF167" s="86">
        <f>1-SUM(Table1[[#This Row],[Space available for lease (Usable FA) (sf)]:[Space available uncertain of use (Usable FA) (sf)]])/Table1[[#This Row],[Office UFA (Net) (sf)]]</f>
        <v>0.12176548059760062</v>
      </c>
      <c r="AG167" s="79" t="s">
        <v>89</v>
      </c>
      <c r="AH167" s="84" t="s">
        <v>90</v>
      </c>
      <c r="AI167" s="79" t="s">
        <v>2266</v>
      </c>
      <c r="AJ167" s="83">
        <v>44958</v>
      </c>
      <c r="AK167" s="83">
        <v>45292</v>
      </c>
      <c r="AL167" s="85" t="s">
        <v>30</v>
      </c>
      <c r="AM167" s="85" t="s">
        <v>2262</v>
      </c>
      <c r="AN167" s="79" t="s">
        <v>73</v>
      </c>
      <c r="AO167" s="77" t="s">
        <v>705</v>
      </c>
      <c r="AP167" s="77" t="s">
        <v>81</v>
      </c>
      <c r="AQ167" s="77" t="s">
        <v>2293</v>
      </c>
      <c r="AR167" s="79" t="s">
        <v>1760</v>
      </c>
      <c r="AS167" s="79" t="s">
        <v>2077</v>
      </c>
      <c r="AT167" s="80">
        <v>22.281792659733</v>
      </c>
      <c r="AU167" s="80">
        <v>114.184473214257</v>
      </c>
      <c r="AV167" s="77" t="s">
        <v>2292</v>
      </c>
    </row>
    <row r="168" spans="1:48" ht="15" customHeight="1" x14ac:dyDescent="0.35">
      <c r="A168" s="77"/>
      <c r="B168" s="77" t="s">
        <v>2469</v>
      </c>
      <c r="C168" s="77" t="s">
        <v>1279</v>
      </c>
      <c r="D168" s="77"/>
      <c r="E168" s="79" t="s">
        <v>2</v>
      </c>
      <c r="F168" s="77" t="str">
        <f>VLOOKUP(Table1[[#This Row],[CBRE sub-markets]],Reference!$A$2:$B$31,2,FALSE)</f>
        <v>Admiralty &amp; Sheung Wan</v>
      </c>
      <c r="G168" s="77">
        <f>VLOOKUP(Table1[[#This Row],[CBRE sub-markets]],Reference!$A$2:$D$31,3,FALSE)</f>
        <v>2</v>
      </c>
      <c r="H168" s="79" t="str">
        <f>VLOOKUP(Table1[[#This Row],[CBRE sub-markets]],Reference!$A$2:$D$31,4,FALSE)</f>
        <v>Hong Kong Island</v>
      </c>
      <c r="I168" s="80">
        <v>2026</v>
      </c>
      <c r="J168" s="80">
        <v>4</v>
      </c>
      <c r="K168" s="81" t="str">
        <f>IF(ISNUMBER(Table1[[#This Row],[Qtr]]),CONCATENATE(Table1[[#This Row],[Year]]," Q",Table1[[#This Row],[Qtr]]),CONCATENATE(Table1[[#This Row],[Year]],Table1[[#This Row],[Qtr]]))</f>
        <v>2026 Q4</v>
      </c>
      <c r="L168" s="80" t="s">
        <v>20</v>
      </c>
      <c r="M168" s="80" t="s">
        <v>83</v>
      </c>
      <c r="N168" s="80">
        <v>1</v>
      </c>
      <c r="O168" s="80">
        <v>37</v>
      </c>
      <c r="P168" s="80">
        <v>28</v>
      </c>
      <c r="Q168" s="82">
        <v>10600</v>
      </c>
      <c r="R168" s="82">
        <f>Table1[[#This Row],[Office UFA (Net) (sf)]]/Table1[[#This Row],[No. of Storeys for Office]]</f>
        <v>8936.5226785714294</v>
      </c>
      <c r="S168" s="80" t="str">
        <f t="shared" ref="S168:S199" si="13">IF(AND(ISNUMBER(R168),R168&gt;=15000),"Yes",IF(R168="","Unknown","No"))</f>
        <v>No</v>
      </c>
      <c r="T168" s="82">
        <v>39679.800000000003</v>
      </c>
      <c r="U168" s="82">
        <v>433000</v>
      </c>
      <c r="V168" s="82">
        <v>30995</v>
      </c>
      <c r="W168" s="82">
        <f>Table1[[#This Row],[Office GFA (sm)]]*10.764</f>
        <v>333630.18</v>
      </c>
      <c r="X168" s="82">
        <f>V168*0.75</f>
        <v>23246.25</v>
      </c>
      <c r="Y168" s="82">
        <f>W168*0.75</f>
        <v>250222.63500000001</v>
      </c>
      <c r="Z168" s="82"/>
      <c r="AA168" s="82"/>
      <c r="AB168" s="82"/>
      <c r="AC168" s="82">
        <f>IF(AO168="For Lease",Y168-Z168-AA168-AB168,0)</f>
        <v>250222.63500000001</v>
      </c>
      <c r="AD168" s="82">
        <f>IF(Table1[[#This Row],[For Sale or For Lease?]]="For Sale",Table1[[#This Row],[Office UFA (Net) (sf)]]-Table1[[#This Row],[Pre-leased space (Usable FA) (sf)]]-Table1[[#This Row],[Pre-sold (Usable FA) (sf)]]-Table1[[#This Row],[Self-use space (Usable FA) (sf)]],0)</f>
        <v>0</v>
      </c>
      <c r="AE168" s="82">
        <f>IF(Table1[[#This Row],[For Sale or For Lease?]]="Uncertain",Table1[[#This Row],[Office UFA (Net) (sf)]]-Table1[[#This Row],[Pre-leased space (Usable FA) (sf)]]-Table1[[#This Row],[Pre-sold (Usable FA) (sf)]]-Table1[[#This Row],[Self-use space (Usable FA) (sf)]],0)</f>
        <v>0</v>
      </c>
      <c r="AF168" s="86">
        <f>1-SUM(Table1[[#This Row],[Space available for lease (Usable FA) (sf)]:[Space available uncertain of use (Usable FA) (sf)]])/Table1[[#This Row],[Office UFA (Net) (sf)]]</f>
        <v>0</v>
      </c>
      <c r="AG168" s="79" t="s">
        <v>355</v>
      </c>
      <c r="AH168" s="84" t="s">
        <v>138</v>
      </c>
      <c r="AI168" s="79" t="s">
        <v>92</v>
      </c>
      <c r="AJ168" s="83">
        <v>43891</v>
      </c>
      <c r="AK168" s="83">
        <v>43973</v>
      </c>
      <c r="AL168" s="85" t="s">
        <v>30</v>
      </c>
      <c r="AM168" s="85" t="s">
        <v>1442</v>
      </c>
      <c r="AN168" s="79" t="s">
        <v>74</v>
      </c>
      <c r="AO168" s="77" t="s">
        <v>705</v>
      </c>
      <c r="AP168" s="77" t="s">
        <v>81</v>
      </c>
      <c r="AQ168" s="107" t="s">
        <v>2484</v>
      </c>
      <c r="AR168" s="79" t="s">
        <v>1749</v>
      </c>
      <c r="AS168" s="79" t="s">
        <v>2071</v>
      </c>
      <c r="AT168" s="80">
        <v>22.28304</v>
      </c>
      <c r="AU168" s="80">
        <v>114.15396</v>
      </c>
      <c r="AV168" s="77" t="s">
        <v>2189</v>
      </c>
    </row>
    <row r="169" spans="1:48" ht="15" hidden="1" customHeight="1" x14ac:dyDescent="0.35">
      <c r="A169" s="77"/>
      <c r="B169" s="77" t="s">
        <v>1646</v>
      </c>
      <c r="C169" s="77" t="s">
        <v>1644</v>
      </c>
      <c r="D169" s="77" t="s">
        <v>1650</v>
      </c>
      <c r="E169" s="79" t="s">
        <v>567</v>
      </c>
      <c r="F169" s="77" t="str">
        <f>VLOOKUP(Table1[[#This Row],[CBRE sub-markets]],Reference!$A$2:$B$31,2,FALSE)</f>
        <v>Kowloon East</v>
      </c>
      <c r="G169" s="77">
        <f>VLOOKUP(Table1[[#This Row],[CBRE sub-markets]],Reference!$A$2:$D$31,3,FALSE)</f>
        <v>7</v>
      </c>
      <c r="H169" s="79" t="str">
        <f>VLOOKUP(Table1[[#This Row],[CBRE sub-markets]],Reference!$A$2:$D$31,4,FALSE)</f>
        <v>Kowloon</v>
      </c>
      <c r="I169" s="80">
        <v>2025</v>
      </c>
      <c r="J169" s="80"/>
      <c r="K169" s="81" t="str">
        <f>IF(ISNUMBER(Table1[[#This Row],[Qtr]]),CONCATENATE(Table1[[#This Row],[Year]]," Q",Table1[[#This Row],[Qtr]]),CONCATENATE(Table1[[#This Row],[Year]],Table1[[#This Row],[Qtr]]))</f>
        <v>2025</v>
      </c>
      <c r="L169" s="80" t="s">
        <v>20</v>
      </c>
      <c r="M169" s="80" t="s">
        <v>86</v>
      </c>
      <c r="N169" s="80">
        <v>1</v>
      </c>
      <c r="O169" s="80" t="s">
        <v>1645</v>
      </c>
      <c r="P169" s="80">
        <v>40</v>
      </c>
      <c r="Q169" s="82">
        <f>Table1[[#This Row],[Office GFA (sf)]]/50</f>
        <v>15942.560399999998</v>
      </c>
      <c r="R169" s="82">
        <f>Table1[[#This Row],[Floor Plate (GFA) (sf)]]*0.75</f>
        <v>11956.920299999998</v>
      </c>
      <c r="S169" s="80" t="str">
        <f t="shared" si="13"/>
        <v>No</v>
      </c>
      <c r="T169" s="82">
        <v>80583</v>
      </c>
      <c r="U169" s="82">
        <f>+Table1[[#This Row],[Total GFA (sm)]]*10.7639</f>
        <v>867387.35369999998</v>
      </c>
      <c r="V169" s="82">
        <f>6270*6.1+5968*6</f>
        <v>74055</v>
      </c>
      <c r="W169" s="82">
        <f>V169*10.764</f>
        <v>797128.0199999999</v>
      </c>
      <c r="X169" s="82">
        <f>V169*0.75</f>
        <v>55541.25</v>
      </c>
      <c r="Y169" s="82">
        <f>W169*0.75</f>
        <v>597846.0149999999</v>
      </c>
      <c r="Z169" s="82"/>
      <c r="AA169" s="82"/>
      <c r="AB169" s="82"/>
      <c r="AC169" s="82">
        <f>IF(AO169="For Lease",Y169-Z169-AA169-AB169,0)</f>
        <v>0</v>
      </c>
      <c r="AD169" s="82">
        <f>IF(Table1[[#This Row],[For Sale or For Lease?]]="For Sale",Table1[[#This Row],[Office UFA (Net) (sf)]]-Table1[[#This Row],[Pre-leased space (Usable FA) (sf)]]-Table1[[#This Row],[Pre-sold (Usable FA) (sf)]]-Table1[[#This Row],[Self-use space (Usable FA) (sf)]],0)</f>
        <v>0</v>
      </c>
      <c r="AE169" s="82">
        <f>IF(Table1[[#This Row],[For Sale or For Lease?]]="Uncertain",Table1[[#This Row],[Office UFA (Net) (sf)]]-Table1[[#This Row],[Pre-leased space (Usable FA) (sf)]]-Table1[[#This Row],[Pre-sold (Usable FA) (sf)]]-Table1[[#This Row],[Self-use space (Usable FA) (sf)]],0)</f>
        <v>597846.0149999999</v>
      </c>
      <c r="AF169" s="86">
        <f>1-SUM(Table1[[#This Row],[Space available for lease (Usable FA) (sf)]:[Space available uncertain of use (Usable FA) (sf)]])/Table1[[#This Row],[Office UFA (Net) (sf)]]</f>
        <v>0</v>
      </c>
      <c r="AG169" s="79" t="s">
        <v>89</v>
      </c>
      <c r="AH169" s="84"/>
      <c r="AI169" s="79"/>
      <c r="AJ169" s="83"/>
      <c r="AK169" s="83">
        <v>43889</v>
      </c>
      <c r="AL169" s="85" t="s">
        <v>29</v>
      </c>
      <c r="AM169" s="85"/>
      <c r="AN169" s="79" t="s">
        <v>74</v>
      </c>
      <c r="AO169" s="77" t="s">
        <v>1068</v>
      </c>
      <c r="AP169" s="77" t="s">
        <v>1068</v>
      </c>
      <c r="AQ169" s="77" t="s">
        <v>1882</v>
      </c>
      <c r="AR169" s="79" t="s">
        <v>1762</v>
      </c>
      <c r="AS169" s="79" t="s">
        <v>2044</v>
      </c>
      <c r="AT169" s="80"/>
      <c r="AU169" s="80"/>
      <c r="AV169" s="77"/>
    </row>
    <row r="170" spans="1:48" ht="15" hidden="1" customHeight="1" x14ac:dyDescent="0.35">
      <c r="A170" s="77"/>
      <c r="B170" s="77" t="s">
        <v>1632</v>
      </c>
      <c r="C170" s="77" t="s">
        <v>1631</v>
      </c>
      <c r="D170" s="77"/>
      <c r="E170" s="79" t="s">
        <v>50</v>
      </c>
      <c r="F170" s="77" t="str">
        <f>VLOOKUP(Table1[[#This Row],[CBRE sub-markets]],Reference!$A$2:$B$31,2,FALSE)</f>
        <v>Kowloon East</v>
      </c>
      <c r="G170" s="77">
        <f>VLOOKUP(Table1[[#This Row],[CBRE sub-markets]],Reference!$A$2:$D$31,3,FALSE)</f>
        <v>7</v>
      </c>
      <c r="H170" s="79" t="str">
        <f>VLOOKUP(Table1[[#This Row],[CBRE sub-markets]],Reference!$A$2:$D$31,4,FALSE)</f>
        <v>Kowloon</v>
      </c>
      <c r="I170" s="80">
        <v>2025</v>
      </c>
      <c r="J170" s="80"/>
      <c r="K170" s="81" t="str">
        <f>IF(ISNUMBER(Table1[[#This Row],[Qtr]]),CONCATENATE(Table1[[#This Row],[Year]]," Q",Table1[[#This Row],[Qtr]]),CONCATENATE(Table1[[#This Row],[Year]],Table1[[#This Row],[Qtr]]))</f>
        <v>2025</v>
      </c>
      <c r="L170" s="80" t="s">
        <v>21</v>
      </c>
      <c r="M170" s="80" t="s">
        <v>83</v>
      </c>
      <c r="N170" s="80">
        <v>1</v>
      </c>
      <c r="O170" s="80" t="s">
        <v>2288</v>
      </c>
      <c r="P170" s="80">
        <v>25</v>
      </c>
      <c r="Q170" s="82">
        <f>1026*10.7639*54%</f>
        <v>5963.6311560000004</v>
      </c>
      <c r="R170" s="82">
        <f>+Table1[[#This Row],[Floor Plate (GFA) (sf)]]*0.75</f>
        <v>4472.7233670000005</v>
      </c>
      <c r="S170" s="80" t="str">
        <f t="shared" si="13"/>
        <v>No</v>
      </c>
      <c r="T170" s="82">
        <v>15366.9</v>
      </c>
      <c r="U170" s="82">
        <f>+Table1[[#This Row],[Total GFA (sm)]]*10.7639</f>
        <v>165407.77490999998</v>
      </c>
      <c r="V170" s="82">
        <v>10227.9</v>
      </c>
      <c r="W170" s="82">
        <f>+Table1[[#This Row],[Office GFA (sm)]]*10.7639</f>
        <v>110092.09280999999</v>
      </c>
      <c r="X170" s="82">
        <f>+Table1[[#This Row],[Office GFA (sm)]]*0.75</f>
        <v>7670.9249999999993</v>
      </c>
      <c r="Y170" s="82">
        <f>W170*0.75</f>
        <v>82569.069607499987</v>
      </c>
      <c r="Z170" s="82"/>
      <c r="AA170" s="82"/>
      <c r="AB170" s="82"/>
      <c r="AC170" s="82">
        <f>IF(AO170="For Lease",Y170-Z170-AA170-AB170,0)</f>
        <v>0</v>
      </c>
      <c r="AD170" s="82">
        <f>IF(Table1[[#This Row],[For Sale or For Lease?]]="For Sale",Table1[[#This Row],[Office UFA (Net) (sf)]]-Table1[[#This Row],[Pre-leased space (Usable FA) (sf)]]-Table1[[#This Row],[Pre-sold (Usable FA) (sf)]]-Table1[[#This Row],[Self-use space (Usable FA) (sf)]],0)</f>
        <v>82569.069607499987</v>
      </c>
      <c r="AE170" s="82">
        <f>IF(Table1[[#This Row],[For Sale or For Lease?]]="Uncertain",Table1[[#This Row],[Office UFA (Net) (sf)]]-Table1[[#This Row],[Pre-leased space (Usable FA) (sf)]]-Table1[[#This Row],[Pre-sold (Usable FA) (sf)]]-Table1[[#This Row],[Self-use space (Usable FA) (sf)]],0)</f>
        <v>0</v>
      </c>
      <c r="AF170" s="86">
        <f>1-SUM(Table1[[#This Row],[Space available for lease (Usable FA) (sf)]:[Space available uncertain of use (Usable FA) (sf)]])/Table1[[#This Row],[Office UFA (Net) (sf)]]</f>
        <v>0</v>
      </c>
      <c r="AG170" s="79" t="s">
        <v>89</v>
      </c>
      <c r="AH170" s="84" t="s">
        <v>90</v>
      </c>
      <c r="AI170" s="79" t="s">
        <v>1231</v>
      </c>
      <c r="AJ170" s="83">
        <v>44986</v>
      </c>
      <c r="AK170" s="83">
        <v>45047</v>
      </c>
      <c r="AL170" s="85" t="s">
        <v>30</v>
      </c>
      <c r="AM170" s="85" t="s">
        <v>1633</v>
      </c>
      <c r="AN170" s="79" t="s">
        <v>73</v>
      </c>
      <c r="AO170" s="77" t="s">
        <v>704</v>
      </c>
      <c r="AP170" s="77" t="s">
        <v>82</v>
      </c>
      <c r="AQ170" s="77" t="s">
        <v>1634</v>
      </c>
      <c r="AR170" s="79" t="s">
        <v>1751</v>
      </c>
      <c r="AS170" s="79"/>
      <c r="AT170" s="80">
        <v>22.314594639924501</v>
      </c>
      <c r="AU170" s="80">
        <v>114.21744638339</v>
      </c>
      <c r="AV170" s="77" t="s">
        <v>2115</v>
      </c>
    </row>
    <row r="171" spans="1:48" ht="15" hidden="1" customHeight="1" x14ac:dyDescent="0.35">
      <c r="A171" s="77"/>
      <c r="B171" s="77" t="s">
        <v>1628</v>
      </c>
      <c r="C171" s="77" t="s">
        <v>1627</v>
      </c>
      <c r="D171" s="77"/>
      <c r="E171" s="79" t="s">
        <v>50</v>
      </c>
      <c r="F171" s="77" t="str">
        <f>VLOOKUP(Table1[[#This Row],[CBRE sub-markets]],Reference!$A$2:$B$31,2,FALSE)</f>
        <v>Kowloon East</v>
      </c>
      <c r="G171" s="77">
        <f>VLOOKUP(Table1[[#This Row],[CBRE sub-markets]],Reference!$A$2:$D$31,3,FALSE)</f>
        <v>7</v>
      </c>
      <c r="H171" s="79" t="str">
        <f>VLOOKUP(Table1[[#This Row],[CBRE sub-markets]],Reference!$A$2:$D$31,4,FALSE)</f>
        <v>Kowloon</v>
      </c>
      <c r="I171" s="80">
        <v>2027</v>
      </c>
      <c r="J171" s="80">
        <v>1</v>
      </c>
      <c r="K171" s="81" t="str">
        <f>IF(ISNUMBER(Table1[[#This Row],[Qtr]]),CONCATENATE(Table1[[#This Row],[Year]]," Q",Table1[[#This Row],[Qtr]]),CONCATENATE(Table1[[#This Row],[Year]],Table1[[#This Row],[Qtr]]))</f>
        <v>2027 Q1</v>
      </c>
      <c r="L171" s="80" t="s">
        <v>748</v>
      </c>
      <c r="M171" s="80" t="s">
        <v>83</v>
      </c>
      <c r="N171" s="80">
        <v>1</v>
      </c>
      <c r="O171" s="80" t="s">
        <v>1864</v>
      </c>
      <c r="P171" s="80">
        <v>24</v>
      </c>
      <c r="Q171" s="82">
        <f>+(44040*16036)/100000</f>
        <v>7062.2543999999998</v>
      </c>
      <c r="R171" s="82">
        <f>+Table1[[#This Row],[Floor Plate (GFA) (sf)]]*0.75</f>
        <v>5296.6908000000003</v>
      </c>
      <c r="S171" s="80" t="str">
        <f t="shared" si="13"/>
        <v>No</v>
      </c>
      <c r="T171" s="82">
        <v>16855</v>
      </c>
      <c r="U171" s="82">
        <f>+Table1[[#This Row],[Total GFA (sm)]]*10.7639</f>
        <v>181425.53449999998</v>
      </c>
      <c r="V171" s="82">
        <f>+Table1[[#This Row],[Office GFA (sf)]]/10.7639</f>
        <v>15746.532910933771</v>
      </c>
      <c r="W171" s="82">
        <f>+Table1[[#This Row],[Floor Plate (GFA) (sf)]]*Table1[[#This Row],[No. of Storeys for Office]]</f>
        <v>169494.10560000001</v>
      </c>
      <c r="X171" s="82">
        <f>V171*0.75</f>
        <v>11809.899683200329</v>
      </c>
      <c r="Y171" s="82">
        <f>W171*0.75</f>
        <v>127120.57920000001</v>
      </c>
      <c r="Z171" s="82"/>
      <c r="AA171" s="82"/>
      <c r="AB171" s="82"/>
      <c r="AC171" s="82">
        <f>IF(AO171="For Lease",Y171-Z171-AA171-AB171,0)</f>
        <v>0</v>
      </c>
      <c r="AD171" s="82">
        <f>IF(Table1[[#This Row],[For Sale or For Lease?]]="For Sale",Table1[[#This Row],[Office UFA (Net) (sf)]]-Table1[[#This Row],[Pre-leased space (Usable FA) (sf)]]-Table1[[#This Row],[Pre-sold (Usable FA) (sf)]]-Table1[[#This Row],[Self-use space (Usable FA) (sf)]],0)</f>
        <v>127120.57920000001</v>
      </c>
      <c r="AE171" s="82">
        <f>IF(Table1[[#This Row],[For Sale or For Lease?]]="Uncertain",Table1[[#This Row],[Office UFA (Net) (sf)]]-Table1[[#This Row],[Pre-leased space (Usable FA) (sf)]]-Table1[[#This Row],[Pre-sold (Usable FA) (sf)]]-Table1[[#This Row],[Self-use space (Usable FA) (sf)]],0)</f>
        <v>0</v>
      </c>
      <c r="AF171" s="86">
        <f>1-SUM(Table1[[#This Row],[Space available for lease (Usable FA) (sf)]:[Space available uncertain of use (Usable FA) (sf)]])/Table1[[#This Row],[Office UFA (Net) (sf)]]</f>
        <v>0</v>
      </c>
      <c r="AG171" s="79" t="s">
        <v>89</v>
      </c>
      <c r="AH171" s="84" t="s">
        <v>138</v>
      </c>
      <c r="AI171" s="79" t="s">
        <v>92</v>
      </c>
      <c r="AJ171" s="83">
        <v>42917</v>
      </c>
      <c r="AK171" s="83">
        <v>43467</v>
      </c>
      <c r="AL171" s="85" t="s">
        <v>30</v>
      </c>
      <c r="AM171" s="85" t="s">
        <v>1629</v>
      </c>
      <c r="AN171" s="79" t="s">
        <v>73</v>
      </c>
      <c r="AO171" s="77" t="s">
        <v>704</v>
      </c>
      <c r="AP171" s="77" t="s">
        <v>82</v>
      </c>
      <c r="AQ171" s="77" t="s">
        <v>2465</v>
      </c>
      <c r="AR171" s="79" t="s">
        <v>1756</v>
      </c>
      <c r="AS171" s="79"/>
      <c r="AT171" s="80">
        <v>22.3156</v>
      </c>
      <c r="AU171" s="80">
        <v>114.21576</v>
      </c>
      <c r="AV171" s="77" t="s">
        <v>2119</v>
      </c>
    </row>
    <row r="172" spans="1:48" ht="15" customHeight="1" x14ac:dyDescent="0.35">
      <c r="A172" s="77"/>
      <c r="B172" s="77" t="s">
        <v>2462</v>
      </c>
      <c r="C172" s="77" t="s">
        <v>1274</v>
      </c>
      <c r="D172" s="77"/>
      <c r="E172" s="79" t="s">
        <v>5</v>
      </c>
      <c r="F172" s="77" t="str">
        <f>VLOOKUP(Table1[[#This Row],[CBRE sub-markets]],Reference!$A$2:$B$31,2,FALSE)</f>
        <v>Wan Chai &amp; Causeway Bay</v>
      </c>
      <c r="G172" s="77">
        <f>VLOOKUP(Table1[[#This Row],[CBRE sub-markets]],Reference!$A$2:$D$31,3,FALSE)</f>
        <v>3</v>
      </c>
      <c r="H172" s="79" t="str">
        <f>VLOOKUP(Table1[[#This Row],[CBRE sub-markets]],Reference!$A$2:$D$31,4,FALSE)</f>
        <v>Hong Kong Island</v>
      </c>
      <c r="I172" s="80">
        <v>2026</v>
      </c>
      <c r="J172" s="80">
        <v>4</v>
      </c>
      <c r="K172" s="81" t="str">
        <f>IF(ISNUMBER(Table1[[#This Row],[Qtr]]),CONCATENATE(Table1[[#This Row],[Year]]," Q",Table1[[#This Row],[Qtr]]),CONCATENATE(Table1[[#This Row],[Year]],Table1[[#This Row],[Qtr]]))</f>
        <v>2026 Q4</v>
      </c>
      <c r="L172" s="80" t="s">
        <v>20</v>
      </c>
      <c r="M172" s="80" t="s">
        <v>83</v>
      </c>
      <c r="N172" s="80">
        <v>2</v>
      </c>
      <c r="O172" s="80">
        <v>41</v>
      </c>
      <c r="P172" s="80">
        <v>30</v>
      </c>
      <c r="Q172" s="82">
        <f>Table1[[#This Row],[Office GFA (sf)]]/Table1[[#This Row],[No. of Storeys]]/Table1[[#This Row],[No. of Blocks]]</f>
        <v>9965.8536585365855</v>
      </c>
      <c r="R172" s="82" t="s">
        <v>2497</v>
      </c>
      <c r="S172" s="80" t="str">
        <f t="shared" si="13"/>
        <v>No</v>
      </c>
      <c r="T172" s="82">
        <v>170000</v>
      </c>
      <c r="U172" s="82">
        <f>+Table1[[#This Row],[Total GFA (sm)]]*10.7639</f>
        <v>1829863</v>
      </c>
      <c r="V172" s="82">
        <f>100000-10000</f>
        <v>90000</v>
      </c>
      <c r="W172" s="82">
        <v>817200</v>
      </c>
      <c r="X172" s="82">
        <f>V172*0.93</f>
        <v>83700</v>
      </c>
      <c r="Y172" s="82">
        <f>700000*0.93+117200*0.87</f>
        <v>752964</v>
      </c>
      <c r="Z172" s="82">
        <v>92454</v>
      </c>
      <c r="AA172" s="82"/>
      <c r="AB172" s="82"/>
      <c r="AC172" s="82">
        <f>IF(AO172="For Lease",Y172-Z172-AA172-AB172,0)</f>
        <v>660510</v>
      </c>
      <c r="AD172" s="82">
        <f>IF(Table1[[#This Row],[For Sale or For Lease?]]="For Sale",Table1[[#This Row],[Office UFA (Net) (sf)]]-Table1[[#This Row],[Pre-leased space (Usable FA) (sf)]]-Table1[[#This Row],[Pre-sold (Usable FA) (sf)]]-Table1[[#This Row],[Self-use space (Usable FA) (sf)]],0)</f>
        <v>0</v>
      </c>
      <c r="AE172" s="82">
        <f>IF(Table1[[#This Row],[For Sale or For Lease?]]="Uncertain",Table1[[#This Row],[Office UFA (Net) (sf)]]-Table1[[#This Row],[Pre-leased space (Usable FA) (sf)]]-Table1[[#This Row],[Pre-sold (Usable FA) (sf)]]-Table1[[#This Row],[Self-use space (Usable FA) (sf)]],0)</f>
        <v>0</v>
      </c>
      <c r="AF172" s="86">
        <f>1-SUM(Table1[[#This Row],[Space available for lease (Usable FA) (sf)]:[Space available uncertain of use (Usable FA) (sf)]])/Table1[[#This Row],[Office UFA (Net) (sf)]]</f>
        <v>0.12278674677673829</v>
      </c>
      <c r="AG172" s="79" t="s">
        <v>89</v>
      </c>
      <c r="AH172" s="84" t="s">
        <v>90</v>
      </c>
      <c r="AI172" s="79" t="s">
        <v>1275</v>
      </c>
      <c r="AJ172" s="83">
        <v>45170</v>
      </c>
      <c r="AK172" s="83">
        <v>45292</v>
      </c>
      <c r="AL172" s="85" t="s">
        <v>30</v>
      </c>
      <c r="AM172" s="85" t="s">
        <v>2261</v>
      </c>
      <c r="AN172" s="79" t="s">
        <v>74</v>
      </c>
      <c r="AO172" s="77" t="s">
        <v>705</v>
      </c>
      <c r="AP172" s="77" t="s">
        <v>81</v>
      </c>
      <c r="AQ172" s="77" t="s">
        <v>1537</v>
      </c>
      <c r="AR172" s="79" t="s">
        <v>1780</v>
      </c>
      <c r="AS172" s="79" t="s">
        <v>1991</v>
      </c>
      <c r="AT172" s="80">
        <v>22.276730000000001</v>
      </c>
      <c r="AU172" s="80">
        <v>114.18613999999999</v>
      </c>
      <c r="AV172" s="77"/>
    </row>
    <row r="173" spans="1:48" ht="15" customHeight="1" x14ac:dyDescent="0.35">
      <c r="A173" s="77"/>
      <c r="B173" s="77" t="s">
        <v>2324</v>
      </c>
      <c r="C173" s="77" t="s">
        <v>1872</v>
      </c>
      <c r="D173" s="77"/>
      <c r="E173" s="79" t="s">
        <v>2</v>
      </c>
      <c r="F173" s="77" t="str">
        <f>VLOOKUP(Table1[[#This Row],[CBRE sub-markets]],Reference!$A$2:$B$31,2,FALSE)</f>
        <v>Admiralty &amp; Sheung Wan</v>
      </c>
      <c r="G173" s="77">
        <f>VLOOKUP(Table1[[#This Row],[CBRE sub-markets]],Reference!$A$2:$D$31,3,FALSE)</f>
        <v>2</v>
      </c>
      <c r="H173" s="79" t="str">
        <f>VLOOKUP(Table1[[#This Row],[CBRE sub-markets]],Reference!$A$2:$D$31,4,FALSE)</f>
        <v>Hong Kong Island</v>
      </c>
      <c r="I173" s="80">
        <v>2026</v>
      </c>
      <c r="J173" s="80">
        <v>4</v>
      </c>
      <c r="K173" s="81" t="str">
        <f>IF(ISNUMBER(Table1[[#This Row],[Qtr]]),CONCATENATE(Table1[[#This Row],[Year]]," Q",Table1[[#This Row],[Qtr]]),CONCATENATE(Table1[[#This Row],[Year]],Table1[[#This Row],[Qtr]]))</f>
        <v>2026 Q4</v>
      </c>
      <c r="L173" s="80" t="s">
        <v>20</v>
      </c>
      <c r="M173" s="80" t="s">
        <v>83</v>
      </c>
      <c r="N173" s="80">
        <v>1</v>
      </c>
      <c r="O173" s="80" t="s">
        <v>1873</v>
      </c>
      <c r="P173" s="80">
        <v>25</v>
      </c>
      <c r="Q173" s="82">
        <f>1878.805*0.65*10.7639</f>
        <v>13145.124940674999</v>
      </c>
      <c r="R173" s="82">
        <f>Table1[[#This Row],[Floor Plate (GFA) (sf)]]*0.75</f>
        <v>9858.8437055062495</v>
      </c>
      <c r="S173" s="80" t="str">
        <f t="shared" si="13"/>
        <v>No</v>
      </c>
      <c r="T173" s="82">
        <v>28142.7</v>
      </c>
      <c r="U173" s="82">
        <f>+Table1[[#This Row],[Total GFA (sm)]]*10.7639</f>
        <v>302925.20853</v>
      </c>
      <c r="V173" s="82">
        <f>Table1[[#This Row],[Total GFA (sm)]]</f>
        <v>28142.7</v>
      </c>
      <c r="W173" s="82">
        <f>+Table1[[#This Row],[Office GFA (sm)]]*10.7639</f>
        <v>302925.20853</v>
      </c>
      <c r="X173" s="82">
        <f>+Table1[[#This Row],[Office UFA (Net) (sf)]]/10.7639</f>
        <v>21107.025000000001</v>
      </c>
      <c r="Y173" s="82">
        <f>W173*0.75</f>
        <v>227193.90639750002</v>
      </c>
      <c r="Z173" s="82"/>
      <c r="AA173" s="82"/>
      <c r="AB173" s="82"/>
      <c r="AC173" s="82">
        <v>0</v>
      </c>
      <c r="AD173" s="82">
        <f>IF(Table1[[#This Row],[For Sale or For Lease?]]="For Sale",Table1[[#This Row],[Office UFA (Net) (sf)]]-Table1[[#This Row],[Pre-leased space (Usable FA) (sf)]]-Table1[[#This Row],[Pre-sold (Usable FA) (sf)]]-Table1[[#This Row],[Self-use space (Usable FA) (sf)]],0)</f>
        <v>0</v>
      </c>
      <c r="AE173" s="82">
        <f>IF(Table1[[#This Row],[For Sale or For Lease?]]="Uncertain",Table1[[#This Row],[Office UFA (Net) (sf)]]-Table1[[#This Row],[Pre-leased space (Usable FA) (sf)]]-Table1[[#This Row],[Pre-sold (Usable FA) (sf)]]-Table1[[#This Row],[Self-use space (Usable FA) (sf)]],0)</f>
        <v>0</v>
      </c>
      <c r="AF173" s="86">
        <f>1-SUM(Table1[[#This Row],[Space available for lease (Usable FA) (sf)]:[Space available uncertain of use (Usable FA) (sf)]])/Table1[[#This Row],[Office UFA (Net) (sf)]]</f>
        <v>1</v>
      </c>
      <c r="AG173" s="79" t="s">
        <v>89</v>
      </c>
      <c r="AH173" s="84" t="s">
        <v>138</v>
      </c>
      <c r="AI173" s="79" t="s">
        <v>1550</v>
      </c>
      <c r="AJ173" s="83">
        <v>44197</v>
      </c>
      <c r="AK173" s="83">
        <v>44317</v>
      </c>
      <c r="AL173" s="85" t="s">
        <v>30</v>
      </c>
      <c r="AM173" s="85" t="s">
        <v>1490</v>
      </c>
      <c r="AN173" s="79" t="s">
        <v>73</v>
      </c>
      <c r="AO173" s="77" t="s">
        <v>705</v>
      </c>
      <c r="AP173" s="77" t="s">
        <v>81</v>
      </c>
      <c r="AQ173" s="107" t="s">
        <v>2498</v>
      </c>
      <c r="AR173" s="79" t="s">
        <v>1779</v>
      </c>
      <c r="AS173" s="79"/>
      <c r="AT173" s="80">
        <v>22.288101809199802</v>
      </c>
      <c r="AU173" s="80">
        <v>114.145444797037</v>
      </c>
      <c r="AV173" s="77" t="s">
        <v>2153</v>
      </c>
    </row>
    <row r="174" spans="1:48" ht="15" hidden="1" customHeight="1" x14ac:dyDescent="0.35">
      <c r="A174" s="77"/>
      <c r="B174" s="77" t="s">
        <v>2473</v>
      </c>
      <c r="C174" s="77" t="s">
        <v>2472</v>
      </c>
      <c r="D174" s="77"/>
      <c r="E174" s="79" t="s">
        <v>50</v>
      </c>
      <c r="F174" s="77" t="str">
        <f>VLOOKUP(Table1[[#This Row],[CBRE sub-markets]],Reference!$A$2:$B$31,2,FALSE)</f>
        <v>Kowloon East</v>
      </c>
      <c r="G174" s="77">
        <f>VLOOKUP(Table1[[#This Row],[CBRE sub-markets]],Reference!$A$2:$D$31,3,FALSE)</f>
        <v>7</v>
      </c>
      <c r="H174" s="79" t="str">
        <f>VLOOKUP(Table1[[#This Row],[CBRE sub-markets]],Reference!$A$2:$D$31,4,FALSE)</f>
        <v>Kowloon</v>
      </c>
      <c r="I174" s="80">
        <v>2026</v>
      </c>
      <c r="J174" s="80">
        <v>3</v>
      </c>
      <c r="K174" s="81" t="str">
        <f>IF(ISNUMBER(Table1[[#This Row],[Qtr]]),CONCATENATE(Table1[[#This Row],[Year]]," Q",Table1[[#This Row],[Qtr]]),CONCATENATE(Table1[[#This Row],[Year]],Table1[[#This Row],[Qtr]]))</f>
        <v>2026 Q3</v>
      </c>
      <c r="L174" s="80" t="s">
        <v>20</v>
      </c>
      <c r="M174" s="80" t="s">
        <v>84</v>
      </c>
      <c r="N174" s="80">
        <v>1</v>
      </c>
      <c r="O174" s="80" t="s">
        <v>1926</v>
      </c>
      <c r="P174" s="80">
        <v>28</v>
      </c>
      <c r="Q174" s="82">
        <f>+Table1[[#This Row],[Office GFA (sf)]]/Table1[[#This Row],[No. of Storeys for Office]]</f>
        <v>8845.7142857142862</v>
      </c>
      <c r="R174" s="82">
        <f>+Table1[[#This Row],[Floor Plate (GFA) (sf)]]*0.75</f>
        <v>6634.2857142857147</v>
      </c>
      <c r="S174" s="80" t="str">
        <f t="shared" si="13"/>
        <v>No</v>
      </c>
      <c r="T174" s="82">
        <v>18298</v>
      </c>
      <c r="U174" s="82">
        <v>247680</v>
      </c>
      <c r="V174" s="82">
        <v>18298</v>
      </c>
      <c r="W174" s="82">
        <v>247680</v>
      </c>
      <c r="X174" s="82">
        <f>+Table1[[#This Row],[Office GFA (sm)]]*0.72</f>
        <v>13174.56</v>
      </c>
      <c r="Y174" s="82">
        <f>W174*0.72</f>
        <v>178329.60000000001</v>
      </c>
      <c r="Z174" s="82"/>
      <c r="AA174" s="82"/>
      <c r="AB174" s="82"/>
      <c r="AC174" s="82">
        <f t="shared" ref="AC174:AC207" si="14">IF(AO174="For Lease",Y174-Z174-AA174-AB174,0)</f>
        <v>178329.60000000001</v>
      </c>
      <c r="AD174" s="82">
        <f>IF(Table1[[#This Row],[For Sale or For Lease?]]="For Sale",Table1[[#This Row],[Office UFA (Net) (sf)]]-Table1[[#This Row],[Pre-leased space (Usable FA) (sf)]]-Table1[[#This Row],[Pre-sold (Usable FA) (sf)]]-Table1[[#This Row],[Self-use space (Usable FA) (sf)]],0)</f>
        <v>0</v>
      </c>
      <c r="AE174" s="82">
        <f>IF(Table1[[#This Row],[For Sale or For Lease?]]="Uncertain",Table1[[#This Row],[Office UFA (Net) (sf)]]-Table1[[#This Row],[Pre-leased space (Usable FA) (sf)]]-Table1[[#This Row],[Pre-sold (Usable FA) (sf)]]-Table1[[#This Row],[Self-use space (Usable FA) (sf)]],0)</f>
        <v>0</v>
      </c>
      <c r="AF174" s="86">
        <f>1-SUM(Table1[[#This Row],[Space available for lease (Usable FA) (sf)]:[Space available uncertain of use (Usable FA) (sf)]])/Table1[[#This Row],[Office UFA (Net) (sf)]]</f>
        <v>0</v>
      </c>
      <c r="AG174" s="79" t="s">
        <v>89</v>
      </c>
      <c r="AH174" s="84" t="s">
        <v>138</v>
      </c>
      <c r="AI174" s="79" t="s">
        <v>1550</v>
      </c>
      <c r="AJ174" s="83">
        <v>44409</v>
      </c>
      <c r="AK174" s="83">
        <v>44470</v>
      </c>
      <c r="AL174" s="85" t="s">
        <v>30</v>
      </c>
      <c r="AM174" s="85" t="s">
        <v>1642</v>
      </c>
      <c r="AN174" s="79" t="s">
        <v>73</v>
      </c>
      <c r="AO174" s="77" t="s">
        <v>705</v>
      </c>
      <c r="AP174" s="77" t="s">
        <v>81</v>
      </c>
      <c r="AQ174" s="107" t="s">
        <v>2501</v>
      </c>
      <c r="AR174" s="79" t="s">
        <v>1764</v>
      </c>
      <c r="AS174" s="79"/>
      <c r="AT174" s="80">
        <v>22.313359999999999</v>
      </c>
      <c r="AU174" s="80">
        <v>114.22044</v>
      </c>
      <c r="AV174" s="77" t="s">
        <v>2114</v>
      </c>
    </row>
    <row r="175" spans="1:48" ht="15" customHeight="1" x14ac:dyDescent="0.35">
      <c r="A175" s="77"/>
      <c r="B175" s="77" t="s">
        <v>2490</v>
      </c>
      <c r="C175" s="77" t="s">
        <v>1647</v>
      </c>
      <c r="D175" s="77" t="s">
        <v>1648</v>
      </c>
      <c r="E175" s="79" t="s">
        <v>1</v>
      </c>
      <c r="F175" s="77" t="str">
        <f>VLOOKUP(Table1[[#This Row],[CBRE sub-markets]],Reference!$A$2:$B$31,2,FALSE)</f>
        <v>Central</v>
      </c>
      <c r="G175" s="77">
        <f>VLOOKUP(Table1[[#This Row],[CBRE sub-markets]],Reference!$A$2:$D$31,3,FALSE)</f>
        <v>1</v>
      </c>
      <c r="H175" s="79" t="str">
        <f>VLOOKUP(Table1[[#This Row],[CBRE sub-markets]],Reference!$A$2:$D$31,4,FALSE)</f>
        <v>Hong Kong Island</v>
      </c>
      <c r="I175" s="80">
        <v>2026</v>
      </c>
      <c r="J175" s="80">
        <v>4</v>
      </c>
      <c r="K175" s="81" t="str">
        <f>IF(ISNUMBER(Table1[[#This Row],[Qtr]]),CONCATENATE(Table1[[#This Row],[Year]]," Q",Table1[[#This Row],[Qtr]]),CONCATENATE(Table1[[#This Row],[Year]],Table1[[#This Row],[Qtr]]))</f>
        <v>2026 Q4</v>
      </c>
      <c r="L175" s="80" t="s">
        <v>20</v>
      </c>
      <c r="M175" s="80" t="s">
        <v>83</v>
      </c>
      <c r="N175" s="80">
        <v>1</v>
      </c>
      <c r="O175" s="80">
        <v>6</v>
      </c>
      <c r="P175" s="80">
        <v>6</v>
      </c>
      <c r="Q175" s="82" t="s">
        <v>2241</v>
      </c>
      <c r="R175" s="82" t="s">
        <v>2240</v>
      </c>
      <c r="S175" s="80" t="str">
        <f t="shared" si="13"/>
        <v>No</v>
      </c>
      <c r="T175" s="82">
        <f>Table1[[#This Row],[Total GFA (sf)]]/10.7639</f>
        <v>56670.909242932394</v>
      </c>
      <c r="U175" s="82">
        <f>270000+340000</f>
        <v>610000</v>
      </c>
      <c r="V175" s="82">
        <f>Table1[[#This Row],[Office GFA (sf)]]/10.7639</f>
        <v>33445.126766320762</v>
      </c>
      <c r="W175" s="82">
        <v>360000</v>
      </c>
      <c r="X175" s="82">
        <f>V175*0.9</f>
        <v>30100.614089688686</v>
      </c>
      <c r="Y175" s="82">
        <f>W175*0.9</f>
        <v>324000</v>
      </c>
      <c r="Z175" s="82">
        <f>223000*0.9+(16587+18514)*0.9</f>
        <v>232290.9</v>
      </c>
      <c r="AA175" s="82"/>
      <c r="AB175" s="82"/>
      <c r="AC175" s="82">
        <f t="shared" si="14"/>
        <v>91709.1</v>
      </c>
      <c r="AD175" s="82">
        <f>IF(Table1[[#This Row],[For Sale or For Lease?]]="For Sale",Table1[[#This Row],[Office UFA (Net) (sf)]]-Table1[[#This Row],[Pre-leased space (Usable FA) (sf)]]-Table1[[#This Row],[Pre-sold (Usable FA) (sf)]]-Table1[[#This Row],[Self-use space (Usable FA) (sf)]],0)</f>
        <v>0</v>
      </c>
      <c r="AE175" s="82">
        <f>IF(Table1[[#This Row],[For Sale or For Lease?]]="Uncertain",Table1[[#This Row],[Office UFA (Net) (sf)]]-Table1[[#This Row],[Pre-leased space (Usable FA) (sf)]]-Table1[[#This Row],[Pre-sold (Usable FA) (sf)]]-Table1[[#This Row],[Self-use space (Usable FA) (sf)]],0)</f>
        <v>0</v>
      </c>
      <c r="AF175" s="86">
        <f>1-SUM(Table1[[#This Row],[Space available for lease (Usable FA) (sf)]:[Space available uncertain of use (Usable FA) (sf)]])/Table1[[#This Row],[Office UFA (Net) (sf)]]</f>
        <v>0.71694722222222218</v>
      </c>
      <c r="AG175" s="79" t="s">
        <v>89</v>
      </c>
      <c r="AH175" s="84"/>
      <c r="AI175" s="79" t="s">
        <v>486</v>
      </c>
      <c r="AJ175" s="83"/>
      <c r="AK175" s="83">
        <v>42431</v>
      </c>
      <c r="AL175" s="85" t="s">
        <v>32</v>
      </c>
      <c r="AM175" s="85" t="s">
        <v>129</v>
      </c>
      <c r="AN175" s="79" t="s">
        <v>74</v>
      </c>
      <c r="AO175" s="77" t="s">
        <v>705</v>
      </c>
      <c r="AP175" s="77" t="s">
        <v>81</v>
      </c>
      <c r="AQ175" s="107" t="s">
        <v>2503</v>
      </c>
      <c r="AR175" s="79" t="s">
        <v>1752</v>
      </c>
      <c r="AS175" s="79" t="s">
        <v>2036</v>
      </c>
      <c r="AT175" s="80">
        <v>22.284549999999999</v>
      </c>
      <c r="AU175" s="80">
        <v>114.16054</v>
      </c>
      <c r="AV175" s="77" t="s">
        <v>2176</v>
      </c>
    </row>
    <row r="176" spans="1:48" ht="15" customHeight="1" x14ac:dyDescent="0.35">
      <c r="A176" s="77"/>
      <c r="B176" s="77" t="s">
        <v>1874</v>
      </c>
      <c r="C176" s="77" t="s">
        <v>1589</v>
      </c>
      <c r="D176" s="77"/>
      <c r="E176" s="79" t="s">
        <v>2</v>
      </c>
      <c r="F176" s="77" t="str">
        <f>VLOOKUP(Table1[[#This Row],[CBRE sub-markets]],Reference!$A$2:$B$31,2,FALSE)</f>
        <v>Admiralty &amp; Sheung Wan</v>
      </c>
      <c r="G176" s="77">
        <f>VLOOKUP(Table1[[#This Row],[CBRE sub-markets]],Reference!$A$2:$D$31,3,FALSE)</f>
        <v>2</v>
      </c>
      <c r="H176" s="79" t="str">
        <f>VLOOKUP(Table1[[#This Row],[CBRE sub-markets]],Reference!$A$2:$D$31,4,FALSE)</f>
        <v>Hong Kong Island</v>
      </c>
      <c r="I176" s="80">
        <v>2027</v>
      </c>
      <c r="J176" s="80">
        <v>4</v>
      </c>
      <c r="K176" s="81" t="str">
        <f>IF(ISNUMBER(Table1[[#This Row],[Qtr]]),CONCATENATE(Table1[[#This Row],[Year]]," Q",Table1[[#This Row],[Qtr]]),CONCATENATE(Table1[[#This Row],[Year]],Table1[[#This Row],[Qtr]]))</f>
        <v>2027 Q4</v>
      </c>
      <c r="L176" s="80" t="s">
        <v>20</v>
      </c>
      <c r="M176" s="80" t="s">
        <v>83</v>
      </c>
      <c r="N176" s="80">
        <v>1</v>
      </c>
      <c r="O176" s="80">
        <v>25</v>
      </c>
      <c r="P176" s="80">
        <v>24</v>
      </c>
      <c r="Q176" s="82">
        <f>Table1[[#This Row],[Office GFA (sf)]]/Table1[[#This Row],[No. of Storeys for Office]]</f>
        <v>7512.4846066666678</v>
      </c>
      <c r="R176" s="82">
        <f>+Table1[[#This Row],[Floor Plate (GFA) (sf)]]*0.72</f>
        <v>5408.9889168000009</v>
      </c>
      <c r="S176" s="80" t="str">
        <f t="shared" si="13"/>
        <v>No</v>
      </c>
      <c r="T176" s="82">
        <v>16750.400000000001</v>
      </c>
      <c r="U176" s="82">
        <f>+Table1[[#This Row],[Total GFA (sm)]]*10.7639</f>
        <v>180299.63056000002</v>
      </c>
      <c r="V176" s="82">
        <v>16750.400000000001</v>
      </c>
      <c r="W176" s="82">
        <f>+Table1[[#This Row],[Office GFA (sm)]]*10.7639</f>
        <v>180299.63056000002</v>
      </c>
      <c r="X176" s="82">
        <f>+Table1[[#This Row],[Office GFA (sm)]]*0.75</f>
        <v>12562.800000000001</v>
      </c>
      <c r="Y176" s="82">
        <f>W176*0.75</f>
        <v>135224.72292000003</v>
      </c>
      <c r="Z176" s="82"/>
      <c r="AA176" s="82"/>
      <c r="AB176" s="82"/>
      <c r="AC176" s="82">
        <f t="shared" si="14"/>
        <v>135224.72292000003</v>
      </c>
      <c r="AD176" s="82">
        <f>IF(Table1[[#This Row],[For Sale or For Lease?]]="For Sale",Table1[[#This Row],[Office UFA (Net) (sf)]]-Table1[[#This Row],[Pre-leased space (Usable FA) (sf)]]-Table1[[#This Row],[Pre-sold (Usable FA) (sf)]]-Table1[[#This Row],[Self-use space (Usable FA) (sf)]],0)</f>
        <v>0</v>
      </c>
      <c r="AE176" s="82">
        <f>IF(Table1[[#This Row],[For Sale or For Lease?]]="Uncertain",Table1[[#This Row],[Office UFA (Net) (sf)]]-Table1[[#This Row],[Pre-leased space (Usable FA) (sf)]]-Table1[[#This Row],[Pre-sold (Usable FA) (sf)]]-Table1[[#This Row],[Self-use space (Usable FA) (sf)]],0)</f>
        <v>0</v>
      </c>
      <c r="AF176" s="86">
        <f>1-SUM(Table1[[#This Row],[Space available for lease (Usable FA) (sf)]:[Space available uncertain of use (Usable FA) (sf)]])/Table1[[#This Row],[Office UFA (Net) (sf)]]</f>
        <v>0</v>
      </c>
      <c r="AG176" s="79" t="s">
        <v>89</v>
      </c>
      <c r="AH176" s="84" t="s">
        <v>138</v>
      </c>
      <c r="AI176" s="79" t="s">
        <v>92</v>
      </c>
      <c r="AJ176" s="83">
        <v>44197</v>
      </c>
      <c r="AK176" s="83">
        <v>44317</v>
      </c>
      <c r="AL176" s="85" t="s">
        <v>30</v>
      </c>
      <c r="AM176" s="85" t="s">
        <v>1490</v>
      </c>
      <c r="AN176" s="79" t="s">
        <v>73</v>
      </c>
      <c r="AO176" s="77" t="s">
        <v>705</v>
      </c>
      <c r="AP176" s="77" t="s">
        <v>81</v>
      </c>
      <c r="AQ176" s="77" t="s">
        <v>2460</v>
      </c>
      <c r="AR176" s="79" t="s">
        <v>1753</v>
      </c>
      <c r="AS176" s="79" t="s">
        <v>1985</v>
      </c>
      <c r="AT176" s="80">
        <v>22.286149999999999</v>
      </c>
      <c r="AU176" s="80">
        <v>114.15299</v>
      </c>
      <c r="AV176" s="77"/>
    </row>
    <row r="177" spans="1:48" ht="15" hidden="1" customHeight="1" x14ac:dyDescent="0.35">
      <c r="A177" s="77"/>
      <c r="B177" s="77" t="s">
        <v>2487</v>
      </c>
      <c r="C177" s="77" t="s">
        <v>2294</v>
      </c>
      <c r="D177" s="77"/>
      <c r="E177" s="79" t="s">
        <v>8</v>
      </c>
      <c r="F177" s="77" t="str">
        <f>VLOOKUP(Table1[[#This Row],[CBRE sub-markets]],Reference!$A$2:$B$31,2,FALSE)</f>
        <v>Tsim Sha Tsui</v>
      </c>
      <c r="G177" s="77">
        <f>VLOOKUP(Table1[[#This Row],[CBRE sub-markets]],Reference!$A$2:$D$31,3,FALSE)</f>
        <v>6</v>
      </c>
      <c r="H177" s="79" t="str">
        <f>VLOOKUP(Table1[[#This Row],[CBRE sub-markets]],Reference!$A$2:$D$31,4,FALSE)</f>
        <v>Kowloon</v>
      </c>
      <c r="I177" s="80">
        <v>2026</v>
      </c>
      <c r="J177" s="80">
        <v>3</v>
      </c>
      <c r="K177" s="81" t="str">
        <f>IF(ISNUMBER(Table1[[#This Row],[Qtr]]),CONCATENATE(Table1[[#This Row],[Year]]," Q",Table1[[#This Row],[Qtr]]),CONCATENATE(Table1[[#This Row],[Year]],Table1[[#This Row],[Qtr]]))</f>
        <v>2026 Q3</v>
      </c>
      <c r="L177" s="80" t="s">
        <v>21</v>
      </c>
      <c r="M177" s="80" t="s">
        <v>83</v>
      </c>
      <c r="N177" s="80">
        <v>1</v>
      </c>
      <c r="O177" s="80">
        <v>21</v>
      </c>
      <c r="P177" s="80">
        <v>19</v>
      </c>
      <c r="Q177" s="82">
        <f>Table1[[#This Row],[Office GFA (sf)]]/Table1[[#This Row],[No. of Storeys for Office]]</f>
        <v>7305</v>
      </c>
      <c r="R177" s="82">
        <f>Table1[[#This Row],[Office UFA (Net) (sf)]]/Table1[[#This Row],[No. of Storeys for Office]]</f>
        <v>5113.5</v>
      </c>
      <c r="S177" s="80" t="str">
        <f t="shared" si="13"/>
        <v>No</v>
      </c>
      <c r="T177" s="82">
        <f>Table1[[#This Row],[Total GFA (sf)]]/10.7639</f>
        <v>13396.166816860061</v>
      </c>
      <c r="U177" s="82">
        <v>144195</v>
      </c>
      <c r="V177" s="82">
        <f>Table1[[#This Row],[Office GFA (sf)]]/10.7639</f>
        <v>12894.48991536525</v>
      </c>
      <c r="W177" s="82">
        <f>10885+7125+7105*17</f>
        <v>138795</v>
      </c>
      <c r="X177" s="82">
        <f>Table1[[#This Row],[Office GFA (sm)]]*0.75</f>
        <v>9670.8674365239367</v>
      </c>
      <c r="Y177" s="82">
        <f>W177*0.7</f>
        <v>97156.5</v>
      </c>
      <c r="Z177" s="82"/>
      <c r="AA177" s="82"/>
      <c r="AB177" s="82"/>
      <c r="AC177" s="82">
        <f t="shared" si="14"/>
        <v>0</v>
      </c>
      <c r="AD177" s="82">
        <f>IF(Table1[[#This Row],[For Sale or For Lease?]]="For Sale",Table1[[#This Row],[Office UFA (Net) (sf)]]-Table1[[#This Row],[Pre-leased space (Usable FA) (sf)]]-Table1[[#This Row],[Pre-sold (Usable FA) (sf)]]-Table1[[#This Row],[Self-use space (Usable FA) (sf)]],0)</f>
        <v>0</v>
      </c>
      <c r="AE177" s="82">
        <f>IF(Table1[[#This Row],[For Sale or For Lease?]]="Uncertain",Table1[[#This Row],[Office UFA (Net) (sf)]]-Table1[[#This Row],[Pre-leased space (Usable FA) (sf)]]-Table1[[#This Row],[Pre-sold (Usable FA) (sf)]]-Table1[[#This Row],[Self-use space (Usable FA) (sf)]],0)</f>
        <v>97156.5</v>
      </c>
      <c r="AF177" s="86">
        <f>1-SUM(Table1[[#This Row],[Space available for lease (Usable FA) (sf)]:[Space available uncertain of use (Usable FA) (sf)]])/Table1[[#This Row],[Office UFA (Net) (sf)]]</f>
        <v>0</v>
      </c>
      <c r="AG177" s="79" t="s">
        <v>89</v>
      </c>
      <c r="AH177" s="84" t="s">
        <v>138</v>
      </c>
      <c r="AI177" s="79" t="s">
        <v>92</v>
      </c>
      <c r="AJ177" s="83">
        <v>45017</v>
      </c>
      <c r="AK177" s="83">
        <v>45017</v>
      </c>
      <c r="AL177" s="85" t="s">
        <v>30</v>
      </c>
      <c r="AM177" s="85" t="s">
        <v>2257</v>
      </c>
      <c r="AN177" s="79" t="s">
        <v>73</v>
      </c>
      <c r="AO177" s="77" t="s">
        <v>1068</v>
      </c>
      <c r="AP177" s="77" t="s">
        <v>1068</v>
      </c>
      <c r="AQ177" s="77" t="s">
        <v>2488</v>
      </c>
      <c r="AR177" s="79" t="s">
        <v>2295</v>
      </c>
      <c r="AS177" s="79"/>
      <c r="AT177" s="80"/>
      <c r="AU177" s="80"/>
      <c r="AV177" s="77"/>
    </row>
    <row r="178" spans="1:48" ht="15" hidden="1" customHeight="1" x14ac:dyDescent="0.35">
      <c r="A178" s="77"/>
      <c r="B178" s="77"/>
      <c r="C178" s="77" t="s">
        <v>1964</v>
      </c>
      <c r="D178" s="77"/>
      <c r="E178" s="79" t="s">
        <v>2</v>
      </c>
      <c r="F178" s="77" t="str">
        <f>VLOOKUP(Table1[[#This Row],[CBRE sub-markets]],Reference!$A$2:$B$31,2,FALSE)</f>
        <v>Admiralty &amp; Sheung Wan</v>
      </c>
      <c r="G178" s="77">
        <f>VLOOKUP(Table1[[#This Row],[CBRE sub-markets]],Reference!$A$2:$D$31,3,FALSE)</f>
        <v>2</v>
      </c>
      <c r="H178" s="79" t="str">
        <f>VLOOKUP(Table1[[#This Row],[CBRE sub-markets]],Reference!$A$2:$D$31,4,FALSE)</f>
        <v>Hong Kong Island</v>
      </c>
      <c r="I178" s="80">
        <v>2026</v>
      </c>
      <c r="J178" s="80"/>
      <c r="K178" s="81" t="str">
        <f>IF(ISNUMBER(Table1[[#This Row],[Qtr]]),CONCATENATE(Table1[[#This Row],[Year]]," Q",Table1[[#This Row],[Qtr]]),CONCATENATE(Table1[[#This Row],[Year]],Table1[[#This Row],[Qtr]]))</f>
        <v>2026</v>
      </c>
      <c r="L178" s="80" t="s">
        <v>21</v>
      </c>
      <c r="M178" s="80" t="s">
        <v>86</v>
      </c>
      <c r="N178" s="80">
        <v>1</v>
      </c>
      <c r="O178" s="80" t="s">
        <v>1965</v>
      </c>
      <c r="P178" s="80">
        <v>24</v>
      </c>
      <c r="Q178" s="82"/>
      <c r="R178" s="82"/>
      <c r="S178" s="80" t="str">
        <f t="shared" si="13"/>
        <v>Unknown</v>
      </c>
      <c r="T178" s="82">
        <v>4205</v>
      </c>
      <c r="U178" s="82">
        <f>+Table1[[#This Row],[Total GFA (sm)]]*10.76391</f>
        <v>45262.241549999999</v>
      </c>
      <c r="V178" s="82">
        <f>Table1[[#This Row],[Total GFA (sm)]]</f>
        <v>4205</v>
      </c>
      <c r="W178" s="82">
        <f>Table1[[#This Row],[Office GFA (sm)]]*10.7639</f>
        <v>45262.199499999995</v>
      </c>
      <c r="X178" s="82">
        <f>V178*0.75</f>
        <v>3153.75</v>
      </c>
      <c r="Y178" s="82">
        <f>W178*0.75</f>
        <v>33946.649624999998</v>
      </c>
      <c r="Z178" s="82"/>
      <c r="AA178" s="82"/>
      <c r="AB178" s="82"/>
      <c r="AC178" s="82">
        <f t="shared" si="14"/>
        <v>0</v>
      </c>
      <c r="AD178" s="82">
        <f>IF(Table1[[#This Row],[For Sale or For Lease?]]="For Sale",Table1[[#This Row],[Office UFA (Net) (sf)]]-Table1[[#This Row],[Pre-leased space (Usable FA) (sf)]]-Table1[[#This Row],[Pre-sold (Usable FA) (sf)]]-Table1[[#This Row],[Self-use space (Usable FA) (sf)]],0)</f>
        <v>0</v>
      </c>
      <c r="AE178" s="82">
        <f>IF(Table1[[#This Row],[For Sale or For Lease?]]="Uncertain",Table1[[#This Row],[Office UFA (Net) (sf)]]-Table1[[#This Row],[Pre-leased space (Usable FA) (sf)]]-Table1[[#This Row],[Pre-sold (Usable FA) (sf)]]-Table1[[#This Row],[Self-use space (Usable FA) (sf)]],0)</f>
        <v>33946.649624999998</v>
      </c>
      <c r="AF178" s="86">
        <f>1-SUM(Table1[[#This Row],[Space available for lease (Usable FA) (sf)]:[Space available uncertain of use (Usable FA) (sf)]])/Table1[[#This Row],[Office UFA (Net) (sf)]]</f>
        <v>0</v>
      </c>
      <c r="AG178" s="79" t="s">
        <v>89</v>
      </c>
      <c r="AH178" s="84"/>
      <c r="AI178" s="79" t="s">
        <v>1966</v>
      </c>
      <c r="AJ178" s="83"/>
      <c r="AK178" s="83">
        <v>44774</v>
      </c>
      <c r="AL178" s="85" t="s">
        <v>30</v>
      </c>
      <c r="AM178" s="85" t="s">
        <v>1967</v>
      </c>
      <c r="AN178" s="79" t="s">
        <v>73</v>
      </c>
      <c r="AO178" s="77" t="s">
        <v>1068</v>
      </c>
      <c r="AP178" s="77" t="s">
        <v>1068</v>
      </c>
      <c r="AQ178" s="77"/>
      <c r="AR178" s="79" t="s">
        <v>1968</v>
      </c>
      <c r="AS178" s="79"/>
      <c r="AT178" s="80"/>
      <c r="AU178" s="80"/>
      <c r="AV178" s="77"/>
    </row>
    <row r="179" spans="1:48" ht="15" hidden="1" customHeight="1" x14ac:dyDescent="0.35">
      <c r="A179" s="77"/>
      <c r="B179" s="77" t="s">
        <v>1660</v>
      </c>
      <c r="C179" s="77" t="s">
        <v>1661</v>
      </c>
      <c r="D179" s="77"/>
      <c r="E179" s="79" t="s">
        <v>4</v>
      </c>
      <c r="F179" s="77" t="str">
        <f>VLOOKUP(Table1[[#This Row],[CBRE sub-markets]],Reference!$A$2:$B$31,2,FALSE)</f>
        <v>Wan Chai &amp; Causeway Bay</v>
      </c>
      <c r="G179" s="77">
        <f>VLOOKUP(Table1[[#This Row],[CBRE sub-markets]],Reference!$A$2:$D$31,3,FALSE)</f>
        <v>3</v>
      </c>
      <c r="H179" s="79" t="str">
        <f>VLOOKUP(Table1[[#This Row],[CBRE sub-markets]],Reference!$A$2:$D$31,4,FALSE)</f>
        <v>Hong Kong Island</v>
      </c>
      <c r="I179" s="80">
        <v>2026</v>
      </c>
      <c r="J179" s="80"/>
      <c r="K179" s="81" t="str">
        <f>IF(ISNUMBER(Table1[[#This Row],[Qtr]]),CONCATENATE(Table1[[#This Row],[Year]]," Q",Table1[[#This Row],[Qtr]]),CONCATENATE(Table1[[#This Row],[Year]],Table1[[#This Row],[Qtr]]))</f>
        <v>2026</v>
      </c>
      <c r="L179" s="80" t="s">
        <v>21</v>
      </c>
      <c r="M179" s="80" t="s">
        <v>83</v>
      </c>
      <c r="N179" s="80">
        <v>1</v>
      </c>
      <c r="O179" s="80">
        <v>27</v>
      </c>
      <c r="P179" s="80"/>
      <c r="Q179" s="82">
        <f>157152.94/27</f>
        <v>5820.4792592592594</v>
      </c>
      <c r="R179" s="82">
        <f>Table1[[#This Row],[Floor Plate (GFA) (sf)]]*0.75</f>
        <v>4365.3594444444443</v>
      </c>
      <c r="S179" s="80" t="str">
        <f t="shared" si="13"/>
        <v>No</v>
      </c>
      <c r="T179" s="82">
        <v>11210.2</v>
      </c>
      <c r="U179" s="82">
        <f>+Table1[[#This Row],[Total GFA (sm)]]*10.7639</f>
        <v>120665.47178000001</v>
      </c>
      <c r="V179" s="82">
        <f>Table1[[#This Row],[Office GFA (sf)]]/10.764</f>
        <v>11210.095854700856</v>
      </c>
      <c r="W179" s="82">
        <f>Table1[[#This Row],[Total GFA (sf)]]</f>
        <v>120665.47178000001</v>
      </c>
      <c r="X179" s="82">
        <f>V179*0.75</f>
        <v>8407.5718910256419</v>
      </c>
      <c r="Y179" s="82">
        <f>W179*0.75</f>
        <v>90499.103835000002</v>
      </c>
      <c r="Z179" s="82"/>
      <c r="AA179" s="82"/>
      <c r="AB179" s="82"/>
      <c r="AC179" s="82">
        <f t="shared" si="14"/>
        <v>90499.103835000002</v>
      </c>
      <c r="AD179" s="82">
        <f>IF(Table1[[#This Row],[For Sale or For Lease?]]="For Sale",Table1[[#This Row],[Office UFA (Net) (sf)]]-Table1[[#This Row],[Pre-leased space (Usable FA) (sf)]]-Table1[[#This Row],[Pre-sold (Usable FA) (sf)]]-Table1[[#This Row],[Self-use space (Usable FA) (sf)]],0)</f>
        <v>0</v>
      </c>
      <c r="AE179" s="82">
        <f>IF(Table1[[#This Row],[For Sale or For Lease?]]="Uncertain",Table1[[#This Row],[Office UFA (Net) (sf)]]-Table1[[#This Row],[Pre-leased space (Usable FA) (sf)]]-Table1[[#This Row],[Pre-sold (Usable FA) (sf)]]-Table1[[#This Row],[Self-use space (Usable FA) (sf)]],0)</f>
        <v>0</v>
      </c>
      <c r="AF179" s="86">
        <f>1-SUM(Table1[[#This Row],[Space available for lease (Usable FA) (sf)]:[Space available uncertain of use (Usable FA) (sf)]])/Table1[[#This Row],[Office UFA (Net) (sf)]]</f>
        <v>0</v>
      </c>
      <c r="AG179" s="79" t="s">
        <v>89</v>
      </c>
      <c r="AH179" s="84" t="s">
        <v>90</v>
      </c>
      <c r="AI179" s="79" t="s">
        <v>92</v>
      </c>
      <c r="AJ179" s="83">
        <v>43709</v>
      </c>
      <c r="AK179" s="83">
        <v>44008</v>
      </c>
      <c r="AL179" s="85" t="s">
        <v>30</v>
      </c>
      <c r="AM179" s="85" t="s">
        <v>1662</v>
      </c>
      <c r="AN179" s="79" t="s">
        <v>73</v>
      </c>
      <c r="AO179" s="77" t="s">
        <v>705</v>
      </c>
      <c r="AP179" s="77" t="s">
        <v>81</v>
      </c>
      <c r="AQ179" s="77"/>
      <c r="AR179" s="79" t="s">
        <v>1750</v>
      </c>
      <c r="AS179" s="79"/>
      <c r="AT179" s="80">
        <v>22.2779713260352</v>
      </c>
      <c r="AU179" s="80">
        <v>114.174527281596</v>
      </c>
      <c r="AV179" s="77" t="s">
        <v>2094</v>
      </c>
    </row>
    <row r="180" spans="1:48" ht="15" hidden="1" customHeight="1" x14ac:dyDescent="0.35">
      <c r="A180" s="77"/>
      <c r="B180" s="77" t="s">
        <v>1880</v>
      </c>
      <c r="C180" s="77" t="s">
        <v>1880</v>
      </c>
      <c r="D180" s="77"/>
      <c r="E180" s="79" t="s">
        <v>12</v>
      </c>
      <c r="F180" s="77" t="str">
        <f>VLOOKUP(Table1[[#This Row],[CBRE sub-markets]],Reference!$A$2:$B$31,2,FALSE)</f>
        <v>Kowloon Others</v>
      </c>
      <c r="G180" s="77">
        <f>VLOOKUP(Table1[[#This Row],[CBRE sub-markets]],Reference!$A$2:$D$31,3,FALSE)</f>
        <v>8</v>
      </c>
      <c r="H180" s="79" t="str">
        <f>VLOOKUP(Table1[[#This Row],[CBRE sub-markets]],Reference!$A$2:$D$31,4,FALSE)</f>
        <v>Kowloon</v>
      </c>
      <c r="I180" s="80">
        <v>2026</v>
      </c>
      <c r="J180" s="80"/>
      <c r="K180" s="81" t="str">
        <f>IF(ISNUMBER(Table1[[#This Row],[Qtr]]),CONCATENATE(Table1[[#This Row],[Year]]," Q",Table1[[#This Row],[Qtr]]),CONCATENATE(Table1[[#This Row],[Year]],Table1[[#This Row],[Qtr]]))</f>
        <v>2026</v>
      </c>
      <c r="L180" s="80" t="s">
        <v>20</v>
      </c>
      <c r="M180" s="80" t="s">
        <v>86</v>
      </c>
      <c r="N180" s="80">
        <v>1</v>
      </c>
      <c r="O180" s="80">
        <v>27</v>
      </c>
      <c r="P180" s="80">
        <v>21</v>
      </c>
      <c r="Q180" s="82">
        <f>Table1[[#This Row],[Office GFA (sf)]]/Table1[[#This Row],[No. of Storeys for Office]]</f>
        <v>9223.6006420999984</v>
      </c>
      <c r="R180" s="82">
        <f>Table1[[#This Row],[Office UFA (Net) (sf)]]/Table1[[#This Row],[No. of Storeys for Office]]</f>
        <v>6917.7004815749988</v>
      </c>
      <c r="S180" s="80" t="str">
        <f t="shared" si="13"/>
        <v>No</v>
      </c>
      <c r="T180" s="82">
        <v>18983.5</v>
      </c>
      <c r="U180" s="82">
        <f>Table1[[#This Row],[Total GFA (sm)]]*10.7639</f>
        <v>204336.49565</v>
      </c>
      <c r="V180" s="82">
        <f>Table1[[#This Row],[Office GFA (sf)]]/10.7639</f>
        <v>17994.928741822201</v>
      </c>
      <c r="W180" s="82">
        <v>193695.61348409997</v>
      </c>
      <c r="X180" s="82">
        <f>Table1[[#This Row],[Office GFA (sm)]]*0.75</f>
        <v>13496.196556366651</v>
      </c>
      <c r="Y180" s="82">
        <f>W180*0.75</f>
        <v>145271.71011307498</v>
      </c>
      <c r="Z180" s="82"/>
      <c r="AA180" s="82"/>
      <c r="AB180" s="82"/>
      <c r="AC180" s="82">
        <f t="shared" si="14"/>
        <v>145271.71011307498</v>
      </c>
      <c r="AD180" s="82">
        <f>IF(Table1[[#This Row],[For Sale or For Lease?]]="For Sale",Table1[[#This Row],[Office UFA (Net) (sf)]]-Table1[[#This Row],[Pre-leased space (Usable FA) (sf)]]-Table1[[#This Row],[Pre-sold (Usable FA) (sf)]]-Table1[[#This Row],[Self-use space (Usable FA) (sf)]],0)</f>
        <v>0</v>
      </c>
      <c r="AE180" s="82">
        <f>IF(Table1[[#This Row],[For Sale or For Lease?]]="Uncertain",Table1[[#This Row],[Office UFA (Net) (sf)]]-Table1[[#This Row],[Pre-leased space (Usable FA) (sf)]]-Table1[[#This Row],[Pre-sold (Usable FA) (sf)]]-Table1[[#This Row],[Self-use space (Usable FA) (sf)]],0)</f>
        <v>0</v>
      </c>
      <c r="AF180" s="86">
        <f>1-SUM(Table1[[#This Row],[Space available for lease (Usable FA) (sf)]:[Space available uncertain of use (Usable FA) (sf)]])/Table1[[#This Row],[Office UFA (Net) (sf)]]</f>
        <v>0</v>
      </c>
      <c r="AG180" s="79" t="s">
        <v>89</v>
      </c>
      <c r="AH180" s="84" t="s">
        <v>138</v>
      </c>
      <c r="AI180" s="79" t="s">
        <v>92</v>
      </c>
      <c r="AJ180" s="83">
        <v>44228</v>
      </c>
      <c r="AK180" s="83">
        <v>44317</v>
      </c>
      <c r="AL180" s="85" t="s">
        <v>30</v>
      </c>
      <c r="AM180" s="85" t="s">
        <v>1642</v>
      </c>
      <c r="AN180" s="79" t="s">
        <v>73</v>
      </c>
      <c r="AO180" s="77" t="s">
        <v>705</v>
      </c>
      <c r="AP180" s="77" t="s">
        <v>81</v>
      </c>
      <c r="AQ180" s="77" t="s">
        <v>2298</v>
      </c>
      <c r="AR180" s="79" t="s">
        <v>1881</v>
      </c>
      <c r="AS180" s="79"/>
      <c r="AT180" s="80">
        <v>22.335809999999999</v>
      </c>
      <c r="AU180" s="80">
        <v>114.14801</v>
      </c>
      <c r="AV180" s="77" t="s">
        <v>2129</v>
      </c>
    </row>
    <row r="181" spans="1:48" ht="15" hidden="1" customHeight="1" x14ac:dyDescent="0.35">
      <c r="A181" s="77"/>
      <c r="B181" s="77" t="s">
        <v>1871</v>
      </c>
      <c r="C181" s="77" t="s">
        <v>1865</v>
      </c>
      <c r="D181" s="77"/>
      <c r="E181" s="79" t="s">
        <v>9</v>
      </c>
      <c r="F181" s="77" t="str">
        <f>VLOOKUP(Table1[[#This Row],[CBRE sub-markets]],Reference!$A$2:$B$31,2,FALSE)</f>
        <v>Kowloon Others</v>
      </c>
      <c r="G181" s="77">
        <f>VLOOKUP(Table1[[#This Row],[CBRE sub-markets]],Reference!$A$2:$D$31,3,FALSE)</f>
        <v>8</v>
      </c>
      <c r="H181" s="79" t="str">
        <f>VLOOKUP(Table1[[#This Row],[CBRE sub-markets]],Reference!$A$2:$D$31,4,FALSE)</f>
        <v>Kowloon</v>
      </c>
      <c r="I181" s="80">
        <v>2026</v>
      </c>
      <c r="J181" s="80"/>
      <c r="K181" s="81" t="str">
        <f>IF(ISNUMBER(Table1[[#This Row],[Qtr]]),CONCATENATE(Table1[[#This Row],[Year]]," Q",Table1[[#This Row],[Qtr]]),CONCATENATE(Table1[[#This Row],[Year]],Table1[[#This Row],[Qtr]]))</f>
        <v>2026</v>
      </c>
      <c r="L181" s="80" t="s">
        <v>21</v>
      </c>
      <c r="M181" s="80" t="s">
        <v>83</v>
      </c>
      <c r="N181" s="80">
        <v>1</v>
      </c>
      <c r="O181" s="80" t="s">
        <v>1866</v>
      </c>
      <c r="P181" s="80">
        <v>17</v>
      </c>
      <c r="Q181" s="82">
        <f>Table1[[#This Row],[Office GFA (sf)]]/Table1[[#This Row],[No. of Storeys for Office]]</f>
        <v>3735.3582267647057</v>
      </c>
      <c r="R181" s="82">
        <f>+Table1[[#This Row],[Floor Plate (GFA) (sf)]]*0.75</f>
        <v>2801.5186700735294</v>
      </c>
      <c r="S181" s="80" t="str">
        <f t="shared" si="13"/>
        <v>No</v>
      </c>
      <c r="T181" s="82">
        <f>23597.8</f>
        <v>23597.8</v>
      </c>
      <c r="U181" s="82">
        <f>+Table1[[#This Row],[Total GFA (sm)]]*10.7639</f>
        <v>254004.35941999999</v>
      </c>
      <c r="V181" s="82">
        <f>+Table1[[#This Row],[Total GFA (sm)]]*0.25</f>
        <v>5899.45</v>
      </c>
      <c r="W181" s="82">
        <f>+Table1[[#This Row],[Office GFA (sm)]]*10.7639</f>
        <v>63501.089854999998</v>
      </c>
      <c r="X181" s="82">
        <f>V181*0.75</f>
        <v>4424.5874999999996</v>
      </c>
      <c r="Y181" s="82">
        <f>W181*0.75</f>
        <v>47625.817391249999</v>
      </c>
      <c r="Z181" s="82"/>
      <c r="AA181" s="82"/>
      <c r="AB181" s="82"/>
      <c r="AC181" s="82">
        <f t="shared" si="14"/>
        <v>0</v>
      </c>
      <c r="AD181" s="82">
        <f>IF(Table1[[#This Row],[For Sale or For Lease?]]="For Sale",Table1[[#This Row],[Office UFA (Net) (sf)]]-Table1[[#This Row],[Pre-leased space (Usable FA) (sf)]]-Table1[[#This Row],[Pre-sold (Usable FA) (sf)]]-Table1[[#This Row],[Self-use space (Usable FA) (sf)]],0)</f>
        <v>47625.817391249999</v>
      </c>
      <c r="AE181" s="82">
        <f>IF(Table1[[#This Row],[For Sale or For Lease?]]="Uncertain",Table1[[#This Row],[Office UFA (Net) (sf)]]-Table1[[#This Row],[Pre-leased space (Usable FA) (sf)]]-Table1[[#This Row],[Pre-sold (Usable FA) (sf)]]-Table1[[#This Row],[Self-use space (Usable FA) (sf)]],0)</f>
        <v>0</v>
      </c>
      <c r="AF181" s="86">
        <f>1-SUM(Table1[[#This Row],[Space available for lease (Usable FA) (sf)]:[Space available uncertain of use (Usable FA) (sf)]])/Table1[[#This Row],[Office UFA (Net) (sf)]]</f>
        <v>0</v>
      </c>
      <c r="AG181" s="79" t="s">
        <v>89</v>
      </c>
      <c r="AH181" s="84" t="s">
        <v>138</v>
      </c>
      <c r="AI181" s="79" t="s">
        <v>92</v>
      </c>
      <c r="AJ181" s="83">
        <v>44166</v>
      </c>
      <c r="AK181" s="83">
        <v>44228</v>
      </c>
      <c r="AL181" s="85" t="s">
        <v>30</v>
      </c>
      <c r="AM181" s="85" t="s">
        <v>1867</v>
      </c>
      <c r="AN181" s="79" t="s">
        <v>73</v>
      </c>
      <c r="AO181" s="77" t="s">
        <v>704</v>
      </c>
      <c r="AP181" s="77" t="s">
        <v>81</v>
      </c>
      <c r="AQ181" s="77"/>
      <c r="AR181" s="79" t="s">
        <v>1854</v>
      </c>
      <c r="AS181" s="79"/>
      <c r="AT181" s="80">
        <v>22.30724</v>
      </c>
      <c r="AU181" s="80">
        <v>114.17195</v>
      </c>
      <c r="AV181" s="77" t="s">
        <v>2107</v>
      </c>
    </row>
    <row r="182" spans="1:48" ht="15" hidden="1" customHeight="1" x14ac:dyDescent="0.35">
      <c r="A182" s="77"/>
      <c r="B182" s="77" t="s">
        <v>1912</v>
      </c>
      <c r="C182" s="77" t="s">
        <v>1912</v>
      </c>
      <c r="D182" s="77"/>
      <c r="E182" s="79" t="s">
        <v>50</v>
      </c>
      <c r="F182" s="77" t="str">
        <f>VLOOKUP(Table1[[#This Row],[CBRE sub-markets]],Reference!$A$2:$B$31,2,FALSE)</f>
        <v>Kowloon East</v>
      </c>
      <c r="G182" s="77">
        <f>VLOOKUP(Table1[[#This Row],[CBRE sub-markets]],Reference!$A$2:$D$31,3,FALSE)</f>
        <v>7</v>
      </c>
      <c r="H182" s="79" t="str">
        <f>VLOOKUP(Table1[[#This Row],[CBRE sub-markets]],Reference!$A$2:$D$31,4,FALSE)</f>
        <v>Kowloon</v>
      </c>
      <c r="I182" s="80">
        <v>2027</v>
      </c>
      <c r="J182" s="80"/>
      <c r="K182" s="81" t="str">
        <f>IF(ISNUMBER(Table1[[#This Row],[Qtr]]),CONCATENATE(Table1[[#This Row],[Year]]," Q",Table1[[#This Row],[Qtr]]),CONCATENATE(Table1[[#This Row],[Year]],Table1[[#This Row],[Qtr]]))</f>
        <v>2027</v>
      </c>
      <c r="L182" s="80" t="s">
        <v>21</v>
      </c>
      <c r="M182" s="80" t="s">
        <v>83</v>
      </c>
      <c r="N182" s="80">
        <v>1</v>
      </c>
      <c r="O182" s="80">
        <v>16</v>
      </c>
      <c r="P182" s="80">
        <v>16</v>
      </c>
      <c r="Q182" s="82"/>
      <c r="R182" s="82"/>
      <c r="S182" s="80" t="str">
        <f t="shared" si="13"/>
        <v>Unknown</v>
      </c>
      <c r="T182" s="82"/>
      <c r="U182" s="82"/>
      <c r="V182" s="82">
        <v>4596.3</v>
      </c>
      <c r="W182" s="82">
        <f>+Table1[[#This Row],[Office GFA (sm)]]*10.7639</f>
        <v>49474.113570000001</v>
      </c>
      <c r="X182" s="82">
        <f>Table1[[#This Row],[Office GFA (sm)]]*0.75</f>
        <v>3447.2250000000004</v>
      </c>
      <c r="Y182" s="82">
        <f>W182*0.75</f>
        <v>37105.585177500005</v>
      </c>
      <c r="Z182" s="82"/>
      <c r="AA182" s="82"/>
      <c r="AB182" s="82"/>
      <c r="AC182" s="82">
        <f t="shared" si="14"/>
        <v>0</v>
      </c>
      <c r="AD182" s="82">
        <f>IF(Table1[[#This Row],[For Sale or For Lease?]]="For Sale",Table1[[#This Row],[Office UFA (Net) (sf)]]-Table1[[#This Row],[Pre-leased space (Usable FA) (sf)]]-Table1[[#This Row],[Pre-sold (Usable FA) (sf)]]-Table1[[#This Row],[Self-use space (Usable FA) (sf)]],0)</f>
        <v>0</v>
      </c>
      <c r="AE182" s="82">
        <f>IF(Table1[[#This Row],[For Sale or For Lease?]]="Uncertain",Table1[[#This Row],[Office UFA (Net) (sf)]]-Table1[[#This Row],[Pre-leased space (Usable FA) (sf)]]-Table1[[#This Row],[Pre-sold (Usable FA) (sf)]]-Table1[[#This Row],[Self-use space (Usable FA) (sf)]],0)</f>
        <v>37105.585177500005</v>
      </c>
      <c r="AF182" s="86">
        <f>1-SUM(Table1[[#This Row],[Space available for lease (Usable FA) (sf)]:[Space available uncertain of use (Usable FA) (sf)]])/Table1[[#This Row],[Office UFA (Net) (sf)]]</f>
        <v>0</v>
      </c>
      <c r="AG182" s="79" t="s">
        <v>89</v>
      </c>
      <c r="AH182" s="84"/>
      <c r="AI182" s="79" t="s">
        <v>1913</v>
      </c>
      <c r="AJ182" s="83">
        <v>44459</v>
      </c>
      <c r="AK182" s="83">
        <v>44459</v>
      </c>
      <c r="AL182" s="85" t="s">
        <v>30</v>
      </c>
      <c r="AM182" s="85" t="s">
        <v>1697</v>
      </c>
      <c r="AN182" s="79" t="s">
        <v>73</v>
      </c>
      <c r="AO182" s="77" t="s">
        <v>1068</v>
      </c>
      <c r="AP182" s="77" t="s">
        <v>1068</v>
      </c>
      <c r="AQ182" s="77"/>
      <c r="AR182" s="79" t="s">
        <v>1914</v>
      </c>
      <c r="AS182" s="79"/>
      <c r="AT182" s="80">
        <v>22.312617033809801</v>
      </c>
      <c r="AU182" s="80">
        <v>114.21845629039299</v>
      </c>
      <c r="AV182" s="77" t="s">
        <v>2113</v>
      </c>
    </row>
    <row r="183" spans="1:48" ht="15" customHeight="1" x14ac:dyDescent="0.35">
      <c r="A183" s="77"/>
      <c r="B183" s="77" t="s">
        <v>1575</v>
      </c>
      <c r="C183" s="77" t="s">
        <v>1576</v>
      </c>
      <c r="D183" s="77"/>
      <c r="E183" s="79" t="s">
        <v>1125</v>
      </c>
      <c r="F183" s="77" t="str">
        <f>VLOOKUP(Table1[[#This Row],[CBRE sub-markets]],Reference!$A$2:$B$31,2,FALSE)</f>
        <v>Kowloon Others</v>
      </c>
      <c r="G183" s="77">
        <f>VLOOKUP(Table1[[#This Row],[CBRE sub-markets]],Reference!$A$2:$D$31,3,FALSE)</f>
        <v>8</v>
      </c>
      <c r="H183" s="79" t="str">
        <f>VLOOKUP(Table1[[#This Row],[CBRE sub-markets]],Reference!$A$2:$D$31,4,FALSE)</f>
        <v>Kowloon</v>
      </c>
      <c r="I183" s="80">
        <v>2027</v>
      </c>
      <c r="J183" s="80">
        <v>2</v>
      </c>
      <c r="K183" s="81" t="str">
        <f>IF(ISNUMBER(Table1[[#This Row],[Qtr]]),CONCATENATE(Table1[[#This Row],[Year]]," Q",Table1[[#This Row],[Qtr]]),CONCATENATE(Table1[[#This Row],[Year]],Table1[[#This Row],[Qtr]]))</f>
        <v>2027 Q2</v>
      </c>
      <c r="L183" s="80" t="s">
        <v>20</v>
      </c>
      <c r="M183" s="80" t="s">
        <v>83</v>
      </c>
      <c r="N183" s="80">
        <v>2</v>
      </c>
      <c r="O183" s="80">
        <v>38</v>
      </c>
      <c r="P183" s="80">
        <v>62</v>
      </c>
      <c r="Q183" s="82" t="s">
        <v>2184</v>
      </c>
      <c r="R183" s="82" t="s">
        <v>2183</v>
      </c>
      <c r="S183" s="80" t="str">
        <f t="shared" si="13"/>
        <v>No</v>
      </c>
      <c r="T183" s="82">
        <v>47277.3</v>
      </c>
      <c r="U183" s="82">
        <f>+Table1[[#This Row],[Total GFA (sm)]]*10.7639</f>
        <v>508888.12946999999</v>
      </c>
      <c r="V183" s="82">
        <v>47007.3</v>
      </c>
      <c r="W183" s="82">
        <f>+Table1[[#This Row],[Office GFA (sm)]]*10.7639</f>
        <v>505981.87647000002</v>
      </c>
      <c r="X183" s="82">
        <f>+Table1[[#This Row],[Office GFA (sm)]]*0.75</f>
        <v>35255.475000000006</v>
      </c>
      <c r="Y183" s="82">
        <f>+Table1[[#This Row],[Office GFA (sf)]]*0.75</f>
        <v>379486.40735250001</v>
      </c>
      <c r="Z183" s="82"/>
      <c r="AA183" s="82"/>
      <c r="AB183" s="82"/>
      <c r="AC183" s="82">
        <f t="shared" si="14"/>
        <v>379486.40735250001</v>
      </c>
      <c r="AD183" s="82">
        <f>IF(Table1[[#This Row],[For Sale or For Lease?]]="For Sale",Table1[[#This Row],[Office UFA (Net) (sf)]]-Table1[[#This Row],[Pre-leased space (Usable FA) (sf)]]-Table1[[#This Row],[Pre-sold (Usable FA) (sf)]]-Table1[[#This Row],[Self-use space (Usable FA) (sf)]],0)</f>
        <v>0</v>
      </c>
      <c r="AE183" s="82">
        <f>IF(Table1[[#This Row],[For Sale or For Lease?]]="Uncertain",Table1[[#This Row],[Office UFA (Net) (sf)]]-Table1[[#This Row],[Pre-leased space (Usable FA) (sf)]]-Table1[[#This Row],[Pre-sold (Usable FA) (sf)]]-Table1[[#This Row],[Self-use space (Usable FA) (sf)]],0)</f>
        <v>0</v>
      </c>
      <c r="AF183" s="86">
        <f>1-SUM(Table1[[#This Row],[Space available for lease (Usable FA) (sf)]:[Space available uncertain of use (Usable FA) (sf)]])/Table1[[#This Row],[Office UFA (Net) (sf)]]</f>
        <v>0</v>
      </c>
      <c r="AG183" s="79" t="s">
        <v>89</v>
      </c>
      <c r="AH183" s="84"/>
      <c r="AI183" s="79" t="s">
        <v>1231</v>
      </c>
      <c r="AJ183" s="83">
        <v>43532</v>
      </c>
      <c r="AK183" s="83">
        <v>43532</v>
      </c>
      <c r="AL183" s="85" t="s">
        <v>30</v>
      </c>
      <c r="AM183" s="85" t="s">
        <v>2258</v>
      </c>
      <c r="AN183" s="79" t="s">
        <v>73</v>
      </c>
      <c r="AO183" s="77" t="s">
        <v>705</v>
      </c>
      <c r="AP183" s="77" t="s">
        <v>81</v>
      </c>
      <c r="AQ183" s="77" t="s">
        <v>2482</v>
      </c>
      <c r="AR183" s="79" t="s">
        <v>1765</v>
      </c>
      <c r="AS183" s="79"/>
      <c r="AT183" s="80">
        <v>22.310189999999999</v>
      </c>
      <c r="AU183" s="80">
        <v>114.18854</v>
      </c>
      <c r="AV183" s="77" t="s">
        <v>2110</v>
      </c>
    </row>
    <row r="184" spans="1:48" ht="15" customHeight="1" x14ac:dyDescent="0.35">
      <c r="A184" s="77"/>
      <c r="B184" s="77" t="s">
        <v>2069</v>
      </c>
      <c r="C184" s="77" t="s">
        <v>1258</v>
      </c>
      <c r="D184" s="77"/>
      <c r="E184" s="79" t="s">
        <v>2496</v>
      </c>
      <c r="F184" s="77" t="str">
        <f>VLOOKUP(Table1[[#This Row],[CBRE sub-markets]],Reference!$A$2:$B$31,2,FALSE)</f>
        <v>Tsim Sha Tsui West</v>
      </c>
      <c r="G184" s="77">
        <f>VLOOKUP(Table1[[#This Row],[CBRE sub-markets]],Reference!$A$2:$D$31,3,FALSE)</f>
        <v>6</v>
      </c>
      <c r="H184" s="79" t="str">
        <f>VLOOKUP(Table1[[#This Row],[CBRE sub-markets]],Reference!$A$2:$D$31,4,FALSE)</f>
        <v>Kowloon</v>
      </c>
      <c r="I184" s="80">
        <v>2027</v>
      </c>
      <c r="J184" s="80">
        <v>1</v>
      </c>
      <c r="K184" s="81" t="str">
        <f>IF(ISNUMBER(Table1[[#This Row],[Qtr]]),CONCATENATE(Table1[[#This Row],[Year]]," Q",Table1[[#This Row],[Qtr]]),CONCATENATE(Table1[[#This Row],[Year]],Table1[[#This Row],[Qtr]]))</f>
        <v>2027 Q1</v>
      </c>
      <c r="L184" s="80" t="s">
        <v>20</v>
      </c>
      <c r="M184" s="80" t="s">
        <v>83</v>
      </c>
      <c r="N184" s="80">
        <v>3</v>
      </c>
      <c r="O184" s="80">
        <f>14*2+11+3*3</f>
        <v>48</v>
      </c>
      <c r="P184" s="80">
        <f>14*2+11</f>
        <v>39</v>
      </c>
      <c r="Q184" s="82">
        <f>Table1[[#This Row],[Office GFA (sf)]]/Table1[[#This Row],[No. of Storeys for Office]]</f>
        <v>17231.899910256408</v>
      </c>
      <c r="R184" s="82">
        <f>Table1[[#This Row],[Office UFA (Net) (sf)]]/Table1[[#This Row],[No. of Storeys for Office]]</f>
        <v>12923.924932692307</v>
      </c>
      <c r="S184" s="80" t="str">
        <f t="shared" si="13"/>
        <v>No</v>
      </c>
      <c r="T184" s="82">
        <v>65000</v>
      </c>
      <c r="U184" s="82">
        <f>+Table1[[#This Row],[Total GFA (sm)]]*10.76391</f>
        <v>699654.14999999991</v>
      </c>
      <c r="V184" s="82">
        <v>62435</v>
      </c>
      <c r="W184" s="82">
        <f>Table1[[#This Row],[Office GFA (sm)]]*10.7639</f>
        <v>672044.09649999999</v>
      </c>
      <c r="X184" s="82">
        <f>V184*0.75</f>
        <v>46826.25</v>
      </c>
      <c r="Y184" s="82">
        <f>W184*0.75</f>
        <v>504033.07237499999</v>
      </c>
      <c r="Z184" s="82">
        <f>250000*0.75</f>
        <v>187500</v>
      </c>
      <c r="AA184" s="82"/>
      <c r="AB184" s="82"/>
      <c r="AC184" s="82">
        <f t="shared" si="14"/>
        <v>316533.07237499999</v>
      </c>
      <c r="AD184" s="82">
        <f>IF(Table1[[#This Row],[For Sale or For Lease?]]="For Sale",Table1[[#This Row],[Office UFA (Net) (sf)]]-Table1[[#This Row],[Pre-leased space (Usable FA) (sf)]]-Table1[[#This Row],[Pre-sold (Usable FA) (sf)]]-Table1[[#This Row],[Self-use space (Usable FA) (sf)]],0)</f>
        <v>0</v>
      </c>
      <c r="AE184" s="82">
        <f>IF(Table1[[#This Row],[For Sale or For Lease?]]="Uncertain",Table1[[#This Row],[Office UFA (Net) (sf)]]-Table1[[#This Row],[Pre-leased space (Usable FA) (sf)]]-Table1[[#This Row],[Pre-sold (Usable FA) (sf)]]-Table1[[#This Row],[Self-use space (Usable FA) (sf)]],0)</f>
        <v>0</v>
      </c>
      <c r="AF184" s="86">
        <f>1-SUM(Table1[[#This Row],[Space available for lease (Usable FA) (sf)]:[Space available uncertain of use (Usable FA) (sf)]])/Table1[[#This Row],[Office UFA (Net) (sf)]]</f>
        <v>0.37199939900074697</v>
      </c>
      <c r="AG184" s="79" t="s">
        <v>89</v>
      </c>
      <c r="AH184" s="84"/>
      <c r="AI184" s="79"/>
      <c r="AJ184" s="83">
        <v>44348</v>
      </c>
      <c r="AK184" s="83">
        <v>44348</v>
      </c>
      <c r="AL184" s="85" t="s">
        <v>29</v>
      </c>
      <c r="AM184" s="85" t="s">
        <v>114</v>
      </c>
      <c r="AN184" s="79" t="s">
        <v>74</v>
      </c>
      <c r="AO184" s="77" t="s">
        <v>705</v>
      </c>
      <c r="AP184" s="77" t="s">
        <v>81</v>
      </c>
      <c r="AQ184" s="77" t="s">
        <v>2457</v>
      </c>
      <c r="AR184" s="79" t="s">
        <v>1784</v>
      </c>
      <c r="AS184" s="79" t="s">
        <v>2024</v>
      </c>
      <c r="AT184" s="80">
        <v>22.301960000000001</v>
      </c>
      <c r="AU184" s="80">
        <v>114.16045</v>
      </c>
      <c r="AV184" s="77" t="s">
        <v>2165</v>
      </c>
    </row>
    <row r="185" spans="1:48" ht="15" hidden="1" customHeight="1" x14ac:dyDescent="0.35">
      <c r="A185" s="77"/>
      <c r="B185" s="77" t="s">
        <v>1462</v>
      </c>
      <c r="C185" s="77" t="s">
        <v>1463</v>
      </c>
      <c r="D185" s="77"/>
      <c r="E185" s="79" t="s">
        <v>130</v>
      </c>
      <c r="F185" s="77" t="str">
        <f>VLOOKUP(Table1[[#This Row],[CBRE sub-markets]],Reference!$A$2:$B$31,2,FALSE)</f>
        <v>Wong Chuk Hang</v>
      </c>
      <c r="G185" s="77">
        <f>VLOOKUP(Table1[[#This Row],[CBRE sub-markets]],Reference!$A$2:$D$31,3,FALSE)</f>
        <v>5</v>
      </c>
      <c r="H185" s="79" t="str">
        <f>VLOOKUP(Table1[[#This Row],[CBRE sub-markets]],Reference!$A$2:$D$31,4,FALSE)</f>
        <v>Hong Kong Island</v>
      </c>
      <c r="I185" s="80">
        <v>2027</v>
      </c>
      <c r="J185" s="80">
        <v>4</v>
      </c>
      <c r="K185" s="81" t="str">
        <f>IF(ISNUMBER(Table1[[#This Row],[Qtr]]),CONCATENATE(Table1[[#This Row],[Year]]," Q",Table1[[#This Row],[Qtr]]),CONCATENATE(Table1[[#This Row],[Year]],Table1[[#This Row],[Qtr]]))</f>
        <v>2027 Q4</v>
      </c>
      <c r="L185" s="80" t="s">
        <v>20</v>
      </c>
      <c r="M185" s="80" t="s">
        <v>85</v>
      </c>
      <c r="N185" s="80"/>
      <c r="O185" s="80"/>
      <c r="P185" s="80"/>
      <c r="Q185" s="82">
        <v>17600</v>
      </c>
      <c r="R185" s="82">
        <f>Table1[[#This Row],[Floor Plate (GFA) (sf)]]*0.75</f>
        <v>13200</v>
      </c>
      <c r="S185" s="80" t="str">
        <f t="shared" si="13"/>
        <v>No</v>
      </c>
      <c r="T185" s="82"/>
      <c r="U185" s="82"/>
      <c r="V185" s="82">
        <f>+Table1[[#This Row],[Office GFA (sf)]]/10.7639</f>
        <v>25418.296342403777</v>
      </c>
      <c r="W185" s="82">
        <v>273600</v>
      </c>
      <c r="X185" s="82">
        <f>V185*0.75</f>
        <v>19063.722256802834</v>
      </c>
      <c r="Y185" s="82">
        <f>W185*0.75</f>
        <v>205200</v>
      </c>
      <c r="Z185" s="82"/>
      <c r="AA185" s="82"/>
      <c r="AB185" s="82"/>
      <c r="AC185" s="82">
        <f t="shared" si="14"/>
        <v>205200</v>
      </c>
      <c r="AD185" s="82">
        <f>IF(Table1[[#This Row],[For Sale or For Lease?]]="For Sale",Table1[[#This Row],[Office UFA (Net) (sf)]]-Table1[[#This Row],[Pre-leased space (Usable FA) (sf)]]-Table1[[#This Row],[Pre-sold (Usable FA) (sf)]]-Table1[[#This Row],[Self-use space (Usable FA) (sf)]],0)</f>
        <v>0</v>
      </c>
      <c r="AE185" s="82">
        <f>IF(Table1[[#This Row],[For Sale or For Lease?]]="Uncertain",Table1[[#This Row],[Office UFA (Net) (sf)]]-Table1[[#This Row],[Pre-leased space (Usable FA) (sf)]]-Table1[[#This Row],[Pre-sold (Usable FA) (sf)]]-Table1[[#This Row],[Self-use space (Usable FA) (sf)]],0)</f>
        <v>0</v>
      </c>
      <c r="AF185" s="86">
        <f>1-SUM(Table1[[#This Row],[Space available for lease (Usable FA) (sf)]:[Space available uncertain of use (Usable FA) (sf)]])/Table1[[#This Row],[Office UFA (Net) (sf)]]</f>
        <v>0</v>
      </c>
      <c r="AG185" s="79" t="s">
        <v>89</v>
      </c>
      <c r="AH185" s="84"/>
      <c r="AI185" s="79" t="s">
        <v>1461</v>
      </c>
      <c r="AJ185" s="83"/>
      <c r="AK185" s="83">
        <v>43138</v>
      </c>
      <c r="AL185" s="85" t="s">
        <v>30</v>
      </c>
      <c r="AM185" s="85" t="s">
        <v>1461</v>
      </c>
      <c r="AN185" s="79" t="s">
        <v>73</v>
      </c>
      <c r="AO185" s="77" t="s">
        <v>705</v>
      </c>
      <c r="AP185" s="77" t="s">
        <v>81</v>
      </c>
      <c r="AQ185" s="77" t="s">
        <v>2455</v>
      </c>
      <c r="AR185" s="79" t="s">
        <v>1743</v>
      </c>
      <c r="AS185" s="79"/>
      <c r="AT185" s="80">
        <v>22.250070000000001</v>
      </c>
      <c r="AU185" s="80">
        <v>114.16878</v>
      </c>
      <c r="AV185" s="77" t="s">
        <v>2089</v>
      </c>
    </row>
    <row r="186" spans="1:48" ht="15" customHeight="1" x14ac:dyDescent="0.35">
      <c r="A186" s="77"/>
      <c r="B186" s="77" t="s">
        <v>2139</v>
      </c>
      <c r="C186" s="77"/>
      <c r="D186" s="77" t="s">
        <v>2458</v>
      </c>
      <c r="E186" s="79" t="s">
        <v>18</v>
      </c>
      <c r="F186" s="77" t="str">
        <f>VLOOKUP(Table1[[#This Row],[CBRE sub-markets]],Reference!$A$2:$B$31,2,FALSE)</f>
        <v>New Territories</v>
      </c>
      <c r="G186" s="77">
        <f>VLOOKUP(Table1[[#This Row],[CBRE sub-markets]],Reference!$A$2:$D$31,3,FALSE)</f>
        <v>9</v>
      </c>
      <c r="H186" s="79" t="str">
        <f>VLOOKUP(Table1[[#This Row],[CBRE sub-markets]],Reference!$A$2:$D$31,4,FALSE)</f>
        <v>New Territories</v>
      </c>
      <c r="I186" s="80">
        <v>2027</v>
      </c>
      <c r="J186" s="80">
        <v>4</v>
      </c>
      <c r="K186" s="81" t="str">
        <f>IF(ISNUMBER(Table1[[#This Row],[Qtr]]),CONCATENATE(Table1[[#This Row],[Year]]," Q",Table1[[#This Row],[Qtr]]),CONCATENATE(Table1[[#This Row],[Year]],Table1[[#This Row],[Qtr]]))</f>
        <v>2027 Q4</v>
      </c>
      <c r="L186" s="80" t="s">
        <v>20</v>
      </c>
      <c r="M186" s="80" t="s">
        <v>83</v>
      </c>
      <c r="N186" s="80">
        <v>1</v>
      </c>
      <c r="O186" s="80">
        <v>29</v>
      </c>
      <c r="P186" s="80">
        <v>22</v>
      </c>
      <c r="Q186" s="82">
        <v>16300</v>
      </c>
      <c r="R186" s="82">
        <f>Table1[[#This Row],[Floor Plate (GFA) (sf)]]*0.75</f>
        <v>12225</v>
      </c>
      <c r="S186" s="80" t="str">
        <f t="shared" si="13"/>
        <v>No</v>
      </c>
      <c r="T186" s="82">
        <f>+Table1[[#This Row],[Total GFA (sf)]]/10.76391</f>
        <v>117183.43984667283</v>
      </c>
      <c r="U186" s="82">
        <v>1261352</v>
      </c>
      <c r="V186" s="82">
        <f>+Table1[[#This Row],[Office GFA (sf)]]/10.76391</f>
        <v>53507.693765555458</v>
      </c>
      <c r="W186" s="82">
        <v>575952</v>
      </c>
      <c r="X186" s="82">
        <f>+Table1[[#This Row],[Office GFA (sm)]]*0.75</f>
        <v>40130.770324166595</v>
      </c>
      <c r="Y186" s="82">
        <f t="shared" ref="Y186:Y199" si="15">W186*0.75</f>
        <v>431964</v>
      </c>
      <c r="Z186" s="82"/>
      <c r="AA186" s="82"/>
      <c r="AB186" s="82"/>
      <c r="AC186" s="82">
        <f t="shared" si="14"/>
        <v>431964</v>
      </c>
      <c r="AD186" s="82">
        <f>IF(Table1[[#This Row],[For Sale or For Lease?]]="For Sale",Table1[[#This Row],[Office UFA (Net) (sf)]]-Table1[[#This Row],[Pre-leased space (Usable FA) (sf)]]-Table1[[#This Row],[Pre-sold (Usable FA) (sf)]]-Table1[[#This Row],[Self-use space (Usable FA) (sf)]],0)</f>
        <v>0</v>
      </c>
      <c r="AE186" s="82">
        <f>IF(Table1[[#This Row],[For Sale or For Lease?]]="Uncertain",Table1[[#This Row],[Office UFA (Net) (sf)]]-Table1[[#This Row],[Pre-leased space (Usable FA) (sf)]]-Table1[[#This Row],[Pre-sold (Usable FA) (sf)]]-Table1[[#This Row],[Self-use space (Usable FA) (sf)]],0)</f>
        <v>0</v>
      </c>
      <c r="AF186" s="86">
        <f>1-SUM(Table1[[#This Row],[Space available for lease (Usable FA) (sf)]:[Space available uncertain of use (Usable FA) (sf)]])/Table1[[#This Row],[Office UFA (Net) (sf)]]</f>
        <v>0</v>
      </c>
      <c r="AG186" s="79" t="s">
        <v>89</v>
      </c>
      <c r="AH186" s="84"/>
      <c r="AI186" s="79" t="s">
        <v>2266</v>
      </c>
      <c r="AJ186" s="83">
        <v>44652</v>
      </c>
      <c r="AK186" s="83">
        <v>44805</v>
      </c>
      <c r="AL186" s="85" t="s">
        <v>29</v>
      </c>
      <c r="AM186" s="85" t="s">
        <v>338</v>
      </c>
      <c r="AN186" s="79" t="s">
        <v>73</v>
      </c>
      <c r="AO186" s="77" t="s">
        <v>705</v>
      </c>
      <c r="AP186" s="77" t="s">
        <v>81</v>
      </c>
      <c r="AQ186" s="77" t="s">
        <v>2459</v>
      </c>
      <c r="AR186" s="79" t="s">
        <v>1976</v>
      </c>
      <c r="AS186" s="79" t="s">
        <v>2142</v>
      </c>
      <c r="AT186" s="80">
        <v>22.296994609029099</v>
      </c>
      <c r="AU186" s="80">
        <v>113.955869612988</v>
      </c>
      <c r="AV186" s="77" t="s">
        <v>2141</v>
      </c>
    </row>
    <row r="187" spans="1:48" ht="15" hidden="1" customHeight="1" x14ac:dyDescent="0.35">
      <c r="A187" s="77"/>
      <c r="B187" s="77" t="s">
        <v>2308</v>
      </c>
      <c r="C187" s="77" t="s">
        <v>2308</v>
      </c>
      <c r="D187" s="77"/>
      <c r="E187" s="79" t="s">
        <v>9</v>
      </c>
      <c r="F187" s="77" t="str">
        <f>VLOOKUP(Table1[[#This Row],[CBRE sub-markets]],Reference!$A$2:$B$31,2,FALSE)</f>
        <v>Kowloon Others</v>
      </c>
      <c r="G187" s="77">
        <f>VLOOKUP(Table1[[#This Row],[CBRE sub-markets]],Reference!$A$2:$D$31,3,FALSE)</f>
        <v>8</v>
      </c>
      <c r="H187" s="79" t="str">
        <f>VLOOKUP(Table1[[#This Row],[CBRE sub-markets]],Reference!$A$2:$D$31,4,FALSE)</f>
        <v>Kowloon</v>
      </c>
      <c r="I187" s="80">
        <v>2027</v>
      </c>
      <c r="J187" s="80"/>
      <c r="K187" s="81" t="str">
        <f>IF(ISNUMBER(Table1[[#This Row],[Qtr]]),CONCATENATE(Table1[[#This Row],[Year]]," Q",Table1[[#This Row],[Qtr]]),CONCATENATE(Table1[[#This Row],[Year]],Table1[[#This Row],[Qtr]]))</f>
        <v>2027</v>
      </c>
      <c r="L187" s="80" t="s">
        <v>21</v>
      </c>
      <c r="M187" s="80" t="s">
        <v>83</v>
      </c>
      <c r="N187" s="80">
        <v>1</v>
      </c>
      <c r="O187" s="80">
        <v>21</v>
      </c>
      <c r="P187" s="80">
        <v>21</v>
      </c>
      <c r="Q187" s="82"/>
      <c r="R187" s="82"/>
      <c r="S187" s="80" t="str">
        <f t="shared" si="13"/>
        <v>Unknown</v>
      </c>
      <c r="T187" s="82">
        <v>10072.299999999999</v>
      </c>
      <c r="U187" s="82">
        <f>Table1[[#This Row],[Total GFA (sm)]]*10.76391</f>
        <v>108417.33069299998</v>
      </c>
      <c r="V187" s="82">
        <f>+Table1[[#This Row],[Office GFA (sf)]]/10.76391</f>
        <v>10072.299999999999</v>
      </c>
      <c r="W187" s="82">
        <f>Table1[[#This Row],[Total GFA (sf)]]</f>
        <v>108417.33069299998</v>
      </c>
      <c r="X187" s="82">
        <f>Table1[[#This Row],[Office UFA (Net) (sf)]]/10.76391</f>
        <v>7554.2249999999985</v>
      </c>
      <c r="Y187" s="82">
        <f t="shared" si="15"/>
        <v>81312.998019749983</v>
      </c>
      <c r="Z187" s="82"/>
      <c r="AA187" s="82"/>
      <c r="AB187" s="82"/>
      <c r="AC187" s="82">
        <f t="shared" si="14"/>
        <v>0</v>
      </c>
      <c r="AD187" s="82">
        <f>IF(Table1[[#This Row],[For Sale or For Lease?]]="For Sale",Table1[[#This Row],[Office UFA (Net) (sf)]]-Table1[[#This Row],[Pre-leased space (Usable FA) (sf)]]-Table1[[#This Row],[Pre-sold (Usable FA) (sf)]]-Table1[[#This Row],[Self-use space (Usable FA) (sf)]],0)</f>
        <v>81312.998019749983</v>
      </c>
      <c r="AE187" s="82">
        <f>IF(Table1[[#This Row],[For Sale or For Lease?]]="Uncertain",Table1[[#This Row],[Office UFA (Net) (sf)]]-Table1[[#This Row],[Pre-leased space (Usable FA) (sf)]]-Table1[[#This Row],[Pre-sold (Usable FA) (sf)]]-Table1[[#This Row],[Self-use space (Usable FA) (sf)]],0)</f>
        <v>0</v>
      </c>
      <c r="AF187" s="86">
        <f>1-SUM(Table1[[#This Row],[Space available for lease (Usable FA) (sf)]:[Space available uncertain of use (Usable FA) (sf)]])/Table1[[#This Row],[Office UFA (Net) (sf)]]</f>
        <v>0</v>
      </c>
      <c r="AG187" s="79" t="s">
        <v>89</v>
      </c>
      <c r="AH187" s="84" t="s">
        <v>138</v>
      </c>
      <c r="AI187" s="79" t="s">
        <v>1550</v>
      </c>
      <c r="AJ187" s="83">
        <v>45200</v>
      </c>
      <c r="AK187" s="83">
        <v>45200</v>
      </c>
      <c r="AL187" s="85" t="s">
        <v>30</v>
      </c>
      <c r="AM187" s="85" t="s">
        <v>2257</v>
      </c>
      <c r="AN187" s="79" t="s">
        <v>73</v>
      </c>
      <c r="AO187" s="77" t="s">
        <v>704</v>
      </c>
      <c r="AP187" s="77" t="s">
        <v>81</v>
      </c>
      <c r="AQ187" s="77"/>
      <c r="AR187" s="79" t="s">
        <v>2309</v>
      </c>
      <c r="AS187" s="79"/>
      <c r="AT187" s="80">
        <v>22.3060217048256</v>
      </c>
      <c r="AU187" s="80">
        <v>114.17208235608</v>
      </c>
      <c r="AV187" s="77" t="s">
        <v>2310</v>
      </c>
    </row>
    <row r="188" spans="1:48" ht="15" hidden="1" customHeight="1" x14ac:dyDescent="0.35">
      <c r="A188" s="77"/>
      <c r="B188" s="77" t="s">
        <v>1908</v>
      </c>
      <c r="C188" s="77" t="s">
        <v>1907</v>
      </c>
      <c r="D188" s="77"/>
      <c r="E188" s="79" t="s">
        <v>171</v>
      </c>
      <c r="F188" s="77" t="str">
        <f>VLOOKUP(Table1[[#This Row],[CBRE sub-markets]],Reference!$A$2:$B$31,2,FALSE)</f>
        <v>Kowloon East</v>
      </c>
      <c r="G188" s="77">
        <f>VLOOKUP(Table1[[#This Row],[CBRE sub-markets]],Reference!$A$2:$D$31,3,FALSE)</f>
        <v>7</v>
      </c>
      <c r="H188" s="79" t="str">
        <f>VLOOKUP(Table1[[#This Row],[CBRE sub-markets]],Reference!$A$2:$D$31,4,FALSE)</f>
        <v>Kowloon</v>
      </c>
      <c r="I188" s="80">
        <v>2027</v>
      </c>
      <c r="J188" s="80"/>
      <c r="K188" s="81" t="str">
        <f>IF(ISNUMBER(Table1[[#This Row],[Qtr]]),CONCATENATE(Table1[[#This Row],[Year]]," Q",Table1[[#This Row],[Qtr]]),CONCATENATE(Table1[[#This Row],[Year]],Table1[[#This Row],[Qtr]]))</f>
        <v>2027</v>
      </c>
      <c r="L188" s="80" t="s">
        <v>20</v>
      </c>
      <c r="M188" s="80" t="s">
        <v>86</v>
      </c>
      <c r="N188" s="80">
        <v>2</v>
      </c>
      <c r="O188" s="80" t="s">
        <v>1910</v>
      </c>
      <c r="P188" s="80" t="s">
        <v>1909</v>
      </c>
      <c r="Q188" s="82"/>
      <c r="R188" s="82" t="s">
        <v>2187</v>
      </c>
      <c r="S188" s="80" t="str">
        <f t="shared" si="13"/>
        <v>No</v>
      </c>
      <c r="T188" s="82">
        <v>137260.79999999999</v>
      </c>
      <c r="U188" s="82">
        <f>Table1[[#This Row],[Total GFA (sm)]]*10.76391</f>
        <v>1477462.8977279998</v>
      </c>
      <c r="V188" s="82">
        <f>(2050+2500)*28</f>
        <v>127400</v>
      </c>
      <c r="W188" s="82">
        <f>Table1[[#This Row],[Office GFA (sm)]]*10.76391</f>
        <v>1371322.1339999998</v>
      </c>
      <c r="X188" s="82">
        <f>Table1[[#This Row],[Office GFA (sm)]]*0.75</f>
        <v>95550</v>
      </c>
      <c r="Y188" s="82">
        <f t="shared" si="15"/>
        <v>1028491.6004999999</v>
      </c>
      <c r="Z188" s="82"/>
      <c r="AA188" s="82"/>
      <c r="AB188" s="82"/>
      <c r="AC188" s="82">
        <f t="shared" si="14"/>
        <v>1028491.6004999999</v>
      </c>
      <c r="AD188" s="82">
        <f>IF(Table1[[#This Row],[For Sale or For Lease?]]="For Sale",Table1[[#This Row],[Office UFA (Net) (sf)]]-Table1[[#This Row],[Pre-leased space (Usable FA) (sf)]]-Table1[[#This Row],[Pre-sold (Usable FA) (sf)]]-Table1[[#This Row],[Self-use space (Usable FA) (sf)]],0)</f>
        <v>0</v>
      </c>
      <c r="AE188" s="82">
        <f>IF(Table1[[#This Row],[For Sale or For Lease?]]="Uncertain",Table1[[#This Row],[Office UFA (Net) (sf)]]-Table1[[#This Row],[Pre-leased space (Usable FA) (sf)]]-Table1[[#This Row],[Pre-sold (Usable FA) (sf)]]-Table1[[#This Row],[Self-use space (Usable FA) (sf)]],0)</f>
        <v>0</v>
      </c>
      <c r="AF188" s="86">
        <f>1-SUM(Table1[[#This Row],[Space available for lease (Usable FA) (sf)]:[Space available uncertain of use (Usable FA) (sf)]])/Table1[[#This Row],[Office UFA (Net) (sf)]]</f>
        <v>0</v>
      </c>
      <c r="AG188" s="79" t="s">
        <v>89</v>
      </c>
      <c r="AH188" s="84"/>
      <c r="AI188" s="79" t="s">
        <v>1231</v>
      </c>
      <c r="AJ188" s="83">
        <v>44440</v>
      </c>
      <c r="AK188" s="83">
        <v>44440</v>
      </c>
      <c r="AL188" s="85" t="s">
        <v>30</v>
      </c>
      <c r="AM188" s="85" t="s">
        <v>1402</v>
      </c>
      <c r="AN188" s="79" t="s">
        <v>73</v>
      </c>
      <c r="AO188" s="77" t="s">
        <v>705</v>
      </c>
      <c r="AP188" s="77" t="s">
        <v>81</v>
      </c>
      <c r="AQ188" s="77" t="s">
        <v>1929</v>
      </c>
      <c r="AR188" s="79" t="s">
        <v>1911</v>
      </c>
      <c r="AS188" s="79"/>
      <c r="AT188" s="80">
        <v>22.320212977735199</v>
      </c>
      <c r="AU188" s="80">
        <v>114.210776859517</v>
      </c>
      <c r="AV188" s="77" t="s">
        <v>1979</v>
      </c>
    </row>
    <row r="189" spans="1:48" ht="15" customHeight="1" x14ac:dyDescent="0.35">
      <c r="A189" s="77"/>
      <c r="B189" s="77" t="s">
        <v>2499</v>
      </c>
      <c r="C189" s="77" t="s">
        <v>2476</v>
      </c>
      <c r="D189" s="77"/>
      <c r="E189" s="79" t="s">
        <v>6</v>
      </c>
      <c r="F189" s="77" t="str">
        <f>VLOOKUP(Table1[[#This Row],[CBRE sub-markets]],Reference!$A$2:$B$31,2,FALSE)</f>
        <v>Hong Kong East</v>
      </c>
      <c r="G189" s="77">
        <f>VLOOKUP(Table1[[#This Row],[CBRE sub-markets]],Reference!$A$2:$D$31,3,FALSE)</f>
        <v>4</v>
      </c>
      <c r="H189" s="79" t="str">
        <f>VLOOKUP(Table1[[#This Row],[CBRE sub-markets]],Reference!$A$2:$D$31,4,FALSE)</f>
        <v>Hong Kong Island</v>
      </c>
      <c r="I189" s="80">
        <v>2027</v>
      </c>
      <c r="J189" s="80">
        <v>4</v>
      </c>
      <c r="K189" s="81" t="str">
        <f>IF(ISNUMBER(Table1[[#This Row],[Qtr]]),CONCATENATE(Table1[[#This Row],[Year]]," Q",Table1[[#This Row],[Qtr]]),CONCATENATE(Table1[[#This Row],[Year]],Table1[[#This Row],[Qtr]]))</f>
        <v>2027 Q4</v>
      </c>
      <c r="L189" s="80" t="s">
        <v>20</v>
      </c>
      <c r="M189" s="80" t="s">
        <v>83</v>
      </c>
      <c r="N189" s="80"/>
      <c r="O189" s="80"/>
      <c r="P189" s="80">
        <v>16</v>
      </c>
      <c r="Q189" s="82">
        <v>8500</v>
      </c>
      <c r="R189" s="82">
        <f>Table1[[#This Row],[Floor Plate (GFA) (sf)]]*0.75</f>
        <v>6375</v>
      </c>
      <c r="S189" s="80" t="str">
        <f t="shared" si="13"/>
        <v>No</v>
      </c>
      <c r="T189" s="82"/>
      <c r="U189" s="82"/>
      <c r="V189" s="82">
        <f>+Table1[[#This Row],[Office GFA (sf)]]/10.7639</f>
        <v>13006.438186902516</v>
      </c>
      <c r="W189" s="82">
        <v>140000</v>
      </c>
      <c r="X189" s="82">
        <f>+Table1[[#This Row],[Office UFA (Net) (sf)]]/10.7639</f>
        <v>9754.8286401768873</v>
      </c>
      <c r="Y189" s="82">
        <f t="shared" si="15"/>
        <v>105000</v>
      </c>
      <c r="Z189" s="82"/>
      <c r="AA189" s="82"/>
      <c r="AB189" s="82"/>
      <c r="AC189" s="82">
        <f t="shared" si="14"/>
        <v>0</v>
      </c>
      <c r="AD189" s="82">
        <f>IF(Table1[[#This Row],[For Sale or For Lease?]]="For Sale",Table1[[#This Row],[Office UFA (Net) (sf)]]-Table1[[#This Row],[Pre-leased space (Usable FA) (sf)]]-Table1[[#This Row],[Pre-sold (Usable FA) (sf)]]-Table1[[#This Row],[Self-use space (Usable FA) (sf)]],0)</f>
        <v>0</v>
      </c>
      <c r="AE189" s="82">
        <f>IF(Table1[[#This Row],[For Sale or For Lease?]]="Uncertain",Table1[[#This Row],[Office UFA (Net) (sf)]]-Table1[[#This Row],[Pre-leased space (Usable FA) (sf)]]-Table1[[#This Row],[Pre-sold (Usable FA) (sf)]]-Table1[[#This Row],[Self-use space (Usable FA) (sf)]],0)</f>
        <v>105000</v>
      </c>
      <c r="AF189" s="86">
        <f>1-SUM(Table1[[#This Row],[Space available for lease (Usable FA) (sf)]:[Space available uncertain of use (Usable FA) (sf)]])/Table1[[#This Row],[Office UFA (Net) (sf)]]</f>
        <v>0</v>
      </c>
      <c r="AG189" s="79" t="s">
        <v>89</v>
      </c>
      <c r="AH189" s="84"/>
      <c r="AI189" s="79"/>
      <c r="AJ189" s="83">
        <v>43425</v>
      </c>
      <c r="AK189" s="83">
        <v>43425</v>
      </c>
      <c r="AL189" s="85" t="s">
        <v>30</v>
      </c>
      <c r="AM189" s="85" t="s">
        <v>1225</v>
      </c>
      <c r="AN189" s="79" t="s">
        <v>73</v>
      </c>
      <c r="AO189" s="77" t="s">
        <v>1068</v>
      </c>
      <c r="AP189" s="77" t="s">
        <v>81</v>
      </c>
      <c r="AQ189" s="77" t="s">
        <v>2481</v>
      </c>
      <c r="AR189" s="79" t="s">
        <v>1830</v>
      </c>
      <c r="AS189" s="79" t="s">
        <v>2019</v>
      </c>
      <c r="AT189" s="80">
        <v>22.2904071262091</v>
      </c>
      <c r="AU189" s="80">
        <v>114.195456744601</v>
      </c>
      <c r="AV189" s="77"/>
    </row>
    <row r="190" spans="1:48" ht="15" hidden="1" customHeight="1" x14ac:dyDescent="0.35">
      <c r="A190" s="77"/>
      <c r="B190" s="77" t="s">
        <v>1694</v>
      </c>
      <c r="C190" s="77" t="s">
        <v>1695</v>
      </c>
      <c r="D190" s="77"/>
      <c r="E190" s="79" t="s">
        <v>57</v>
      </c>
      <c r="F190" s="77" t="str">
        <f>VLOOKUP(Table1[[#This Row],[CBRE sub-markets]],Reference!$A$2:$B$31,2,FALSE)</f>
        <v>New Territories</v>
      </c>
      <c r="G190" s="77">
        <f>VLOOKUP(Table1[[#This Row],[CBRE sub-markets]],Reference!$A$2:$D$31,3,FALSE)</f>
        <v>9</v>
      </c>
      <c r="H190" s="79" t="str">
        <f>VLOOKUP(Table1[[#This Row],[CBRE sub-markets]],Reference!$A$2:$D$31,4,FALSE)</f>
        <v>New Territories</v>
      </c>
      <c r="I190" s="80">
        <v>2027</v>
      </c>
      <c r="J190" s="80"/>
      <c r="K190" s="81" t="str">
        <f>IF(ISNUMBER(Table1[[#This Row],[Qtr]]),CONCATENATE(Table1[[#This Row],[Year]]," Q",Table1[[#This Row],[Qtr]]),CONCATENATE(Table1[[#This Row],[Year]],Table1[[#This Row],[Qtr]]))</f>
        <v>2027</v>
      </c>
      <c r="L190" s="80" t="s">
        <v>20</v>
      </c>
      <c r="M190" s="80" t="s">
        <v>85</v>
      </c>
      <c r="N190" s="80">
        <v>1</v>
      </c>
      <c r="O190" s="80" t="s">
        <v>1696</v>
      </c>
      <c r="P190" s="80">
        <v>21</v>
      </c>
      <c r="Q190" s="82">
        <f>+Table1[[#This Row],[Office GFA (sf)]]/Table1[[#This Row],[No. of Storeys for Office]]</f>
        <v>21413.908388095238</v>
      </c>
      <c r="R190" s="82">
        <f>+Table1[[#This Row],[Office UFA (Net) (sf)]]/Table1[[#This Row],[No. of Storeys for Office]]</f>
        <v>16060.431291071427</v>
      </c>
      <c r="S190" s="80" t="str">
        <f t="shared" si="13"/>
        <v>Yes</v>
      </c>
      <c r="T190" s="82">
        <f>46692.5</f>
        <v>46692.5</v>
      </c>
      <c r="U190" s="82">
        <f>+Table1[[#This Row],[Total GFA (sm)]]*10.7639</f>
        <v>502593.40074999997</v>
      </c>
      <c r="V190" s="82">
        <f>+Table1[[#This Row],[Office GFA (sf)]]/10.7639</f>
        <v>41777.801368463101</v>
      </c>
      <c r="W190" s="82">
        <v>449692.07614999998</v>
      </c>
      <c r="X190" s="82">
        <f>V190*0.75</f>
        <v>31333.351026347325</v>
      </c>
      <c r="Y190" s="82">
        <f t="shared" si="15"/>
        <v>337269.05711249996</v>
      </c>
      <c r="Z190" s="82"/>
      <c r="AA190" s="82"/>
      <c r="AB190" s="82"/>
      <c r="AC190" s="82">
        <f t="shared" si="14"/>
        <v>337269.05711249996</v>
      </c>
      <c r="AD190" s="82">
        <f>IF(Table1[[#This Row],[For Sale or For Lease?]]="For Sale",Table1[[#This Row],[Office UFA (Net) (sf)]]-Table1[[#This Row],[Pre-leased space (Usable FA) (sf)]]-Table1[[#This Row],[Pre-sold (Usable FA) (sf)]]-Table1[[#This Row],[Self-use space (Usable FA) (sf)]],0)</f>
        <v>0</v>
      </c>
      <c r="AE190" s="82">
        <f>IF(Table1[[#This Row],[For Sale or For Lease?]]="Uncertain",Table1[[#This Row],[Office UFA (Net) (sf)]]-Table1[[#This Row],[Pre-leased space (Usable FA) (sf)]]-Table1[[#This Row],[Pre-sold (Usable FA) (sf)]]-Table1[[#This Row],[Self-use space (Usable FA) (sf)]],0)</f>
        <v>0</v>
      </c>
      <c r="AF190" s="86">
        <f>1-SUM(Table1[[#This Row],[Space available for lease (Usable FA) (sf)]:[Space available uncertain of use (Usable FA) (sf)]])/Table1[[#This Row],[Office UFA (Net) (sf)]]</f>
        <v>0</v>
      </c>
      <c r="AG190" s="79" t="s">
        <v>89</v>
      </c>
      <c r="AH190" s="84"/>
      <c r="AI190" s="79" t="s">
        <v>1231</v>
      </c>
      <c r="AJ190" s="83">
        <v>44105</v>
      </c>
      <c r="AK190" s="83">
        <v>44105</v>
      </c>
      <c r="AL190" s="85" t="s">
        <v>30</v>
      </c>
      <c r="AM190" s="85" t="s">
        <v>1697</v>
      </c>
      <c r="AN190" s="79" t="s">
        <v>73</v>
      </c>
      <c r="AO190" s="77" t="s">
        <v>705</v>
      </c>
      <c r="AP190" s="77" t="s">
        <v>81</v>
      </c>
      <c r="AQ190" s="77"/>
      <c r="AR190" s="79" t="s">
        <v>1938</v>
      </c>
      <c r="AS190" s="79"/>
      <c r="AT190" s="80">
        <v>22.286449999999999</v>
      </c>
      <c r="AU190" s="80">
        <v>114.13876999999999</v>
      </c>
      <c r="AV190" s="77" t="s">
        <v>2103</v>
      </c>
    </row>
    <row r="191" spans="1:48" ht="15" hidden="1" customHeight="1" x14ac:dyDescent="0.35">
      <c r="A191" s="77"/>
      <c r="B191" s="77" t="s">
        <v>2442</v>
      </c>
      <c r="C191" s="77" t="s">
        <v>2443</v>
      </c>
      <c r="D191" s="77"/>
      <c r="E191" s="79" t="s">
        <v>1</v>
      </c>
      <c r="F191" s="77" t="str">
        <f>VLOOKUP(Table1[[#This Row],[CBRE sub-markets]],Reference!$A$2:$B$31,2,FALSE)</f>
        <v>Central</v>
      </c>
      <c r="G191" s="79">
        <f>VLOOKUP(Table1[[#This Row],[CBRE sub-markets]],Reference!$A$2:$D$31,3,FALSE)</f>
        <v>1</v>
      </c>
      <c r="H191" s="79" t="str">
        <f>VLOOKUP(Table1[[#This Row],[CBRE sub-markets]],Reference!$A$2:$D$31,4,FALSE)</f>
        <v>Hong Kong Island</v>
      </c>
      <c r="I191" s="80">
        <v>2028</v>
      </c>
      <c r="J191" s="80">
        <v>4</v>
      </c>
      <c r="K191" s="81" t="str">
        <f>IF(ISNUMBER(Table1[[#This Row],[Qtr]]),CONCATENATE(Table1[[#This Row],[Year]]," Q",Table1[[#This Row],[Qtr]]),CONCATENATE(Table1[[#This Row],[Year]],Table1[[#This Row],[Qtr]]))</f>
        <v>2028 Q4</v>
      </c>
      <c r="L191" s="80" t="s">
        <v>21</v>
      </c>
      <c r="M191" s="80" t="s">
        <v>83</v>
      </c>
      <c r="N191" s="80">
        <v>1</v>
      </c>
      <c r="O191" s="80" t="s">
        <v>2444</v>
      </c>
      <c r="P191" s="80">
        <v>30</v>
      </c>
      <c r="Q191" s="82">
        <f>Table1[[#This Row],[Office GFA (sf)]]/30</f>
        <v>5266.666666666667</v>
      </c>
      <c r="R191" s="82">
        <f>Table1[[#This Row],[Office UFA (Net) (sf)]]/30</f>
        <v>3950</v>
      </c>
      <c r="S191" s="104" t="str">
        <f t="shared" si="13"/>
        <v>No</v>
      </c>
      <c r="T191" s="82">
        <f>Table1[[#This Row],[Total GFA (sf)]]/10.7639</f>
        <v>14678.694525218556</v>
      </c>
      <c r="U191" s="82">
        <v>158000</v>
      </c>
      <c r="V191" s="82">
        <f>Table1[[#This Row],[Total GFA (sm)]]</f>
        <v>14678.694525218556</v>
      </c>
      <c r="W191" s="82">
        <f>Table1[[#This Row],[Total GFA (sf)]]</f>
        <v>158000</v>
      </c>
      <c r="X191" s="82">
        <f>Table1[[#This Row],[Office UFA (Net) (sf)]]/10.7639</f>
        <v>11009.020893913916</v>
      </c>
      <c r="Y191" s="82">
        <f t="shared" si="15"/>
        <v>118500</v>
      </c>
      <c r="Z191" s="82"/>
      <c r="AA191" s="82"/>
      <c r="AB191" s="82"/>
      <c r="AC191" s="82">
        <f t="shared" si="14"/>
        <v>118500</v>
      </c>
      <c r="AD191" s="82">
        <f>IF(Table1[[#This Row],[For Sale or For Lease?]]="For Sale",Table1[[#This Row],[Office UFA (Net) (sf)]]-Table1[[#This Row],[Pre-leased space (Usable FA) (sf)]]-Table1[[#This Row],[Pre-sold (Usable FA) (sf)]]-Table1[[#This Row],[Self-use space (Usable FA) (sf)]],0)</f>
        <v>0</v>
      </c>
      <c r="AE191" s="82">
        <f>IF(Table1[[#This Row],[For Sale or For Lease?]]="Uncertain",Table1[[#This Row],[Office UFA (Net) (sf)]]-Table1[[#This Row],[Pre-leased space (Usable FA) (sf)]]-Table1[[#This Row],[Pre-sold (Usable FA) (sf)]]-Table1[[#This Row],[Self-use space (Usable FA) (sf)]],0)</f>
        <v>0</v>
      </c>
      <c r="AF191" s="86">
        <f>1-SUM(Table1[[#This Row],[Space available for lease (Usable FA) (sf)]:[Space available uncertain of use (Usable FA) (sf)]])/Table1[[#This Row],[Office UFA (Net) (sf)]]</f>
        <v>0</v>
      </c>
      <c r="AG191" s="79" t="s">
        <v>89</v>
      </c>
      <c r="AH191" s="84" t="s">
        <v>138</v>
      </c>
      <c r="AI191" s="79" t="s">
        <v>92</v>
      </c>
      <c r="AJ191" s="83">
        <v>45261</v>
      </c>
      <c r="AK191" s="83">
        <v>45419</v>
      </c>
      <c r="AL191" s="85" t="s">
        <v>30</v>
      </c>
      <c r="AM191" s="85" t="s">
        <v>2447</v>
      </c>
      <c r="AN191" s="79" t="s">
        <v>73</v>
      </c>
      <c r="AO191" s="77" t="s">
        <v>705</v>
      </c>
      <c r="AP191" s="77" t="s">
        <v>81</v>
      </c>
      <c r="AQ191" s="77"/>
      <c r="AR191" s="79" t="s">
        <v>2446</v>
      </c>
      <c r="AS191" s="79"/>
      <c r="AT191" s="80"/>
      <c r="AU191" s="80"/>
      <c r="AV191" s="77"/>
    </row>
    <row r="192" spans="1:48" ht="15" hidden="1" customHeight="1" x14ac:dyDescent="0.35">
      <c r="A192" s="77"/>
      <c r="B192" s="77" t="s">
        <v>2311</v>
      </c>
      <c r="C192" s="77" t="s">
        <v>2311</v>
      </c>
      <c r="D192" s="77"/>
      <c r="E192" s="79" t="s">
        <v>5</v>
      </c>
      <c r="F192" s="77" t="str">
        <f>VLOOKUP(Table1[[#This Row],[CBRE sub-markets]],Reference!$A$2:$B$31,2,FALSE)</f>
        <v>Wan Chai &amp; Causeway Bay</v>
      </c>
      <c r="G192" s="77">
        <f>VLOOKUP(Table1[[#This Row],[CBRE sub-markets]],Reference!$A$2:$D$31,3,FALSE)</f>
        <v>3</v>
      </c>
      <c r="H192" s="79" t="str">
        <f>VLOOKUP(Table1[[#This Row],[CBRE sub-markets]],Reference!$A$2:$D$31,4,FALSE)</f>
        <v>Hong Kong Island</v>
      </c>
      <c r="I192" s="80">
        <v>2027</v>
      </c>
      <c r="J192" s="80"/>
      <c r="K192" s="81" t="str">
        <f>IF(ISNUMBER(Table1[[#This Row],[Qtr]]),CONCATENATE(Table1[[#This Row],[Year]]," Q",Table1[[#This Row],[Qtr]]),CONCATENATE(Table1[[#This Row],[Year]],Table1[[#This Row],[Qtr]]))</f>
        <v>2027</v>
      </c>
      <c r="L192" s="80" t="s">
        <v>21</v>
      </c>
      <c r="M192" s="80" t="s">
        <v>83</v>
      </c>
      <c r="N192" s="80">
        <v>1</v>
      </c>
      <c r="O192" s="80">
        <v>25</v>
      </c>
      <c r="P192" s="80">
        <v>25</v>
      </c>
      <c r="Q192" s="82">
        <f>Table1[[#This Row],[Office GFA (sf)]]/Table1[[#This Row],[No. of Storeys for Office]]</f>
        <v>2139.4327640000001</v>
      </c>
      <c r="R192" s="82">
        <f>Table1[[#This Row],[Office UFA (Net) (sf)]]/Table1[[#This Row],[No. of Storeys for Office]]</f>
        <v>1604.5745730000001</v>
      </c>
      <c r="S192" s="80" t="str">
        <f t="shared" si="13"/>
        <v>No</v>
      </c>
      <c r="T192" s="82">
        <v>4969</v>
      </c>
      <c r="U192" s="82">
        <f>Table1[[#This Row],[Total GFA (sm)]]*10.7639</f>
        <v>53485.819100000001</v>
      </c>
      <c r="V192" s="82">
        <f>Table1[[#This Row],[Office GFA (sf)]]/10.7639</f>
        <v>4969</v>
      </c>
      <c r="W192" s="82">
        <f>Table1[[#This Row],[Total GFA (sf)]]</f>
        <v>53485.819100000001</v>
      </c>
      <c r="X192" s="82">
        <f>Table1[[#This Row],[Office GFA (sm)]]*0.75</f>
        <v>3726.75</v>
      </c>
      <c r="Y192" s="82">
        <f t="shared" si="15"/>
        <v>40114.364325000002</v>
      </c>
      <c r="Z192" s="82"/>
      <c r="AA192" s="82"/>
      <c r="AB192" s="82"/>
      <c r="AC192" s="82">
        <f t="shared" si="14"/>
        <v>0</v>
      </c>
      <c r="AD192" s="82">
        <f>IF(Table1[[#This Row],[For Sale or For Lease?]]="For Sale",Table1[[#This Row],[Office UFA (Net) (sf)]]-Table1[[#This Row],[Pre-leased space (Usable FA) (sf)]]-Table1[[#This Row],[Pre-sold (Usable FA) (sf)]]-Table1[[#This Row],[Self-use space (Usable FA) (sf)]],0)</f>
        <v>0</v>
      </c>
      <c r="AE192" s="82">
        <f>IF(Table1[[#This Row],[For Sale or For Lease?]]="Uncertain",Table1[[#This Row],[Office UFA (Net) (sf)]]-Table1[[#This Row],[Pre-leased space (Usable FA) (sf)]]-Table1[[#This Row],[Pre-sold (Usable FA) (sf)]]-Table1[[#This Row],[Self-use space (Usable FA) (sf)]],0)</f>
        <v>0</v>
      </c>
      <c r="AF192" s="86">
        <f>1-SUM(Table1[[#This Row],[Space available for lease (Usable FA) (sf)]:[Space available uncertain of use (Usable FA) (sf)]])/Table1[[#This Row],[Office UFA (Net) (sf)]]</f>
        <v>1</v>
      </c>
      <c r="AG192" s="79" t="s">
        <v>89</v>
      </c>
      <c r="AH192" s="84" t="s">
        <v>90</v>
      </c>
      <c r="AI192" s="79" t="s">
        <v>92</v>
      </c>
      <c r="AJ192" s="83">
        <v>45200</v>
      </c>
      <c r="AK192" s="83">
        <v>45292</v>
      </c>
      <c r="AL192" s="85" t="s">
        <v>30</v>
      </c>
      <c r="AM192" s="85" t="s">
        <v>2312</v>
      </c>
      <c r="AN192" s="79" t="s">
        <v>73</v>
      </c>
      <c r="AO192" s="77" t="s">
        <v>1611</v>
      </c>
      <c r="AP192" s="77" t="s">
        <v>81</v>
      </c>
      <c r="AQ192" s="77" t="s">
        <v>2313</v>
      </c>
      <c r="AR192" s="79" t="s">
        <v>2309</v>
      </c>
      <c r="AS192" s="79"/>
      <c r="AT192" s="80">
        <v>22.2795942899584</v>
      </c>
      <c r="AU192" s="80">
        <v>114.182325729852</v>
      </c>
      <c r="AV192" s="77"/>
    </row>
    <row r="193" spans="1:48" ht="15" hidden="1" customHeight="1" x14ac:dyDescent="0.35">
      <c r="A193" s="77"/>
      <c r="B193" s="77" t="s">
        <v>1458</v>
      </c>
      <c r="C193" s="77" t="s">
        <v>1459</v>
      </c>
      <c r="D193" s="77"/>
      <c r="E193" s="79" t="s">
        <v>130</v>
      </c>
      <c r="F193" s="77" t="str">
        <f>VLOOKUP(Table1[[#This Row],[CBRE sub-markets]],Reference!$A$2:$B$31,2,FALSE)</f>
        <v>Wong Chuk Hang</v>
      </c>
      <c r="G193" s="77">
        <f>VLOOKUP(Table1[[#This Row],[CBRE sub-markets]],Reference!$A$2:$D$31,3,FALSE)</f>
        <v>5</v>
      </c>
      <c r="H193" s="79" t="str">
        <f>VLOOKUP(Table1[[#This Row],[CBRE sub-markets]],Reference!$A$2:$D$31,4,FALSE)</f>
        <v>Hong Kong Island</v>
      </c>
      <c r="I193" s="80">
        <v>2028</v>
      </c>
      <c r="J193" s="80"/>
      <c r="K193" s="81" t="str">
        <f>IF(ISNUMBER(Table1[[#This Row],[Qtr]]),CONCATENATE(Table1[[#This Row],[Year]]," Q",Table1[[#This Row],[Qtr]]),CONCATENATE(Table1[[#This Row],[Year]],Table1[[#This Row],[Qtr]]))</f>
        <v>2028</v>
      </c>
      <c r="L193" s="80" t="s">
        <v>21</v>
      </c>
      <c r="M193" s="80" t="s">
        <v>83</v>
      </c>
      <c r="N193" s="80"/>
      <c r="O193" s="80"/>
      <c r="P193" s="80"/>
      <c r="Q193" s="82">
        <f>9100*0.65</f>
        <v>5915</v>
      </c>
      <c r="R193" s="82">
        <f>+Table1[[#This Row],[Floor Plate (GFA) (sf)]]*0.75</f>
        <v>4436.25</v>
      </c>
      <c r="S193" s="80" t="str">
        <f t="shared" si="13"/>
        <v>No</v>
      </c>
      <c r="T193" s="82"/>
      <c r="U193" s="82"/>
      <c r="V193" s="82">
        <f>+Table1[[#This Row],[Office GFA (sf)]]/10.7639</f>
        <v>12681.277232229955</v>
      </c>
      <c r="W193" s="82">
        <v>136500</v>
      </c>
      <c r="X193" s="82">
        <f>V193*0.75</f>
        <v>9510.9579241724659</v>
      </c>
      <c r="Y193" s="82">
        <f t="shared" si="15"/>
        <v>102375</v>
      </c>
      <c r="Z193" s="82"/>
      <c r="AA193" s="82"/>
      <c r="AB193" s="82"/>
      <c r="AC193" s="82">
        <f t="shared" si="14"/>
        <v>0</v>
      </c>
      <c r="AD193" s="82">
        <f>IF(Table1[[#This Row],[For Sale or For Lease?]]="For Sale",Table1[[#This Row],[Office UFA (Net) (sf)]]-Table1[[#This Row],[Pre-leased space (Usable FA) (sf)]]-Table1[[#This Row],[Pre-sold (Usable FA) (sf)]]-Table1[[#This Row],[Self-use space (Usable FA) (sf)]],0)</f>
        <v>0</v>
      </c>
      <c r="AE193" s="82">
        <f>IF(Table1[[#This Row],[For Sale or For Lease?]]="Uncertain",Table1[[#This Row],[Office UFA (Net) (sf)]]-Table1[[#This Row],[Pre-leased space (Usable FA) (sf)]]-Table1[[#This Row],[Pre-sold (Usable FA) (sf)]]-Table1[[#This Row],[Self-use space (Usable FA) (sf)]],0)</f>
        <v>102375</v>
      </c>
      <c r="AF193" s="86">
        <f>1-SUM(Table1[[#This Row],[Space available for lease (Usable FA) (sf)]:[Space available uncertain of use (Usable FA) (sf)]])/Table1[[#This Row],[Office UFA (Net) (sf)]]</f>
        <v>0</v>
      </c>
      <c r="AG193" s="79" t="s">
        <v>89</v>
      </c>
      <c r="AH193" s="84"/>
      <c r="AI193" s="79" t="s">
        <v>346</v>
      </c>
      <c r="AJ193" s="83"/>
      <c r="AK193" s="83">
        <v>43138</v>
      </c>
      <c r="AL193" s="85" t="s">
        <v>30</v>
      </c>
      <c r="AM193" s="85" t="s">
        <v>1460</v>
      </c>
      <c r="AN193" s="79" t="s">
        <v>73</v>
      </c>
      <c r="AO193" s="77" t="s">
        <v>1068</v>
      </c>
      <c r="AP193" s="77" t="s">
        <v>1068</v>
      </c>
      <c r="AQ193" s="77"/>
      <c r="AR193" s="79" t="s">
        <v>1754</v>
      </c>
      <c r="AS193" s="79"/>
      <c r="AT193" s="80">
        <v>22.248398875650899</v>
      </c>
      <c r="AU193" s="80">
        <v>114.167548866435</v>
      </c>
      <c r="AV193" s="77" t="s">
        <v>2086</v>
      </c>
    </row>
    <row r="194" spans="1:48" ht="15" hidden="1" customHeight="1" x14ac:dyDescent="0.35">
      <c r="A194" s="77"/>
      <c r="B194" s="77" t="s">
        <v>1360</v>
      </c>
      <c r="C194" s="77" t="s">
        <v>1360</v>
      </c>
      <c r="D194" s="77"/>
      <c r="E194" s="79" t="s">
        <v>12</v>
      </c>
      <c r="F194" s="77" t="str">
        <f>VLOOKUP(Table1[[#This Row],[CBRE sub-markets]],Reference!$A$2:$B$31,2,FALSE)</f>
        <v>Kowloon Others</v>
      </c>
      <c r="G194" s="77">
        <f>VLOOKUP(Table1[[#This Row],[CBRE sub-markets]],Reference!$A$2:$D$31,3,FALSE)</f>
        <v>8</v>
      </c>
      <c r="H194" s="79" t="str">
        <f>VLOOKUP(Table1[[#This Row],[CBRE sub-markets]],Reference!$A$2:$D$31,4,FALSE)</f>
        <v>Kowloon</v>
      </c>
      <c r="I194" s="80">
        <v>2028</v>
      </c>
      <c r="J194" s="80"/>
      <c r="K194" s="81" t="str">
        <f>IF(ISNUMBER(Table1[[#This Row],[Qtr]]),CONCATENATE(Table1[[#This Row],[Year]]," Q",Table1[[#This Row],[Qtr]]),CONCATENATE(Table1[[#This Row],[Year]],Table1[[#This Row],[Qtr]]))</f>
        <v>2028</v>
      </c>
      <c r="L194" s="80" t="s">
        <v>21</v>
      </c>
      <c r="M194" s="80" t="s">
        <v>83</v>
      </c>
      <c r="N194" s="80">
        <v>1</v>
      </c>
      <c r="O194" s="80">
        <v>9</v>
      </c>
      <c r="P194" s="80">
        <v>9</v>
      </c>
      <c r="Q194" s="82">
        <f>Table1[[#This Row],[Office GFA (sf)]]/Table1[[#This Row],[No. of Storeys]]</f>
        <v>3846.3359999999998</v>
      </c>
      <c r="R194" s="82">
        <f>Table1[[#This Row],[Office UFA (Net) (sf)]]/Table1[[#This Row],[No. of Storeys for Office]]</f>
        <v>2884.7519999999995</v>
      </c>
      <c r="S194" s="80" t="str">
        <f t="shared" si="13"/>
        <v>No</v>
      </c>
      <c r="T194" s="82"/>
      <c r="U194" s="82"/>
      <c r="V194" s="82">
        <v>3216</v>
      </c>
      <c r="W194" s="82">
        <f>Table1[[#This Row],[Office GFA (sm)]]*10.764</f>
        <v>34617.023999999998</v>
      </c>
      <c r="X194" s="82">
        <f>V194*0.75</f>
        <v>2412</v>
      </c>
      <c r="Y194" s="82">
        <f t="shared" si="15"/>
        <v>25962.767999999996</v>
      </c>
      <c r="Z194" s="82"/>
      <c r="AA194" s="82"/>
      <c r="AB194" s="82"/>
      <c r="AC194" s="82">
        <f t="shared" si="14"/>
        <v>0</v>
      </c>
      <c r="AD194" s="82">
        <f>IF(Table1[[#This Row],[For Sale or For Lease?]]="For Sale",Table1[[#This Row],[Office UFA (Net) (sf)]]-Table1[[#This Row],[Pre-leased space (Usable FA) (sf)]]-Table1[[#This Row],[Pre-sold (Usable FA) (sf)]]-Table1[[#This Row],[Self-use space (Usable FA) (sf)]],0)</f>
        <v>0</v>
      </c>
      <c r="AE194" s="82">
        <f>IF(Table1[[#This Row],[For Sale or For Lease?]]="Uncertain",Table1[[#This Row],[Office UFA (Net) (sf)]]-Table1[[#This Row],[Pre-leased space (Usable FA) (sf)]]-Table1[[#This Row],[Pre-sold (Usable FA) (sf)]]-Table1[[#This Row],[Self-use space (Usable FA) (sf)]],0)</f>
        <v>25962.767999999996</v>
      </c>
      <c r="AF194" s="86">
        <f>1-SUM(Table1[[#This Row],[Space available for lease (Usable FA) (sf)]:[Space available uncertain of use (Usable FA) (sf)]])/Table1[[#This Row],[Office UFA (Net) (sf)]]</f>
        <v>0</v>
      </c>
      <c r="AG194" s="79" t="s">
        <v>89</v>
      </c>
      <c r="AH194" s="84"/>
      <c r="AI194" s="79" t="s">
        <v>1361</v>
      </c>
      <c r="AJ194" s="83">
        <v>42664</v>
      </c>
      <c r="AK194" s="83">
        <v>42664</v>
      </c>
      <c r="AL194" s="85" t="s">
        <v>30</v>
      </c>
      <c r="AM194" s="85" t="s">
        <v>1362</v>
      </c>
      <c r="AN194" s="79" t="s">
        <v>73</v>
      </c>
      <c r="AO194" s="77" t="s">
        <v>1068</v>
      </c>
      <c r="AP194" s="77" t="s">
        <v>1068</v>
      </c>
      <c r="AQ194" s="77"/>
      <c r="AR194" s="79" t="s">
        <v>1812</v>
      </c>
      <c r="AS194" s="79"/>
      <c r="AT194" s="80">
        <v>22.334572119673801</v>
      </c>
      <c r="AU194" s="80">
        <v>114.14652967462899</v>
      </c>
      <c r="AV194" s="77" t="s">
        <v>2127</v>
      </c>
    </row>
    <row r="195" spans="1:48" ht="15" hidden="1" customHeight="1" x14ac:dyDescent="0.35">
      <c r="A195" s="77"/>
      <c r="B195" s="77" t="s">
        <v>1601</v>
      </c>
      <c r="C195" s="77" t="s">
        <v>1601</v>
      </c>
      <c r="D195" s="77"/>
      <c r="E195" s="79" t="s">
        <v>15</v>
      </c>
      <c r="F195" s="77" t="str">
        <f>VLOOKUP(Table1[[#This Row],[CBRE sub-markets]],Reference!$A$2:$B$31,2,FALSE)</f>
        <v>New Territories</v>
      </c>
      <c r="G195" s="77">
        <f>VLOOKUP(Table1[[#This Row],[CBRE sub-markets]],Reference!$A$2:$D$31,3,FALSE)</f>
        <v>9</v>
      </c>
      <c r="H195" s="79" t="str">
        <f>VLOOKUP(Table1[[#This Row],[CBRE sub-markets]],Reference!$A$2:$D$31,4,FALSE)</f>
        <v>New Territories</v>
      </c>
      <c r="I195" s="80">
        <v>2028</v>
      </c>
      <c r="J195" s="80"/>
      <c r="K195" s="81" t="str">
        <f>IF(ISNUMBER(Table1[[#This Row],[Qtr]]),CONCATENATE(Table1[[#This Row],[Year]]," Q",Table1[[#This Row],[Qtr]]),CONCATENATE(Table1[[#This Row],[Year]],Table1[[#This Row],[Qtr]]))</f>
        <v>2028</v>
      </c>
      <c r="L195" s="80" t="s">
        <v>21</v>
      </c>
      <c r="M195" s="80" t="s">
        <v>83</v>
      </c>
      <c r="N195" s="80">
        <v>1</v>
      </c>
      <c r="O195" s="80" t="s">
        <v>1602</v>
      </c>
      <c r="P195" s="80">
        <v>20</v>
      </c>
      <c r="Q195" s="82">
        <f>+Table1[[#This Row],[Floor Plate (NFA) (sf)]]/0.75</f>
        <v>4268.8820107499996</v>
      </c>
      <c r="R195" s="82">
        <f>+Table1[[#This Row],[Office UFA (Net) (sf)]]/Table1[[#This Row],[No. of Storeys for Office]]</f>
        <v>3201.6615080624997</v>
      </c>
      <c r="S195" s="80" t="str">
        <f t="shared" si="13"/>
        <v>No</v>
      </c>
      <c r="T195" s="82">
        <v>10575.8</v>
      </c>
      <c r="U195" s="82">
        <f>+Table1[[#This Row],[Total GFA (sm)]]*10.7639</f>
        <v>113836.85361999999</v>
      </c>
      <c r="V195" s="82">
        <v>10575.8</v>
      </c>
      <c r="W195" s="82">
        <f>+Table1[[#This Row],[Total GFA (sf)]]*0.75</f>
        <v>85377.640214999992</v>
      </c>
      <c r="X195" s="82">
        <f>V195*0.75</f>
        <v>7931.8499999999995</v>
      </c>
      <c r="Y195" s="82">
        <f t="shared" si="15"/>
        <v>64033.230161249994</v>
      </c>
      <c r="Z195" s="82"/>
      <c r="AA195" s="82"/>
      <c r="AB195" s="82"/>
      <c r="AC195" s="82">
        <f t="shared" si="14"/>
        <v>0</v>
      </c>
      <c r="AD195" s="82">
        <f>IF(Table1[[#This Row],[For Sale or For Lease?]]="For Sale",Table1[[#This Row],[Office UFA (Net) (sf)]]-Table1[[#This Row],[Pre-leased space (Usable FA) (sf)]]-Table1[[#This Row],[Pre-sold (Usable FA) (sf)]]-Table1[[#This Row],[Self-use space (Usable FA) (sf)]],0)</f>
        <v>0</v>
      </c>
      <c r="AE195" s="82">
        <f>IF(Table1[[#This Row],[For Sale or For Lease?]]="Uncertain",Table1[[#This Row],[Office UFA (Net) (sf)]]-Table1[[#This Row],[Pre-leased space (Usable FA) (sf)]]-Table1[[#This Row],[Pre-sold (Usable FA) (sf)]]-Table1[[#This Row],[Self-use space (Usable FA) (sf)]],0)</f>
        <v>64033.230161249994</v>
      </c>
      <c r="AF195" s="86">
        <f>1-SUM(Table1[[#This Row],[Space available for lease (Usable FA) (sf)]:[Space available uncertain of use (Usable FA) (sf)]])/Table1[[#This Row],[Office UFA (Net) (sf)]]</f>
        <v>0</v>
      </c>
      <c r="AG195" s="79" t="s">
        <v>89</v>
      </c>
      <c r="AH195" s="84" t="s">
        <v>138</v>
      </c>
      <c r="AI195" s="79" t="s">
        <v>92</v>
      </c>
      <c r="AJ195" s="83">
        <v>43617</v>
      </c>
      <c r="AK195" s="83">
        <v>43647</v>
      </c>
      <c r="AL195" s="85" t="s">
        <v>30</v>
      </c>
      <c r="AM195" s="85"/>
      <c r="AN195" s="79" t="s">
        <v>73</v>
      </c>
      <c r="AO195" s="77" t="s">
        <v>1068</v>
      </c>
      <c r="AP195" s="77" t="s">
        <v>1068</v>
      </c>
      <c r="AQ195" s="77"/>
      <c r="AR195" s="79" t="s">
        <v>1814</v>
      </c>
      <c r="AS195" s="79"/>
      <c r="AT195" s="80">
        <v>22.3732436817833</v>
      </c>
      <c r="AU195" s="80">
        <v>114.108266566065</v>
      </c>
      <c r="AV195" s="77" t="s">
        <v>2135</v>
      </c>
    </row>
    <row r="196" spans="1:48" ht="15" hidden="1" customHeight="1" x14ac:dyDescent="0.35">
      <c r="A196" s="77"/>
      <c r="B196" s="77" t="s">
        <v>2438</v>
      </c>
      <c r="C196" s="77" t="s">
        <v>2438</v>
      </c>
      <c r="D196" s="77"/>
      <c r="E196" s="79" t="s">
        <v>57</v>
      </c>
      <c r="F196" s="77" t="str">
        <f>VLOOKUP(Table1[[#This Row],[CBRE sub-markets]],Reference!$A$2:$B$31,2,FALSE)</f>
        <v>New Territories</v>
      </c>
      <c r="G196" s="77">
        <f>VLOOKUP(Table1[[#This Row],[CBRE sub-markets]],Reference!$A$2:$D$31,3,FALSE)</f>
        <v>9</v>
      </c>
      <c r="H196" s="79" t="str">
        <f>VLOOKUP(Table1[[#This Row],[CBRE sub-markets]],Reference!$A$2:$D$31,4,FALSE)</f>
        <v>New Territories</v>
      </c>
      <c r="I196" s="80">
        <v>2028</v>
      </c>
      <c r="J196" s="80"/>
      <c r="K196" s="81" t="str">
        <f>IF(ISNUMBER(Table1[[#This Row],[Qtr]]),CONCATENATE(Table1[[#This Row],[Year]]," Q",Table1[[#This Row],[Qtr]]),CONCATENATE(Table1[[#This Row],[Year]],Table1[[#This Row],[Qtr]]))</f>
        <v>2028</v>
      </c>
      <c r="L196" s="80" t="s">
        <v>20</v>
      </c>
      <c r="M196" s="80" t="s">
        <v>85</v>
      </c>
      <c r="N196" s="80"/>
      <c r="O196" s="80"/>
      <c r="P196" s="80"/>
      <c r="Q196" s="82"/>
      <c r="R196" s="82"/>
      <c r="S196" s="80" t="str">
        <f t="shared" si="13"/>
        <v>Unknown</v>
      </c>
      <c r="T196" s="82"/>
      <c r="U196" s="82"/>
      <c r="V196" s="82">
        <v>40000</v>
      </c>
      <c r="W196" s="82">
        <f>V196*10.764</f>
        <v>430560</v>
      </c>
      <c r="X196" s="82">
        <f>V196*0.75</f>
        <v>30000</v>
      </c>
      <c r="Y196" s="82">
        <f t="shared" si="15"/>
        <v>322920</v>
      </c>
      <c r="Z196" s="82"/>
      <c r="AA196" s="82"/>
      <c r="AB196" s="82"/>
      <c r="AC196" s="82">
        <f t="shared" si="14"/>
        <v>0</v>
      </c>
      <c r="AD196" s="82">
        <f>IF(Table1[[#This Row],[For Sale or For Lease?]]="For Sale",Table1[[#This Row],[Office UFA (Net) (sf)]]-Table1[[#This Row],[Pre-leased space (Usable FA) (sf)]]-Table1[[#This Row],[Pre-sold (Usable FA) (sf)]]-Table1[[#This Row],[Self-use space (Usable FA) (sf)]],0)</f>
        <v>0</v>
      </c>
      <c r="AE196" s="82">
        <f>IF(Table1[[#This Row],[For Sale or For Lease?]]="Uncertain",Table1[[#This Row],[Office UFA (Net) (sf)]]-Table1[[#This Row],[Pre-leased space (Usable FA) (sf)]]-Table1[[#This Row],[Pre-sold (Usable FA) (sf)]]-Table1[[#This Row],[Self-use space (Usable FA) (sf)]],0)</f>
        <v>322920</v>
      </c>
      <c r="AF196" s="86">
        <f>1-SUM(Table1[[#This Row],[Space available for lease (Usable FA) (sf)]:[Space available uncertain of use (Usable FA) (sf)]])/Table1[[#This Row],[Office UFA (Net) (sf)]]</f>
        <v>0</v>
      </c>
      <c r="AG196" s="79" t="s">
        <v>89</v>
      </c>
      <c r="AH196" s="84"/>
      <c r="AI196" s="79"/>
      <c r="AJ196" s="83">
        <v>45352</v>
      </c>
      <c r="AK196" s="83"/>
      <c r="AL196" s="85" t="s">
        <v>29</v>
      </c>
      <c r="AM196" s="85"/>
      <c r="AN196" s="79" t="s">
        <v>74</v>
      </c>
      <c r="AO196" s="77" t="s">
        <v>1068</v>
      </c>
      <c r="AP196" s="77" t="s">
        <v>1068</v>
      </c>
      <c r="AQ196" s="77"/>
      <c r="AR196" s="79" t="s">
        <v>2439</v>
      </c>
      <c r="AS196" s="79"/>
      <c r="AT196" s="80">
        <v>22.392264346091199</v>
      </c>
      <c r="AU196" s="80">
        <v>114.207694249526</v>
      </c>
      <c r="AV196" s="77" t="s">
        <v>2440</v>
      </c>
    </row>
    <row r="197" spans="1:48" ht="15" customHeight="1" x14ac:dyDescent="0.35">
      <c r="A197" s="77"/>
      <c r="B197" s="77" t="s">
        <v>1603</v>
      </c>
      <c r="C197" s="77" t="s">
        <v>1604</v>
      </c>
      <c r="D197" s="77"/>
      <c r="E197" s="79" t="s">
        <v>730</v>
      </c>
      <c r="F197" s="77" t="str">
        <f>VLOOKUP(Table1[[#This Row],[CBRE sub-markets]],Reference!$A$2:$B$31,2,FALSE)</f>
        <v>Kowloon Others</v>
      </c>
      <c r="G197" s="77">
        <f>VLOOKUP(Table1[[#This Row],[CBRE sub-markets]],Reference!$A$2:$D$31,3,FALSE)</f>
        <v>8</v>
      </c>
      <c r="H197" s="79" t="str">
        <f>VLOOKUP(Table1[[#This Row],[CBRE sub-markets]],Reference!$A$2:$D$31,4,FALSE)</f>
        <v>Kowloon</v>
      </c>
      <c r="I197" s="80">
        <v>2028</v>
      </c>
      <c r="J197" s="80">
        <v>4</v>
      </c>
      <c r="K197" s="81" t="str">
        <f>IF(ISNUMBER(Table1[[#This Row],[Qtr]]),CONCATENATE(Table1[[#This Row],[Year]]," Q",Table1[[#This Row],[Qtr]]),CONCATENATE(Table1[[#This Row],[Year]],Table1[[#This Row],[Qtr]]))</f>
        <v>2028 Q4</v>
      </c>
      <c r="L197" s="80" t="s">
        <v>20</v>
      </c>
      <c r="M197" s="80" t="s">
        <v>83</v>
      </c>
      <c r="N197" s="80">
        <v>1</v>
      </c>
      <c r="O197" s="80" t="s">
        <v>1605</v>
      </c>
      <c r="P197" s="80">
        <v>19</v>
      </c>
      <c r="Q197" s="82">
        <f>2670*10.7639*0.593</f>
        <v>17042.590508999998</v>
      </c>
      <c r="R197" s="82">
        <f>+Table1[[#This Row],[Floor Plate (GFA) (sf)]]*0.75</f>
        <v>12781.942881749997</v>
      </c>
      <c r="S197" s="80" t="str">
        <f t="shared" si="13"/>
        <v>No</v>
      </c>
      <c r="T197" s="82">
        <v>32040</v>
      </c>
      <c r="U197" s="82">
        <f>+Table1[[#This Row],[Total GFA (sm)]]*10.7639</f>
        <v>344875.35599999997</v>
      </c>
      <c r="V197" s="82">
        <f>2670*19*0.593</f>
        <v>30082.89</v>
      </c>
      <c r="W197" s="82">
        <f>+Table1[[#This Row],[Office GFA (sm)]]*10.7639</f>
        <v>323809.21967099997</v>
      </c>
      <c r="X197" s="82">
        <f>+Table1[[#This Row],[Office GFA (sm)]]*0.75</f>
        <v>22562.1675</v>
      </c>
      <c r="Y197" s="82">
        <f t="shared" si="15"/>
        <v>242856.91475324996</v>
      </c>
      <c r="Z197" s="82"/>
      <c r="AA197" s="82"/>
      <c r="AB197" s="82"/>
      <c r="AC197" s="82">
        <f t="shared" si="14"/>
        <v>242856.91475324996</v>
      </c>
      <c r="AD197" s="82">
        <f>IF(Table1[[#This Row],[For Sale or For Lease?]]="For Sale",Table1[[#This Row],[Office UFA (Net) (sf)]]-Table1[[#This Row],[Pre-leased space (Usable FA) (sf)]]-Table1[[#This Row],[Pre-sold (Usable FA) (sf)]]-Table1[[#This Row],[Self-use space (Usable FA) (sf)]],0)</f>
        <v>0</v>
      </c>
      <c r="AE197" s="82">
        <f>IF(Table1[[#This Row],[For Sale or For Lease?]]="Uncertain",Table1[[#This Row],[Office UFA (Net) (sf)]]-Table1[[#This Row],[Pre-leased space (Usable FA) (sf)]]-Table1[[#This Row],[Pre-sold (Usable FA) (sf)]]-Table1[[#This Row],[Self-use space (Usable FA) (sf)]],0)</f>
        <v>0</v>
      </c>
      <c r="AF197" s="86">
        <f>1-SUM(Table1[[#This Row],[Space available for lease (Usable FA) (sf)]:[Space available uncertain of use (Usable FA) (sf)]])/Table1[[#This Row],[Office UFA (Net) (sf)]]</f>
        <v>0</v>
      </c>
      <c r="AG197" s="79" t="s">
        <v>89</v>
      </c>
      <c r="AH197" s="84"/>
      <c r="AI197" s="79" t="s">
        <v>1231</v>
      </c>
      <c r="AJ197" s="83">
        <v>43728</v>
      </c>
      <c r="AK197" s="83">
        <v>43740</v>
      </c>
      <c r="AL197" s="85" t="s">
        <v>30</v>
      </c>
      <c r="AM197" s="85" t="s">
        <v>1402</v>
      </c>
      <c r="AN197" s="79" t="s">
        <v>73</v>
      </c>
      <c r="AO197" s="77" t="s">
        <v>705</v>
      </c>
      <c r="AP197" s="77" t="s">
        <v>81</v>
      </c>
      <c r="AQ197" s="77" t="s">
        <v>2502</v>
      </c>
      <c r="AR197" s="79" t="s">
        <v>1811</v>
      </c>
      <c r="AS197" s="79"/>
      <c r="AT197" s="80">
        <v>22.319939999999999</v>
      </c>
      <c r="AU197" s="80">
        <v>114.16012000000001</v>
      </c>
      <c r="AV197" s="77" t="s">
        <v>2121</v>
      </c>
    </row>
    <row r="198" spans="1:48" ht="15" customHeight="1" x14ac:dyDescent="0.35">
      <c r="A198" s="77"/>
      <c r="B198" s="77" t="s">
        <v>2470</v>
      </c>
      <c r="C198" s="77" t="s">
        <v>732</v>
      </c>
      <c r="D198" s="77"/>
      <c r="E198" s="79" t="s">
        <v>730</v>
      </c>
      <c r="F198" s="77" t="str">
        <f>VLOOKUP(Table1[[#This Row],[CBRE sub-markets]],Reference!$A$2:$B$31,2,FALSE)</f>
        <v>Kowloon Others</v>
      </c>
      <c r="G198" s="77">
        <f>VLOOKUP(Table1[[#This Row],[CBRE sub-markets]],Reference!$A$2:$D$31,3,FALSE)</f>
        <v>8</v>
      </c>
      <c r="H198" s="79" t="str">
        <f>VLOOKUP(Table1[[#This Row],[CBRE sub-markets]],Reference!$A$2:$D$31,4,FALSE)</f>
        <v>Kowloon</v>
      </c>
      <c r="I198" s="80">
        <v>2029</v>
      </c>
      <c r="J198" s="80">
        <v>4</v>
      </c>
      <c r="K198" s="81" t="str">
        <f>IF(ISNUMBER(Table1[[#This Row],[Qtr]]),CONCATENATE(Table1[[#This Row],[Year]]," Q",Table1[[#This Row],[Qtr]]),CONCATENATE(Table1[[#This Row],[Year]],Table1[[#This Row],[Qtr]]))</f>
        <v>2029 Q4</v>
      </c>
      <c r="L198" s="80" t="s">
        <v>20</v>
      </c>
      <c r="M198" s="80" t="s">
        <v>83</v>
      </c>
      <c r="N198" s="80">
        <v>1</v>
      </c>
      <c r="O198" s="80">
        <v>56</v>
      </c>
      <c r="P198" s="80">
        <v>53</v>
      </c>
      <c r="Q198" s="82">
        <f>Table1[[#This Row],[Office GFA (sf)]]/Table1[[#This Row],[No. of Storeys for Office]]</f>
        <v>22139.793520754716</v>
      </c>
      <c r="R198" s="82">
        <f>Table1[[#This Row],[Floor Plate (GFA) (sf)]]*0.75</f>
        <v>16604.845140566038</v>
      </c>
      <c r="S198" s="80" t="str">
        <f t="shared" si="13"/>
        <v>Yes</v>
      </c>
      <c r="T198" s="82">
        <v>141600</v>
      </c>
      <c r="U198" s="82">
        <f>+Table1[[#This Row],[Total GFA (sm)]]*10.7639</f>
        <v>1524168.24</v>
      </c>
      <c r="V198" s="82">
        <f>Table1[[#This Row],[Office GFA (sf)]]/10.7639</f>
        <v>109013.37401871069</v>
      </c>
      <c r="W198" s="82">
        <f>127594*10.7639-200000</f>
        <v>1173409.0566</v>
      </c>
      <c r="X198" s="82">
        <f>V198*0.75</f>
        <v>81760.030514033017</v>
      </c>
      <c r="Y198" s="82">
        <f t="shared" si="15"/>
        <v>880056.79245000007</v>
      </c>
      <c r="Z198" s="82"/>
      <c r="AA198" s="82"/>
      <c r="AB198" s="82"/>
      <c r="AC198" s="82">
        <f t="shared" si="14"/>
        <v>0</v>
      </c>
      <c r="AD198" s="82">
        <f>IF(Table1[[#This Row],[For Sale or For Lease?]]="For Sale",Table1[[#This Row],[Office UFA (Net) (sf)]]-Table1[[#This Row],[Pre-leased space (Usable FA) (sf)]]-Table1[[#This Row],[Pre-sold (Usable FA) (sf)]]-Table1[[#This Row],[Self-use space (Usable FA) (sf)]],0)</f>
        <v>0</v>
      </c>
      <c r="AE198" s="82">
        <f>IF(Table1[[#This Row],[For Sale or For Lease?]]="Uncertain",Table1[[#This Row],[Office UFA (Net) (sf)]]-Table1[[#This Row],[Pre-leased space (Usable FA) (sf)]]-Table1[[#This Row],[Pre-sold (Usable FA) (sf)]]-Table1[[#This Row],[Self-use space (Usable FA) (sf)]],0)</f>
        <v>880056.79245000007</v>
      </c>
      <c r="AF198" s="86">
        <f>1-SUM(Table1[[#This Row],[Space available for lease (Usable FA) (sf)]:[Space available uncertain of use (Usable FA) (sf)]])/Table1[[#This Row],[Office UFA (Net) (sf)]]</f>
        <v>0</v>
      </c>
      <c r="AG198" s="79" t="s">
        <v>89</v>
      </c>
      <c r="AH198" s="84"/>
      <c r="AI198" s="79" t="s">
        <v>568</v>
      </c>
      <c r="AJ198" s="83">
        <v>42451</v>
      </c>
      <c r="AK198" s="83">
        <v>42436</v>
      </c>
      <c r="AL198" s="85" t="s">
        <v>32</v>
      </c>
      <c r="AM198" s="85" t="s">
        <v>114</v>
      </c>
      <c r="AN198" s="79" t="s">
        <v>74</v>
      </c>
      <c r="AO198" s="77" t="s">
        <v>1068</v>
      </c>
      <c r="AP198" s="77" t="s">
        <v>1068</v>
      </c>
      <c r="AQ198" s="107" t="s">
        <v>2471</v>
      </c>
      <c r="AR198" s="79" t="s">
        <v>1808</v>
      </c>
      <c r="AS198" s="79" t="s">
        <v>2021</v>
      </c>
      <c r="AT198" s="80">
        <v>22.320830000000001</v>
      </c>
      <c r="AU198" s="80">
        <v>114.17178</v>
      </c>
      <c r="AV198" s="77"/>
    </row>
    <row r="199" spans="1:48" ht="15" customHeight="1" x14ac:dyDescent="0.35">
      <c r="A199" s="77"/>
      <c r="B199" s="77" t="s">
        <v>2254</v>
      </c>
      <c r="C199" s="77" t="s">
        <v>2290</v>
      </c>
      <c r="D199" s="77" t="s">
        <v>2253</v>
      </c>
      <c r="E199" s="79" t="s">
        <v>54</v>
      </c>
      <c r="F199" s="77" t="str">
        <f>VLOOKUP(Table1[[#This Row],[CBRE sub-markets]],Reference!$A$2:$B$31,2,FALSE)</f>
        <v>New Territories</v>
      </c>
      <c r="G199" s="77">
        <f>VLOOKUP(Table1[[#This Row],[CBRE sub-markets]],Reference!$A$2:$D$31,3,FALSE)</f>
        <v>9</v>
      </c>
      <c r="H199" s="79" t="str">
        <f>VLOOKUP(Table1[[#This Row],[CBRE sub-markets]],Reference!$A$2:$D$31,4,FALSE)</f>
        <v>New Territories</v>
      </c>
      <c r="I199" s="80">
        <v>2030</v>
      </c>
      <c r="J199" s="80"/>
      <c r="K199" s="81" t="str">
        <f>IF(ISNUMBER(Table1[[#This Row],[Qtr]]),CONCATENATE(Table1[[#This Row],[Year]]," Q",Table1[[#This Row],[Qtr]]),CONCATENATE(Table1[[#This Row],[Year]],Table1[[#This Row],[Qtr]]))</f>
        <v>2030</v>
      </c>
      <c r="L199" s="80" t="s">
        <v>20</v>
      </c>
      <c r="M199" s="80" t="s">
        <v>83</v>
      </c>
      <c r="N199" s="80">
        <v>1</v>
      </c>
      <c r="O199" s="80">
        <v>28</v>
      </c>
      <c r="P199" s="80">
        <v>18</v>
      </c>
      <c r="Q199" s="82">
        <f>Table1[[#This Row],[Office GFA (sf)]]/Table1[[#This Row],[No. of Storeys for Office]]</f>
        <v>19774.664000000001</v>
      </c>
      <c r="R199" s="82">
        <f>Table1[[#This Row],[Floor Plate (GFA) (sf)]]*0.75</f>
        <v>14830.998</v>
      </c>
      <c r="S199" s="80" t="str">
        <f t="shared" si="13"/>
        <v>No</v>
      </c>
      <c r="T199" s="82">
        <v>79567.899999999994</v>
      </c>
      <c r="U199" s="82">
        <f>Table1[[#This Row],[Total GFA (sm)]]*10.7639</f>
        <v>856460.91880999994</v>
      </c>
      <c r="V199" s="82">
        <f>33068</f>
        <v>33068</v>
      </c>
      <c r="W199" s="82">
        <f>V199*10.764</f>
        <v>355943.95199999999</v>
      </c>
      <c r="X199" s="82">
        <f>V199*0.75</f>
        <v>24801</v>
      </c>
      <c r="Y199" s="82">
        <f t="shared" si="15"/>
        <v>266957.96399999998</v>
      </c>
      <c r="Z199" s="82"/>
      <c r="AA199" s="82"/>
      <c r="AB199" s="82"/>
      <c r="AC199" s="82">
        <f t="shared" si="14"/>
        <v>266957.96399999998</v>
      </c>
      <c r="AD199" s="82">
        <f>IF(Table1[[#This Row],[For Sale or For Lease?]]="For Sale",Table1[[#This Row],[Office UFA (Net) (sf)]]-Table1[[#This Row],[Pre-leased space (Usable FA) (sf)]]-Table1[[#This Row],[Pre-sold (Usable FA) (sf)]]-Table1[[#This Row],[Self-use space (Usable FA) (sf)]],0)</f>
        <v>0</v>
      </c>
      <c r="AE199" s="82">
        <f>IF(Table1[[#This Row],[For Sale or For Lease?]]="Uncertain",Table1[[#This Row],[Office UFA (Net) (sf)]]-Table1[[#This Row],[Pre-leased space (Usable FA) (sf)]]-Table1[[#This Row],[Pre-sold (Usable FA) (sf)]]-Table1[[#This Row],[Self-use space (Usable FA) (sf)]],0)</f>
        <v>0</v>
      </c>
      <c r="AF199" s="86">
        <f>1-SUM(Table1[[#This Row],[Space available for lease (Usable FA) (sf)]:[Space available uncertain of use (Usable FA) (sf)]])/Table1[[#This Row],[Office UFA (Net) (sf)]]</f>
        <v>0</v>
      </c>
      <c r="AG199" s="79" t="s">
        <v>89</v>
      </c>
      <c r="AH199" s="84" t="s">
        <v>138</v>
      </c>
      <c r="AI199" s="79" t="s">
        <v>1387</v>
      </c>
      <c r="AJ199" s="83">
        <v>44958</v>
      </c>
      <c r="AK199" s="83">
        <v>45047</v>
      </c>
      <c r="AL199" s="85" t="s">
        <v>29</v>
      </c>
      <c r="AM199" s="85" t="s">
        <v>114</v>
      </c>
      <c r="AN199" s="79" t="s">
        <v>73</v>
      </c>
      <c r="AO199" s="77" t="s">
        <v>705</v>
      </c>
      <c r="AP199" s="77" t="s">
        <v>81</v>
      </c>
      <c r="AQ199" s="107" t="s">
        <v>2500</v>
      </c>
      <c r="AR199" s="79" t="s">
        <v>1813</v>
      </c>
      <c r="AS199" s="79" t="s">
        <v>2082</v>
      </c>
      <c r="AT199" s="80">
        <v>22.445430000000002</v>
      </c>
      <c r="AU199" s="80">
        <v>114.00017</v>
      </c>
      <c r="AV199" s="77" t="s">
        <v>2154</v>
      </c>
    </row>
    <row r="200" spans="1:48" ht="15" customHeight="1" x14ac:dyDescent="0.35">
      <c r="A200" s="77"/>
      <c r="B200" s="77" t="s">
        <v>1456</v>
      </c>
      <c r="C200" s="77" t="s">
        <v>1457</v>
      </c>
      <c r="D200" s="77"/>
      <c r="E200" s="79" t="s">
        <v>360</v>
      </c>
      <c r="F200" s="77" t="str">
        <f>VLOOKUP(Table1[[#This Row],[CBRE sub-markets]],Reference!$A$2:$B$31,2,FALSE)</f>
        <v>Hong Kong East</v>
      </c>
      <c r="G200" s="77">
        <f>VLOOKUP(Table1[[#This Row],[CBRE sub-markets]],Reference!$A$2:$D$31,3,FALSE)</f>
        <v>4</v>
      </c>
      <c r="H200" s="79" t="str">
        <f>VLOOKUP(Table1[[#This Row],[CBRE sub-markets]],Reference!$A$2:$D$31,4,FALSE)</f>
        <v>Hong Kong Island</v>
      </c>
      <c r="I200" s="80">
        <v>2030</v>
      </c>
      <c r="J200" s="80">
        <v>4</v>
      </c>
      <c r="K200" s="81" t="str">
        <f>IF(ISNUMBER(Table1[[#This Row],[Qtr]]),CONCATENATE(Table1[[#This Row],[Year]]," Q",Table1[[#This Row],[Qtr]]),CONCATENATE(Table1[[#This Row],[Year]],Table1[[#This Row],[Qtr]]))</f>
        <v>2030 Q4</v>
      </c>
      <c r="L200" s="80" t="s">
        <v>20</v>
      </c>
      <c r="M200" s="80" t="s">
        <v>83</v>
      </c>
      <c r="N200" s="80"/>
      <c r="O200" s="80"/>
      <c r="P200" s="80"/>
      <c r="Q200" s="82"/>
      <c r="R200" s="82"/>
      <c r="S200" s="80" t="str">
        <f t="shared" ref="S200:S231" si="16">IF(AND(ISNUMBER(R200),R200&gt;=15000),"Yes",IF(R200="","Unknown","No"))</f>
        <v>Unknown</v>
      </c>
      <c r="T200" s="82"/>
      <c r="U200" s="82"/>
      <c r="V200" s="82">
        <f>Table1[[#This Row],[Office GFA (sf)]]/10.764</f>
        <v>72375.975473801562</v>
      </c>
      <c r="W200" s="82">
        <f>(24847+27090)*15</f>
        <v>779055</v>
      </c>
      <c r="X200" s="82">
        <f>V200*0.9</f>
        <v>65138.37792642141</v>
      </c>
      <c r="Y200" s="82">
        <f>W200*0.9</f>
        <v>701149.5</v>
      </c>
      <c r="Z200" s="82"/>
      <c r="AA200" s="82"/>
      <c r="AB200" s="82"/>
      <c r="AC200" s="82">
        <f t="shared" si="14"/>
        <v>701149.5</v>
      </c>
      <c r="AD200" s="82">
        <f>IF(Table1[[#This Row],[For Sale or For Lease?]]="For Sale",Table1[[#This Row],[Office UFA (Net) (sf)]]-Table1[[#This Row],[Pre-leased space (Usable FA) (sf)]]-Table1[[#This Row],[Pre-sold (Usable FA) (sf)]]-Table1[[#This Row],[Self-use space (Usable FA) (sf)]],0)</f>
        <v>0</v>
      </c>
      <c r="AE200" s="82">
        <f>IF(Table1[[#This Row],[For Sale or For Lease?]]="Uncertain",Table1[[#This Row],[Office UFA (Net) (sf)]]-Table1[[#This Row],[Pre-leased space (Usable FA) (sf)]]-Table1[[#This Row],[Pre-sold (Usable FA) (sf)]]-Table1[[#This Row],[Self-use space (Usable FA) (sf)]],0)</f>
        <v>0</v>
      </c>
      <c r="AF200" s="86">
        <f>1-SUM(Table1[[#This Row],[Space available for lease (Usable FA) (sf)]:[Space available uncertain of use (Usable FA) (sf)]])/Table1[[#This Row],[Office UFA (Net) (sf)]]</f>
        <v>0</v>
      </c>
      <c r="AG200" s="79" t="s">
        <v>89</v>
      </c>
      <c r="AH200" s="84"/>
      <c r="AI200" s="79" t="s">
        <v>346</v>
      </c>
      <c r="AJ200" s="83">
        <v>43134</v>
      </c>
      <c r="AK200" s="83">
        <v>43137</v>
      </c>
      <c r="AL200" s="85" t="s">
        <v>30</v>
      </c>
      <c r="AM200" s="85" t="s">
        <v>779</v>
      </c>
      <c r="AN200" s="79" t="s">
        <v>73</v>
      </c>
      <c r="AO200" s="77" t="s">
        <v>705</v>
      </c>
      <c r="AP200" s="77" t="s">
        <v>81</v>
      </c>
      <c r="AQ200" s="77" t="s">
        <v>2448</v>
      </c>
      <c r="AR200" s="79" t="s">
        <v>1769</v>
      </c>
      <c r="AS200" s="79" t="s">
        <v>2031</v>
      </c>
      <c r="AT200" s="80">
        <v>22.285209999999999</v>
      </c>
      <c r="AU200" s="80">
        <v>114.21469999999999</v>
      </c>
      <c r="AV200" s="77"/>
    </row>
    <row r="201" spans="1:48" ht="15" customHeight="1" x14ac:dyDescent="0.35">
      <c r="A201" s="77"/>
      <c r="B201" s="77" t="s">
        <v>2491</v>
      </c>
      <c r="C201" s="77" t="s">
        <v>1647</v>
      </c>
      <c r="D201" s="77" t="s">
        <v>1648</v>
      </c>
      <c r="E201" s="79" t="s">
        <v>1</v>
      </c>
      <c r="F201" s="77" t="str">
        <f>VLOOKUP(Table1[[#This Row],[CBRE sub-markets]],Reference!$A$2:$B$31,2,FALSE)</f>
        <v>Central</v>
      </c>
      <c r="G201" s="77">
        <f>VLOOKUP(Table1[[#This Row],[CBRE sub-markets]],Reference!$A$2:$D$31,3,FALSE)</f>
        <v>1</v>
      </c>
      <c r="H201" s="79" t="str">
        <f>VLOOKUP(Table1[[#This Row],[CBRE sub-markets]],Reference!$A$2:$D$31,4,FALSE)</f>
        <v>Hong Kong Island</v>
      </c>
      <c r="I201" s="80">
        <v>2032</v>
      </c>
      <c r="J201" s="80">
        <v>4</v>
      </c>
      <c r="K201" s="81" t="str">
        <f>IF(ISNUMBER(Table1[[#This Row],[Qtr]]),CONCATENATE(Table1[[#This Row],[Year]]," Q",Table1[[#This Row],[Qtr]]),CONCATENATE(Table1[[#This Row],[Year]],Table1[[#This Row],[Qtr]]))</f>
        <v>2032 Q4</v>
      </c>
      <c r="L201" s="80" t="s">
        <v>20</v>
      </c>
      <c r="M201" s="80" t="s">
        <v>83</v>
      </c>
      <c r="N201" s="80">
        <v>1</v>
      </c>
      <c r="O201" s="80">
        <v>6</v>
      </c>
      <c r="P201" s="80">
        <v>6</v>
      </c>
      <c r="Q201" s="82">
        <f>+Table1[[#This Row],[Office GFA (sf)]]/6</f>
        <v>55000</v>
      </c>
      <c r="R201" s="82">
        <f>Table1[[#This Row],[Floor Plate (GFA) (sf)]]*0.8</f>
        <v>44000</v>
      </c>
      <c r="S201" s="80" t="str">
        <f t="shared" si="16"/>
        <v>Yes</v>
      </c>
      <c r="T201" s="82">
        <f>Table1[[#This Row],[Total GFA (sf)]]/10.7639</f>
        <v>91974.098607382082</v>
      </c>
      <c r="U201" s="82">
        <f>390000+600000</f>
        <v>990000</v>
      </c>
      <c r="V201" s="82">
        <f>Table1[[#This Row],[Office GFA (sf)]]/10.7639</f>
        <v>30658.032869127361</v>
      </c>
      <c r="W201" s="82">
        <v>330000</v>
      </c>
      <c r="X201" s="82">
        <f>V201*0.9</f>
        <v>27592.229582214626</v>
      </c>
      <c r="Y201" s="82">
        <f>W201*0.9</f>
        <v>297000</v>
      </c>
      <c r="Z201" s="82"/>
      <c r="AA201" s="82"/>
      <c r="AB201" s="82"/>
      <c r="AC201" s="82">
        <f t="shared" si="14"/>
        <v>297000</v>
      </c>
      <c r="AD201" s="82">
        <f>IF(Table1[[#This Row],[For Sale or For Lease?]]="For Sale",Table1[[#This Row],[Office UFA (Net) (sf)]]-Table1[[#This Row],[Pre-leased space (Usable FA) (sf)]]-Table1[[#This Row],[Pre-sold (Usable FA) (sf)]]-Table1[[#This Row],[Self-use space (Usable FA) (sf)]],0)</f>
        <v>0</v>
      </c>
      <c r="AE201" s="82">
        <f>IF(Table1[[#This Row],[For Sale or For Lease?]]="Uncertain",Table1[[#This Row],[Office UFA (Net) (sf)]]-Table1[[#This Row],[Pre-leased space (Usable FA) (sf)]]-Table1[[#This Row],[Pre-sold (Usable FA) (sf)]]-Table1[[#This Row],[Self-use space (Usable FA) (sf)]],0)</f>
        <v>0</v>
      </c>
      <c r="AF201" s="86">
        <f>1-SUM(Table1[[#This Row],[Space available for lease (Usable FA) (sf)]:[Space available uncertain of use (Usable FA) (sf)]])/Table1[[#This Row],[Office UFA (Net) (sf)]]</f>
        <v>0</v>
      </c>
      <c r="AG201" s="79" t="s">
        <v>89</v>
      </c>
      <c r="AH201" s="84"/>
      <c r="AI201" s="79" t="s">
        <v>486</v>
      </c>
      <c r="AJ201" s="83"/>
      <c r="AK201" s="83">
        <v>42431</v>
      </c>
      <c r="AL201" s="85" t="s">
        <v>32</v>
      </c>
      <c r="AM201" s="85" t="s">
        <v>129</v>
      </c>
      <c r="AN201" s="79" t="s">
        <v>74</v>
      </c>
      <c r="AO201" s="77" t="s">
        <v>705</v>
      </c>
      <c r="AP201" s="77" t="s">
        <v>81</v>
      </c>
      <c r="AQ201" s="107" t="s">
        <v>2489</v>
      </c>
      <c r="AR201" s="79" t="s">
        <v>1767</v>
      </c>
      <c r="AS201" s="79" t="s">
        <v>2072</v>
      </c>
      <c r="AT201" s="80">
        <v>22.2834</v>
      </c>
      <c r="AU201" s="80">
        <v>114.15993</v>
      </c>
      <c r="AV201" s="77" t="s">
        <v>2177</v>
      </c>
    </row>
    <row r="202" spans="1:48" ht="15" hidden="1" customHeight="1" x14ac:dyDescent="0.35">
      <c r="A202" s="77"/>
      <c r="B202" s="77" t="s">
        <v>1312</v>
      </c>
      <c r="C202" s="77" t="s">
        <v>1313</v>
      </c>
      <c r="D202" s="77"/>
      <c r="E202" s="79" t="s">
        <v>360</v>
      </c>
      <c r="F202" s="77" t="str">
        <f>VLOOKUP(Table1[[#This Row],[CBRE sub-markets]],Reference!$A$2:$B$31,2,FALSE)</f>
        <v>Hong Kong East</v>
      </c>
      <c r="G202" s="77">
        <f>VLOOKUP(Table1[[#This Row],[CBRE sub-markets]],Reference!$A$2:$D$31,3,FALSE)</f>
        <v>4</v>
      </c>
      <c r="H202" s="79" t="str">
        <f>VLOOKUP(Table1[[#This Row],[CBRE sub-markets]],Reference!$A$2:$D$31,4,FALSE)</f>
        <v>Hong Kong Island</v>
      </c>
      <c r="I202" s="80" t="s">
        <v>1369</v>
      </c>
      <c r="J202" s="80"/>
      <c r="K202" s="81" t="str">
        <f>IF(ISNUMBER(Table1[[#This Row],[Qtr]]),CONCATENATE(Table1[[#This Row],[Year]]," Q",Table1[[#This Row],[Qtr]]),CONCATENATE(Table1[[#This Row],[Year]],Table1[[#This Row],[Qtr]]))</f>
        <v>2022-2026</v>
      </c>
      <c r="L202" s="80" t="s">
        <v>20</v>
      </c>
      <c r="M202" s="80" t="s">
        <v>86</v>
      </c>
      <c r="N202" s="80">
        <v>1</v>
      </c>
      <c r="O202" s="80"/>
      <c r="P202" s="80"/>
      <c r="Q202" s="82"/>
      <c r="R202" s="82"/>
      <c r="S202" s="80" t="str">
        <f t="shared" si="16"/>
        <v>Unknown</v>
      </c>
      <c r="T202" s="82"/>
      <c r="U202" s="82"/>
      <c r="V202" s="82">
        <f>Table1[[#This Row],[Office GFA (sf)]]/10.764</f>
        <v>23010.033444816054</v>
      </c>
      <c r="W202" s="82">
        <v>247680</v>
      </c>
      <c r="X202" s="82">
        <f t="shared" ref="X202:Y207" si="17">V202*0.75</f>
        <v>17257.525083612039</v>
      </c>
      <c r="Y202" s="82">
        <f t="shared" si="17"/>
        <v>185760</v>
      </c>
      <c r="Z202" s="82"/>
      <c r="AA202" s="82"/>
      <c r="AB202" s="82"/>
      <c r="AC202" s="82">
        <f t="shared" si="14"/>
        <v>185760</v>
      </c>
      <c r="AD202" s="82">
        <f>IF(Table1[[#This Row],[For Sale or For Lease?]]="For Sale",Table1[[#This Row],[Office UFA (Net) (sf)]]-Table1[[#This Row],[Pre-leased space (Usable FA) (sf)]]-Table1[[#This Row],[Pre-sold (Usable FA) (sf)]]-Table1[[#This Row],[Self-use space (Usable FA) (sf)]],0)</f>
        <v>0</v>
      </c>
      <c r="AE202" s="82">
        <f>IF(Table1[[#This Row],[For Sale or For Lease?]]="Uncertain",Table1[[#This Row],[Office UFA (Net) (sf)]]-Table1[[#This Row],[Pre-leased space (Usable FA) (sf)]]-Table1[[#This Row],[Pre-sold (Usable FA) (sf)]]-Table1[[#This Row],[Self-use space (Usable FA) (sf)]],0)</f>
        <v>0</v>
      </c>
      <c r="AF202" s="86">
        <f>1-SUM(Table1[[#This Row],[Space available for lease (Usable FA) (sf)]:[Space available uncertain of use (Usable FA) (sf)]])/Table1[[#This Row],[Office UFA (Net) (sf)]]</f>
        <v>0</v>
      </c>
      <c r="AG202" s="79" t="s">
        <v>89</v>
      </c>
      <c r="AH202" s="84"/>
      <c r="AI202" s="79"/>
      <c r="AJ202" s="83"/>
      <c r="AK202" s="83">
        <v>42436</v>
      </c>
      <c r="AL202" s="85" t="s">
        <v>30</v>
      </c>
      <c r="AM202" s="85" t="s">
        <v>129</v>
      </c>
      <c r="AN202" s="79" t="s">
        <v>73</v>
      </c>
      <c r="AO202" s="77" t="s">
        <v>705</v>
      </c>
      <c r="AP202" s="77" t="s">
        <v>81</v>
      </c>
      <c r="AQ202" s="77" t="s">
        <v>1334</v>
      </c>
      <c r="AR202" s="79" t="s">
        <v>1770</v>
      </c>
      <c r="AS202" s="79" t="s">
        <v>2042</v>
      </c>
      <c r="AT202" s="80"/>
      <c r="AU202" s="80"/>
      <c r="AV202" s="77"/>
    </row>
    <row r="203" spans="1:48" ht="15" hidden="1" customHeight="1" x14ac:dyDescent="0.35">
      <c r="A203" s="77"/>
      <c r="B203" s="77" t="s">
        <v>1254</v>
      </c>
      <c r="C203" s="77" t="s">
        <v>1254</v>
      </c>
      <c r="D203" s="77"/>
      <c r="E203" s="79" t="s">
        <v>171</v>
      </c>
      <c r="F203" s="77" t="str">
        <f>VLOOKUP(Table1[[#This Row],[CBRE sub-markets]],Reference!$A$2:$B$31,2,FALSE)</f>
        <v>Kowloon East</v>
      </c>
      <c r="G203" s="77">
        <f>VLOOKUP(Table1[[#This Row],[CBRE sub-markets]],Reference!$A$2:$D$31,3,FALSE)</f>
        <v>7</v>
      </c>
      <c r="H203" s="79" t="str">
        <f>VLOOKUP(Table1[[#This Row],[CBRE sub-markets]],Reference!$A$2:$D$31,4,FALSE)</f>
        <v>Kowloon</v>
      </c>
      <c r="I203" s="80" t="s">
        <v>1369</v>
      </c>
      <c r="J203" s="80"/>
      <c r="K203" s="81" t="str">
        <f>IF(ISNUMBER(Table1[[#This Row],[Qtr]]),CONCATENATE(Table1[[#This Row],[Year]]," Q",Table1[[#This Row],[Qtr]]),CONCATENATE(Table1[[#This Row],[Year]],Table1[[#This Row],[Qtr]]))</f>
        <v>2022-2026</v>
      </c>
      <c r="L203" s="80" t="s">
        <v>20</v>
      </c>
      <c r="M203" s="80" t="s">
        <v>86</v>
      </c>
      <c r="N203" s="80">
        <v>5</v>
      </c>
      <c r="O203" s="80"/>
      <c r="P203" s="80"/>
      <c r="Q203" s="82"/>
      <c r="R203" s="82"/>
      <c r="S203" s="80" t="str">
        <f t="shared" si="16"/>
        <v>Unknown</v>
      </c>
      <c r="T203" s="82"/>
      <c r="U203" s="82"/>
      <c r="V203" s="82">
        <f>499300*0.576</f>
        <v>287596.79999999999</v>
      </c>
      <c r="W203" s="82">
        <f>V203*10.764</f>
        <v>3095691.9551999997</v>
      </c>
      <c r="X203" s="82">
        <f t="shared" si="17"/>
        <v>215697.59999999998</v>
      </c>
      <c r="Y203" s="82">
        <f t="shared" si="17"/>
        <v>2321768.9663999998</v>
      </c>
      <c r="Z203" s="82"/>
      <c r="AA203" s="82"/>
      <c r="AB203" s="82"/>
      <c r="AC203" s="82">
        <f t="shared" si="14"/>
        <v>0</v>
      </c>
      <c r="AD203" s="82">
        <f>IF(Table1[[#This Row],[For Sale or For Lease?]]="For Sale",Table1[[#This Row],[Office UFA (Net) (sf)]]-Table1[[#This Row],[Pre-leased space (Usable FA) (sf)]]-Table1[[#This Row],[Pre-sold (Usable FA) (sf)]]-Table1[[#This Row],[Self-use space (Usable FA) (sf)]],0)</f>
        <v>0</v>
      </c>
      <c r="AE203" s="82">
        <f>IF(Table1[[#This Row],[For Sale or For Lease?]]="Uncertain",Table1[[#This Row],[Office UFA (Net) (sf)]]-Table1[[#This Row],[Pre-leased space (Usable FA) (sf)]]-Table1[[#This Row],[Pre-sold (Usable FA) (sf)]]-Table1[[#This Row],[Self-use space (Usable FA) (sf)]],0)</f>
        <v>2321768.9663999998</v>
      </c>
      <c r="AF203" s="86">
        <f>1-SUM(Table1[[#This Row],[Space available for lease (Usable FA) (sf)]:[Space available uncertain of use (Usable FA) (sf)]])/Table1[[#This Row],[Office UFA (Net) (sf)]]</f>
        <v>0</v>
      </c>
      <c r="AG203" s="79" t="s">
        <v>89</v>
      </c>
      <c r="AH203" s="84"/>
      <c r="AI203" s="79"/>
      <c r="AJ203" s="83"/>
      <c r="AK203" s="83">
        <v>42433</v>
      </c>
      <c r="AL203" s="85" t="s">
        <v>32</v>
      </c>
      <c r="AM203" s="85"/>
      <c r="AN203" s="79" t="s">
        <v>74</v>
      </c>
      <c r="AO203" s="77" t="s">
        <v>1068</v>
      </c>
      <c r="AP203" s="77" t="s">
        <v>1068</v>
      </c>
      <c r="AQ203" s="77" t="s">
        <v>1327</v>
      </c>
      <c r="AR203" s="79" t="s">
        <v>1772</v>
      </c>
      <c r="AS203" s="79" t="s">
        <v>1988</v>
      </c>
      <c r="AT203" s="80"/>
      <c r="AU203" s="80"/>
      <c r="AV203" s="77"/>
    </row>
    <row r="204" spans="1:48" ht="15" hidden="1" customHeight="1" x14ac:dyDescent="0.35">
      <c r="A204" s="77"/>
      <c r="B204" s="77" t="s">
        <v>1253</v>
      </c>
      <c r="C204" s="77" t="s">
        <v>1253</v>
      </c>
      <c r="D204" s="77"/>
      <c r="E204" s="79" t="s">
        <v>171</v>
      </c>
      <c r="F204" s="77" t="str">
        <f>VLOOKUP(Table1[[#This Row],[CBRE sub-markets]],Reference!$A$2:$B$31,2,FALSE)</f>
        <v>Kowloon East</v>
      </c>
      <c r="G204" s="77">
        <f>VLOOKUP(Table1[[#This Row],[CBRE sub-markets]],Reference!$A$2:$D$31,3,FALSE)</f>
        <v>7</v>
      </c>
      <c r="H204" s="79" t="str">
        <f>VLOOKUP(Table1[[#This Row],[CBRE sub-markets]],Reference!$A$2:$D$31,4,FALSE)</f>
        <v>Kowloon</v>
      </c>
      <c r="I204" s="80" t="s">
        <v>1369</v>
      </c>
      <c r="J204" s="80"/>
      <c r="K204" s="81" t="str">
        <f>IF(ISNUMBER(Table1[[#This Row],[Qtr]]),CONCATENATE(Table1[[#This Row],[Year]]," Q",Table1[[#This Row],[Qtr]]),CONCATENATE(Table1[[#This Row],[Year]],Table1[[#This Row],[Qtr]]))</f>
        <v>2022-2026</v>
      </c>
      <c r="L204" s="80" t="s">
        <v>20</v>
      </c>
      <c r="M204" s="80" t="s">
        <v>86</v>
      </c>
      <c r="N204" s="80">
        <v>1</v>
      </c>
      <c r="O204" s="80">
        <v>35</v>
      </c>
      <c r="P204" s="80">
        <v>35</v>
      </c>
      <c r="Q204" s="82">
        <f>Table1[[#This Row],[Office GFA (sf)]]/Table1[[#This Row],[No. of Storeys]]</f>
        <v>25508.83474285714</v>
      </c>
      <c r="R204" s="82">
        <f>Table1[[#This Row],[Office UFA (Net) (sf)]]/Table1[[#This Row],[No. of Storeys for Office]]</f>
        <v>19131.626057142854</v>
      </c>
      <c r="S204" s="80" t="str">
        <f t="shared" si="16"/>
        <v>Yes</v>
      </c>
      <c r="T204" s="82"/>
      <c r="U204" s="82"/>
      <c r="V204" s="82">
        <f>6912*12</f>
        <v>82944</v>
      </c>
      <c r="W204" s="82">
        <f>V204*10.764</f>
        <v>892809.2159999999</v>
      </c>
      <c r="X204" s="82">
        <f t="shared" si="17"/>
        <v>62208</v>
      </c>
      <c r="Y204" s="82">
        <f t="shared" si="17"/>
        <v>669606.91199999989</v>
      </c>
      <c r="Z204" s="82"/>
      <c r="AA204" s="82"/>
      <c r="AB204" s="82"/>
      <c r="AC204" s="82">
        <f t="shared" si="14"/>
        <v>0</v>
      </c>
      <c r="AD204" s="82">
        <f>IF(Table1[[#This Row],[For Sale or For Lease?]]="For Sale",Table1[[#This Row],[Office UFA (Net) (sf)]]-Table1[[#This Row],[Pre-leased space (Usable FA) (sf)]]-Table1[[#This Row],[Pre-sold (Usable FA) (sf)]]-Table1[[#This Row],[Self-use space (Usable FA) (sf)]],0)</f>
        <v>0</v>
      </c>
      <c r="AE204" s="82">
        <f>IF(Table1[[#This Row],[For Sale or For Lease?]]="Uncertain",Table1[[#This Row],[Office UFA (Net) (sf)]]-Table1[[#This Row],[Pre-leased space (Usable FA) (sf)]]-Table1[[#This Row],[Pre-sold (Usable FA) (sf)]]-Table1[[#This Row],[Self-use space (Usable FA) (sf)]],0)</f>
        <v>669606.91199999989</v>
      </c>
      <c r="AF204" s="86">
        <f>1-SUM(Table1[[#This Row],[Space available for lease (Usable FA) (sf)]:[Space available uncertain of use (Usable FA) (sf)]])/Table1[[#This Row],[Office UFA (Net) (sf)]]</f>
        <v>0</v>
      </c>
      <c r="AG204" s="79" t="s">
        <v>89</v>
      </c>
      <c r="AH204" s="84"/>
      <c r="AI204" s="79"/>
      <c r="AJ204" s="83"/>
      <c r="AK204" s="83">
        <v>42433</v>
      </c>
      <c r="AL204" s="85" t="s">
        <v>29</v>
      </c>
      <c r="AM204" s="85"/>
      <c r="AN204" s="79" t="s">
        <v>74</v>
      </c>
      <c r="AO204" s="77" t="s">
        <v>1068</v>
      </c>
      <c r="AP204" s="77" t="s">
        <v>1068</v>
      </c>
      <c r="AQ204" s="77" t="s">
        <v>485</v>
      </c>
      <c r="AR204" s="79" t="s">
        <v>1773</v>
      </c>
      <c r="AS204" s="79" t="s">
        <v>1997</v>
      </c>
      <c r="AT204" s="80"/>
      <c r="AU204" s="80"/>
      <c r="AV204" s="77"/>
    </row>
    <row r="205" spans="1:48" ht="15" hidden="1" customHeight="1" x14ac:dyDescent="0.35">
      <c r="A205" s="77"/>
      <c r="B205" s="77" t="s">
        <v>1318</v>
      </c>
      <c r="C205" s="77" t="s">
        <v>1050</v>
      </c>
      <c r="D205" s="77"/>
      <c r="E205" s="79" t="s">
        <v>8</v>
      </c>
      <c r="F205" s="77" t="str">
        <f>VLOOKUP(Table1[[#This Row],[CBRE sub-markets]],Reference!$A$2:$B$31,2,FALSE)</f>
        <v>Tsim Sha Tsui</v>
      </c>
      <c r="G205" s="77">
        <f>VLOOKUP(Table1[[#This Row],[CBRE sub-markets]],Reference!$A$2:$D$31,3,FALSE)</f>
        <v>6</v>
      </c>
      <c r="H205" s="79" t="str">
        <f>VLOOKUP(Table1[[#This Row],[CBRE sub-markets]],Reference!$A$2:$D$31,4,FALSE)</f>
        <v>Kowloon</v>
      </c>
      <c r="I205" s="80" t="s">
        <v>1369</v>
      </c>
      <c r="J205" s="80"/>
      <c r="K205" s="81" t="str">
        <f>IF(ISNUMBER(Table1[[#This Row],[Qtr]]),CONCATENATE(Table1[[#This Row],[Year]]," Q",Table1[[#This Row],[Qtr]]),CONCATENATE(Table1[[#This Row],[Year]],Table1[[#This Row],[Qtr]]))</f>
        <v>2022-2026</v>
      </c>
      <c r="L205" s="80" t="s">
        <v>20</v>
      </c>
      <c r="M205" s="80" t="s">
        <v>86</v>
      </c>
      <c r="N205" s="80">
        <v>1</v>
      </c>
      <c r="O205" s="80"/>
      <c r="P205" s="80"/>
      <c r="Q205" s="82"/>
      <c r="R205" s="82"/>
      <c r="S205" s="80" t="str">
        <f t="shared" si="16"/>
        <v>Unknown</v>
      </c>
      <c r="T205" s="82"/>
      <c r="U205" s="82"/>
      <c r="V205" s="82">
        <f>2688*12</f>
        <v>32256</v>
      </c>
      <c r="W205" s="82">
        <f>Table1[[#This Row],[Office GFA (sm)]]*10.764</f>
        <v>347203.58399999997</v>
      </c>
      <c r="X205" s="82">
        <f t="shared" si="17"/>
        <v>24192</v>
      </c>
      <c r="Y205" s="82">
        <f t="shared" si="17"/>
        <v>260402.68799999997</v>
      </c>
      <c r="Z205" s="82"/>
      <c r="AA205" s="82"/>
      <c r="AB205" s="82"/>
      <c r="AC205" s="82">
        <f t="shared" si="14"/>
        <v>0</v>
      </c>
      <c r="AD205" s="82">
        <f>IF(Table1[[#This Row],[For Sale or For Lease?]]="For Sale",Table1[[#This Row],[Office UFA (Net) (sf)]]-Table1[[#This Row],[Pre-leased space (Usable FA) (sf)]]-Table1[[#This Row],[Pre-sold (Usable FA) (sf)]]-Table1[[#This Row],[Self-use space (Usable FA) (sf)]],0)</f>
        <v>0</v>
      </c>
      <c r="AE205" s="82">
        <f>IF(Table1[[#This Row],[For Sale or For Lease?]]="Uncertain",Table1[[#This Row],[Office UFA (Net) (sf)]]-Table1[[#This Row],[Pre-leased space (Usable FA) (sf)]]-Table1[[#This Row],[Pre-sold (Usable FA) (sf)]]-Table1[[#This Row],[Self-use space (Usable FA) (sf)]],0)</f>
        <v>260402.68799999997</v>
      </c>
      <c r="AF205" s="86">
        <f>1-SUM(Table1[[#This Row],[Space available for lease (Usable FA) (sf)]:[Space available uncertain of use (Usable FA) (sf)]])/Table1[[#This Row],[Office UFA (Net) (sf)]]</f>
        <v>0</v>
      </c>
      <c r="AG205" s="79" t="s">
        <v>89</v>
      </c>
      <c r="AH205" s="84"/>
      <c r="AI205" s="79"/>
      <c r="AJ205" s="83"/>
      <c r="AK205" s="83">
        <v>42436</v>
      </c>
      <c r="AL205" s="85" t="s">
        <v>30</v>
      </c>
      <c r="AM205" s="85" t="s">
        <v>779</v>
      </c>
      <c r="AN205" s="79" t="s">
        <v>73</v>
      </c>
      <c r="AO205" s="77" t="s">
        <v>1068</v>
      </c>
      <c r="AP205" s="77" t="s">
        <v>1068</v>
      </c>
      <c r="AQ205" s="77"/>
      <c r="AR205" s="79" t="s">
        <v>1771</v>
      </c>
      <c r="AS205" s="79"/>
      <c r="AT205" s="80"/>
      <c r="AU205" s="80"/>
      <c r="AV205" s="77"/>
    </row>
    <row r="206" spans="1:48" ht="15" hidden="1" customHeight="1" x14ac:dyDescent="0.35">
      <c r="A206" s="77"/>
      <c r="B206" s="77" t="s">
        <v>622</v>
      </c>
      <c r="C206" s="77" t="s">
        <v>623</v>
      </c>
      <c r="D206" s="77"/>
      <c r="E206" s="79" t="s">
        <v>3</v>
      </c>
      <c r="F206" s="77" t="str">
        <f>VLOOKUP(Table1[[#This Row],[CBRE sub-markets]],Reference!$A$2:$B$31,2,FALSE)</f>
        <v>Admiralty &amp; Sheung Wan</v>
      </c>
      <c r="G206" s="77">
        <f>VLOOKUP(Table1[[#This Row],[CBRE sub-markets]],Reference!$A$2:$D$31,3,FALSE)</f>
        <v>2</v>
      </c>
      <c r="H206" s="79" t="str">
        <f>VLOOKUP(Table1[[#This Row],[CBRE sub-markets]],Reference!$A$2:$D$31,4,FALSE)</f>
        <v>Hong Kong Island</v>
      </c>
      <c r="I206" s="80" t="s">
        <v>1467</v>
      </c>
      <c r="J206" s="80"/>
      <c r="K206" s="81" t="str">
        <f>IF(ISNUMBER(Table1[[#This Row],[Qtr]]),CONCATENATE(Table1[[#This Row],[Year]]," Q",Table1[[#This Row],[Qtr]]),CONCATENATE(Table1[[#This Row],[Year]],Table1[[#This Row],[Qtr]]))</f>
        <v>2023-2027</v>
      </c>
      <c r="L206" s="80" t="s">
        <v>20</v>
      </c>
      <c r="M206" s="80" t="s">
        <v>86</v>
      </c>
      <c r="N206" s="80">
        <v>1</v>
      </c>
      <c r="O206" s="80">
        <v>30</v>
      </c>
      <c r="P206" s="80">
        <v>30</v>
      </c>
      <c r="Q206" s="82">
        <f>Table1[[#This Row],[Office GFA (sf)]]/Table1[[#This Row],[No. of Storeys]]</f>
        <v>8970</v>
      </c>
      <c r="R206" s="82">
        <f>Table1[[#This Row],[Office UFA (Net) (sf)]]/Table1[[#This Row],[No. of Storeys]]</f>
        <v>6727.5</v>
      </c>
      <c r="S206" s="80" t="str">
        <f t="shared" si="16"/>
        <v>No</v>
      </c>
      <c r="T206" s="82"/>
      <c r="U206" s="82"/>
      <c r="V206" s="82">
        <v>25000</v>
      </c>
      <c r="W206" s="82">
        <f>Table1[[#This Row],[Office GFA (sm)]]*10.764</f>
        <v>269100</v>
      </c>
      <c r="X206" s="82">
        <f t="shared" si="17"/>
        <v>18750</v>
      </c>
      <c r="Y206" s="82">
        <f t="shared" si="17"/>
        <v>201825</v>
      </c>
      <c r="Z206" s="82"/>
      <c r="AA206" s="82"/>
      <c r="AB206" s="82"/>
      <c r="AC206" s="82">
        <f t="shared" si="14"/>
        <v>201825</v>
      </c>
      <c r="AD206" s="82">
        <f>IF(Table1[[#This Row],[For Sale or For Lease?]]="For Sale",Table1[[#This Row],[Office UFA (Net) (sf)]]-Table1[[#This Row],[Pre-leased space (Usable FA) (sf)]]-Table1[[#This Row],[Pre-sold (Usable FA) (sf)]]-Table1[[#This Row],[Self-use space (Usable FA) (sf)]],0)</f>
        <v>0</v>
      </c>
      <c r="AE206" s="82">
        <f>IF(Table1[[#This Row],[For Sale or For Lease?]]="Uncertain",Table1[[#This Row],[Office UFA (Net) (sf)]]-Table1[[#This Row],[Pre-leased space (Usable FA) (sf)]]-Table1[[#This Row],[Pre-sold (Usable FA) (sf)]]-Table1[[#This Row],[Self-use space (Usable FA) (sf)]],0)</f>
        <v>0</v>
      </c>
      <c r="AF206" s="86">
        <f>1-SUM(Table1[[#This Row],[Space available for lease (Usable FA) (sf)]:[Space available uncertain of use (Usable FA) (sf)]])/Table1[[#This Row],[Office UFA (Net) (sf)]]</f>
        <v>0</v>
      </c>
      <c r="AG206" s="79" t="s">
        <v>89</v>
      </c>
      <c r="AH206" s="84"/>
      <c r="AI206" s="79" t="s">
        <v>474</v>
      </c>
      <c r="AJ206" s="83">
        <v>40127</v>
      </c>
      <c r="AK206" s="83">
        <v>42431</v>
      </c>
      <c r="AL206" s="85" t="s">
        <v>29</v>
      </c>
      <c r="AM206" s="85"/>
      <c r="AN206" s="79" t="s">
        <v>74</v>
      </c>
      <c r="AO206" s="77" t="s">
        <v>705</v>
      </c>
      <c r="AP206" s="77" t="s">
        <v>81</v>
      </c>
      <c r="AQ206" s="77" t="s">
        <v>1477</v>
      </c>
      <c r="AR206" s="79" t="s">
        <v>1774</v>
      </c>
      <c r="AS206" s="79"/>
      <c r="AT206" s="80"/>
      <c r="AU206" s="80"/>
      <c r="AV206" s="77"/>
    </row>
    <row r="207" spans="1:48" ht="15" hidden="1" customHeight="1" x14ac:dyDescent="0.35">
      <c r="A207" s="77"/>
      <c r="B207" s="77" t="s">
        <v>1314</v>
      </c>
      <c r="C207" s="77" t="s">
        <v>1316</v>
      </c>
      <c r="D207" s="77"/>
      <c r="E207" s="79" t="s">
        <v>730</v>
      </c>
      <c r="F207" s="77" t="str">
        <f>VLOOKUP(Table1[[#This Row],[CBRE sub-markets]],Reference!$A$2:$B$31,2,FALSE)</f>
        <v>Kowloon Others</v>
      </c>
      <c r="G207" s="77">
        <f>VLOOKUP(Table1[[#This Row],[CBRE sub-markets]],Reference!$A$2:$D$31,3,FALSE)</f>
        <v>8</v>
      </c>
      <c r="H207" s="79" t="str">
        <f>VLOOKUP(Table1[[#This Row],[CBRE sub-markets]],Reference!$A$2:$D$31,4,FALSE)</f>
        <v>Kowloon</v>
      </c>
      <c r="I207" s="80" t="s">
        <v>1467</v>
      </c>
      <c r="J207" s="80"/>
      <c r="K207" s="81" t="str">
        <f>IF(ISNUMBER(Table1[[#This Row],[Qtr]]),CONCATENATE(Table1[[#This Row],[Year]]," Q",Table1[[#This Row],[Qtr]]),CONCATENATE(Table1[[#This Row],[Year]],Table1[[#This Row],[Qtr]]))</f>
        <v>2023-2027</v>
      </c>
      <c r="L207" s="80" t="s">
        <v>20</v>
      </c>
      <c r="M207" s="80" t="s">
        <v>86</v>
      </c>
      <c r="N207" s="80">
        <v>1</v>
      </c>
      <c r="O207" s="80">
        <v>14</v>
      </c>
      <c r="P207" s="80">
        <v>13</v>
      </c>
      <c r="Q207" s="82">
        <f>Table1[[#This Row],[Office GFA (sf)]]/Table1[[#This Row],[No. of Storeys]]</f>
        <v>14164.655142857142</v>
      </c>
      <c r="R207" s="82">
        <f>Table1[[#This Row],[Office UFA (Net) (sf)]]/Table1[[#This Row],[No. of Storeys]]</f>
        <v>10623.491357142857</v>
      </c>
      <c r="S207" s="80" t="str">
        <f t="shared" si="16"/>
        <v>No</v>
      </c>
      <c r="T207" s="82"/>
      <c r="U207" s="82"/>
      <c r="V207" s="82">
        <v>18423</v>
      </c>
      <c r="W207" s="82">
        <f>Table1[[#This Row],[Office GFA (sm)]]*10.764</f>
        <v>198305.17199999999</v>
      </c>
      <c r="X207" s="82">
        <f t="shared" si="17"/>
        <v>13817.25</v>
      </c>
      <c r="Y207" s="82">
        <f t="shared" si="17"/>
        <v>148728.87899999999</v>
      </c>
      <c r="Z207" s="82"/>
      <c r="AA207" s="82"/>
      <c r="AB207" s="82"/>
      <c r="AC207" s="82">
        <f t="shared" si="14"/>
        <v>148728.87899999999</v>
      </c>
      <c r="AD207" s="82">
        <f>IF(Table1[[#This Row],[For Sale or For Lease?]]="For Sale",Table1[[#This Row],[Office UFA (Net) (sf)]]-Table1[[#This Row],[Pre-leased space (Usable FA) (sf)]]-Table1[[#This Row],[Pre-sold (Usable FA) (sf)]]-Table1[[#This Row],[Self-use space (Usable FA) (sf)]],0)</f>
        <v>0</v>
      </c>
      <c r="AE207" s="82">
        <f>IF(Table1[[#This Row],[For Sale or For Lease?]]="Uncertain",Table1[[#This Row],[Office UFA (Net) (sf)]]-Table1[[#This Row],[Pre-leased space (Usable FA) (sf)]]-Table1[[#This Row],[Pre-sold (Usable FA) (sf)]]-Table1[[#This Row],[Self-use space (Usable FA) (sf)]],0)</f>
        <v>0</v>
      </c>
      <c r="AF207" s="86">
        <f>1-SUM(Table1[[#This Row],[Space available for lease (Usable FA) (sf)]:[Space available uncertain of use (Usable FA) (sf)]])/Table1[[#This Row],[Office UFA (Net) (sf)]]</f>
        <v>0</v>
      </c>
      <c r="AG207" s="79" t="s">
        <v>89</v>
      </c>
      <c r="AH207" s="84"/>
      <c r="AI207" s="79" t="s">
        <v>1315</v>
      </c>
      <c r="AJ207" s="83">
        <v>43040</v>
      </c>
      <c r="AK207" s="83">
        <v>43179</v>
      </c>
      <c r="AL207" s="85" t="s">
        <v>30</v>
      </c>
      <c r="AM207" s="85" t="s">
        <v>129</v>
      </c>
      <c r="AN207" s="79" t="s">
        <v>73</v>
      </c>
      <c r="AO207" s="77" t="s">
        <v>705</v>
      </c>
      <c r="AP207" s="77" t="s">
        <v>81</v>
      </c>
      <c r="AQ207" s="77" t="s">
        <v>1471</v>
      </c>
      <c r="AR207" s="79" t="s">
        <v>1775</v>
      </c>
      <c r="AS207" s="79"/>
      <c r="AT207" s="80"/>
      <c r="AU207" s="80"/>
      <c r="AV207" s="77"/>
    </row>
    <row r="208" spans="1:48" ht="15" hidden="1" customHeight="1" x14ac:dyDescent="0.35">
      <c r="A208" s="77"/>
      <c r="B208" s="77" t="s">
        <v>1414</v>
      </c>
      <c r="C208" s="77" t="s">
        <v>1414</v>
      </c>
      <c r="D208" s="77"/>
      <c r="E208" s="79" t="s">
        <v>11</v>
      </c>
      <c r="F208" s="77" t="str">
        <f>VLOOKUP(Table1[[#This Row],[CBRE sub-markets]],Reference!$A$2:$B$31,2,FALSE)</f>
        <v>Kowloon Others</v>
      </c>
      <c r="G208" s="77">
        <f>VLOOKUP(Table1[[#This Row],[CBRE sub-markets]],Reference!$A$2:$D$31,3,FALSE)</f>
        <v>8</v>
      </c>
      <c r="H208" s="79" t="str">
        <f>VLOOKUP(Table1[[#This Row],[CBRE sub-markets]],Reference!$A$2:$D$31,4,FALSE)</f>
        <v>Kowloon</v>
      </c>
      <c r="I208" s="80" t="s">
        <v>1467</v>
      </c>
      <c r="J208" s="80"/>
      <c r="K208" s="81" t="str">
        <f>IF(ISNUMBER(Table1[[#This Row],[Qtr]]),CONCATENATE(Table1[[#This Row],[Year]]," Q",Table1[[#This Row],[Qtr]]),CONCATENATE(Table1[[#This Row],[Year]],Table1[[#This Row],[Qtr]]))</f>
        <v>2023-2027</v>
      </c>
      <c r="L208" s="80" t="s">
        <v>20</v>
      </c>
      <c r="M208" s="80" t="s">
        <v>86</v>
      </c>
      <c r="N208" s="80">
        <v>1</v>
      </c>
      <c r="O208" s="80"/>
      <c r="P208" s="80"/>
      <c r="Q208" s="82">
        <f>1614.5*10.7639*33.3%</f>
        <v>5786.9794111499996</v>
      </c>
      <c r="R208" s="82">
        <f>Q208*0.75</f>
        <v>4340.2345583624992</v>
      </c>
      <c r="S208" s="80" t="str">
        <f t="shared" si="16"/>
        <v>No</v>
      </c>
      <c r="T208" s="82"/>
      <c r="U208" s="82"/>
      <c r="V208" s="82">
        <f>Table1[[#This Row],[Office GFA (sf)]]/10.7639</f>
        <v>8064.4274999999998</v>
      </c>
      <c r="W208" s="82">
        <f>Table1[[#This Row],[Floor Plate (GFA) (sf)]]*15</f>
        <v>86804.691167249999</v>
      </c>
      <c r="X208" s="82">
        <f>Table1[[#This Row],[Office GFA (sm)]]*0.7</f>
        <v>5645.0992499999993</v>
      </c>
      <c r="Y208" s="82">
        <f>X208*10.764</f>
        <v>60763.848326999992</v>
      </c>
      <c r="Z208" s="82"/>
      <c r="AA208" s="82"/>
      <c r="AB208" s="82"/>
      <c r="AC208" s="82">
        <f>IF(Table1[[#This Row],[For Sale or For Lease?]]="For Lease",Table1[[#This Row],[Office UFA (Net) (sf)]]-Table1[[#This Row],[Pre-leased space (Usable FA) (sf)]]-Table1[[#This Row],[Pre-sold (Usable FA) (sf)]]-Table1[[#This Row],[Self-use space (Usable FA) (sf)]],0)</f>
        <v>0</v>
      </c>
      <c r="AD208" s="82">
        <f>IF(Table1[[#This Row],[For Sale or For Lease?]]="For Sale",Table1[[#This Row],[Office UFA (Net) (sf)]]-Table1[[#This Row],[Pre-leased space (Usable FA) (sf)]]-Table1[[#This Row],[Pre-sold (Usable FA) (sf)]]-Table1[[#This Row],[Self-use space (Usable FA) (sf)]],0)</f>
        <v>0</v>
      </c>
      <c r="AE208" s="82">
        <f>IF(Table1[[#This Row],[For Sale or For Lease?]]="Uncertain",Table1[[#This Row],[Office UFA (Net) (sf)]]-Table1[[#This Row],[Pre-leased space (Usable FA) (sf)]]-Table1[[#This Row],[Pre-sold (Usable FA) (sf)]]-Table1[[#This Row],[Self-use space (Usable FA) (sf)]],0)</f>
        <v>60763.848326999992</v>
      </c>
      <c r="AF208" s="86">
        <f>1-SUM(Table1[[#This Row],[Space available for lease (Usable FA) (sf)]:[Space available uncertain of use (Usable FA) (sf)]])/Table1[[#This Row],[Office UFA (Net) (sf)]]</f>
        <v>0</v>
      </c>
      <c r="AG208" s="79" t="s">
        <v>89</v>
      </c>
      <c r="AH208" s="84" t="s">
        <v>138</v>
      </c>
      <c r="AI208" s="79" t="s">
        <v>92</v>
      </c>
      <c r="AJ208" s="83">
        <v>43160</v>
      </c>
      <c r="AK208" s="83">
        <v>43179</v>
      </c>
      <c r="AL208" s="85" t="s">
        <v>30</v>
      </c>
      <c r="AM208" s="85" t="s">
        <v>1225</v>
      </c>
      <c r="AN208" s="79" t="s">
        <v>73</v>
      </c>
      <c r="AO208" s="77" t="s">
        <v>1068</v>
      </c>
      <c r="AP208" s="77" t="s">
        <v>1068</v>
      </c>
      <c r="AQ208" s="77" t="s">
        <v>1468</v>
      </c>
      <c r="AR208" s="79" t="s">
        <v>1776</v>
      </c>
      <c r="AS208" s="79"/>
      <c r="AT208" s="80"/>
      <c r="AU208" s="80"/>
      <c r="AV208" s="77"/>
    </row>
    <row r="209" spans="1:48" ht="15" hidden="1" customHeight="1" x14ac:dyDescent="0.35">
      <c r="A209" s="77"/>
      <c r="B209" s="77" t="s">
        <v>1505</v>
      </c>
      <c r="C209" s="77" t="s">
        <v>1504</v>
      </c>
      <c r="D209" s="77"/>
      <c r="E209" s="79" t="s">
        <v>2</v>
      </c>
      <c r="F209" s="77" t="str">
        <f>VLOOKUP(Table1[[#This Row],[CBRE sub-markets]],Reference!$A$2:$B$31,2,FALSE)</f>
        <v>Admiralty &amp; Sheung Wan</v>
      </c>
      <c r="G209" s="77">
        <f>VLOOKUP(Table1[[#This Row],[CBRE sub-markets]],Reference!$A$2:$D$31,3,FALSE)</f>
        <v>2</v>
      </c>
      <c r="H209" s="79" t="str">
        <f>VLOOKUP(Table1[[#This Row],[CBRE sub-markets]],Reference!$A$2:$D$31,4,FALSE)</f>
        <v>Hong Kong Island</v>
      </c>
      <c r="I209" s="80" t="s">
        <v>1574</v>
      </c>
      <c r="J209" s="80"/>
      <c r="K209" s="81" t="str">
        <f>IF(ISNUMBER(Table1[[#This Row],[Qtr]]),CONCATENATE(Table1[[#This Row],[Year]]," Q",Table1[[#This Row],[Qtr]]),CONCATENATE(Table1[[#This Row],[Year]],Table1[[#This Row],[Qtr]]))</f>
        <v>2024-2028</v>
      </c>
      <c r="L209" s="80" t="s">
        <v>20</v>
      </c>
      <c r="M209" s="80" t="s">
        <v>86</v>
      </c>
      <c r="N209" s="80"/>
      <c r="O209" s="80"/>
      <c r="P209" s="80"/>
      <c r="Q209" s="82">
        <f>12000*0.65</f>
        <v>7800</v>
      </c>
      <c r="R209" s="82"/>
      <c r="S209" s="80" t="str">
        <f t="shared" si="16"/>
        <v>Unknown</v>
      </c>
      <c r="T209" s="82"/>
      <c r="U209" s="82"/>
      <c r="V209" s="82">
        <f>+Table1[[#This Row],[Office GFA (sf)]]/10.7639</f>
        <v>16722.563383160381</v>
      </c>
      <c r="W209" s="82">
        <f>12000*15</f>
        <v>180000</v>
      </c>
      <c r="X209" s="82">
        <f>+Table1[[#This Row],[Office GFA (sm)]]*0.75</f>
        <v>12541.922537370287</v>
      </c>
      <c r="Y209" s="82">
        <f t="shared" ref="Y209:Y224" si="18">W209*0.75</f>
        <v>135000</v>
      </c>
      <c r="Z209" s="82"/>
      <c r="AA209" s="82"/>
      <c r="AB209" s="82"/>
      <c r="AC209" s="82">
        <f t="shared" ref="AC209:AC229" si="19">IF(AO209="For Lease",Y209-Z209-AA209-AB209,0)</f>
        <v>0</v>
      </c>
      <c r="AD209" s="82">
        <f>IF(Table1[[#This Row],[For Sale or For Lease?]]="For Sale",Table1[[#This Row],[Office UFA (Net) (sf)]]-Table1[[#This Row],[Pre-leased space (Usable FA) (sf)]]-Table1[[#This Row],[Pre-sold (Usable FA) (sf)]]-Table1[[#This Row],[Self-use space (Usable FA) (sf)]],0)</f>
        <v>0</v>
      </c>
      <c r="AE209" s="82">
        <f>IF(Table1[[#This Row],[For Sale or For Lease?]]="Uncertain",Table1[[#This Row],[Office UFA (Net) (sf)]]-Table1[[#This Row],[Pre-leased space (Usable FA) (sf)]]-Table1[[#This Row],[Pre-sold (Usable FA) (sf)]]-Table1[[#This Row],[Self-use space (Usable FA) (sf)]],0)</f>
        <v>135000</v>
      </c>
      <c r="AF209" s="86">
        <f>1-SUM(Table1[[#This Row],[Space available for lease (Usable FA) (sf)]:[Space available uncertain of use (Usable FA) (sf)]])/Table1[[#This Row],[Office UFA (Net) (sf)]]</f>
        <v>0</v>
      </c>
      <c r="AG209" s="79" t="s">
        <v>89</v>
      </c>
      <c r="AH209" s="84"/>
      <c r="AI209" s="79" t="s">
        <v>350</v>
      </c>
      <c r="AJ209" s="83"/>
      <c r="AK209" s="83">
        <v>43271</v>
      </c>
      <c r="AL209" s="85" t="s">
        <v>30</v>
      </c>
      <c r="AM209" s="85" t="s">
        <v>1490</v>
      </c>
      <c r="AN209" s="79" t="s">
        <v>73</v>
      </c>
      <c r="AO209" s="77" t="s">
        <v>1068</v>
      </c>
      <c r="AP209" s="77" t="s">
        <v>1068</v>
      </c>
      <c r="AQ209" s="77" t="s">
        <v>1506</v>
      </c>
      <c r="AR209" s="79" t="s">
        <v>1777</v>
      </c>
      <c r="AS209" s="79"/>
      <c r="AT209" s="80"/>
      <c r="AU209" s="80"/>
      <c r="AV209" s="77"/>
    </row>
    <row r="210" spans="1:48" ht="15" hidden="1" customHeight="1" x14ac:dyDescent="0.35">
      <c r="A210" s="77"/>
      <c r="B210" s="77" t="s">
        <v>1493</v>
      </c>
      <c r="C210" s="77" t="s">
        <v>1500</v>
      </c>
      <c r="D210" s="77"/>
      <c r="E210" s="79" t="s">
        <v>1</v>
      </c>
      <c r="F210" s="77" t="str">
        <f>VLOOKUP(Table1[[#This Row],[CBRE sub-markets]],Reference!$A$2:$B$31,2,FALSE)</f>
        <v>Central</v>
      </c>
      <c r="G210" s="77">
        <f>VLOOKUP(Table1[[#This Row],[CBRE sub-markets]],Reference!$A$2:$D$31,3,FALSE)</f>
        <v>1</v>
      </c>
      <c r="H210" s="79" t="str">
        <f>VLOOKUP(Table1[[#This Row],[CBRE sub-markets]],Reference!$A$2:$D$31,4,FALSE)</f>
        <v>Hong Kong Island</v>
      </c>
      <c r="I210" s="80" t="s">
        <v>1653</v>
      </c>
      <c r="J210" s="80"/>
      <c r="K210" s="81" t="str">
        <f>IF(ISNUMBER(Table1[[#This Row],[Qtr]]),CONCATENATE(Table1[[#This Row],[Year]]," Q",Table1[[#This Row],[Qtr]]),CONCATENATE(Table1[[#This Row],[Year]],Table1[[#This Row],[Qtr]]))</f>
        <v>2025-2029</v>
      </c>
      <c r="L210" s="80" t="s">
        <v>20</v>
      </c>
      <c r="M210" s="80" t="s">
        <v>86</v>
      </c>
      <c r="N210" s="80">
        <v>1</v>
      </c>
      <c r="O210" s="80" t="s">
        <v>160</v>
      </c>
      <c r="P210" s="80">
        <v>25</v>
      </c>
      <c r="Q210" s="82">
        <f>+Table1[[#This Row],[Office GFA (sf)]]/25</f>
        <v>6560.6401055999995</v>
      </c>
      <c r="R210" s="82">
        <f>Q210*(Y210/W210)</f>
        <v>4920.4800791999996</v>
      </c>
      <c r="S210" s="80" t="str">
        <f t="shared" si="16"/>
        <v>No</v>
      </c>
      <c r="T210" s="82">
        <v>15237.6</v>
      </c>
      <c r="U210" s="82">
        <f>+Table1[[#This Row],[Total GFA (sm)]]*10.7639</f>
        <v>164016.00263999999</v>
      </c>
      <c r="V210" s="82">
        <v>15237.6</v>
      </c>
      <c r="W210" s="82">
        <f>+Table1[[#This Row],[Office GFA (sm)]]*10.7639</f>
        <v>164016.00263999999</v>
      </c>
      <c r="X210" s="82">
        <f>+Table1[[#This Row],[Office GFA (sf)]]*0.75</f>
        <v>123012.00198</v>
      </c>
      <c r="Y210" s="82">
        <f t="shared" si="18"/>
        <v>123012.00198</v>
      </c>
      <c r="Z210" s="82"/>
      <c r="AA210" s="82"/>
      <c r="AB210" s="82"/>
      <c r="AC210" s="82">
        <f t="shared" si="19"/>
        <v>123012.00198</v>
      </c>
      <c r="AD210" s="82">
        <f>IF(Table1[[#This Row],[For Sale or For Lease?]]="For Sale",Table1[[#This Row],[Office UFA (Net) (sf)]]-Table1[[#This Row],[Pre-leased space (Usable FA) (sf)]]-Table1[[#This Row],[Pre-sold (Usable FA) (sf)]]-Table1[[#This Row],[Self-use space (Usable FA) (sf)]],0)</f>
        <v>0</v>
      </c>
      <c r="AE210" s="82">
        <f>IF(Table1[[#This Row],[For Sale or For Lease?]]="Uncertain",Table1[[#This Row],[Office UFA (Net) (sf)]]-Table1[[#This Row],[Pre-leased space (Usable FA) (sf)]]-Table1[[#This Row],[Pre-sold (Usable FA) (sf)]]-Table1[[#This Row],[Self-use space (Usable FA) (sf)]],0)</f>
        <v>0</v>
      </c>
      <c r="AF210" s="86">
        <f>1-SUM(Table1[[#This Row],[Space available for lease (Usable FA) (sf)]:[Space available uncertain of use (Usable FA) (sf)]])/Table1[[#This Row],[Office UFA (Net) (sf)]]</f>
        <v>0</v>
      </c>
      <c r="AG210" s="79" t="s">
        <v>89</v>
      </c>
      <c r="AH210" s="84" t="s">
        <v>138</v>
      </c>
      <c r="AI210" s="79" t="s">
        <v>92</v>
      </c>
      <c r="AJ210" s="83">
        <v>43556</v>
      </c>
      <c r="AK210" s="83">
        <v>43640</v>
      </c>
      <c r="AL210" s="85" t="s">
        <v>30</v>
      </c>
      <c r="AM210" s="85" t="s">
        <v>1494</v>
      </c>
      <c r="AN210" s="79" t="s">
        <v>73</v>
      </c>
      <c r="AO210" s="77" t="s">
        <v>705</v>
      </c>
      <c r="AP210" s="77" t="s">
        <v>81</v>
      </c>
      <c r="AQ210" s="77" t="s">
        <v>1693</v>
      </c>
      <c r="AR210" s="79" t="s">
        <v>1778</v>
      </c>
      <c r="AS210" s="79" t="s">
        <v>2055</v>
      </c>
      <c r="AT210" s="80"/>
      <c r="AU210" s="80"/>
      <c r="AV210" s="77"/>
    </row>
    <row r="211" spans="1:48" ht="15" hidden="1" customHeight="1" x14ac:dyDescent="0.35">
      <c r="A211" s="77"/>
      <c r="B211" s="77" t="s">
        <v>1358</v>
      </c>
      <c r="C211" s="77" t="s">
        <v>1359</v>
      </c>
      <c r="D211" s="77"/>
      <c r="E211" s="79" t="s">
        <v>567</v>
      </c>
      <c r="F211" s="77" t="str">
        <f>VLOOKUP(Table1[[#This Row],[CBRE sub-markets]],Reference!$A$2:$B$31,2,FALSE)</f>
        <v>Kowloon East</v>
      </c>
      <c r="G211" s="77">
        <f>VLOOKUP(Table1[[#This Row],[CBRE sub-markets]],Reference!$A$2:$D$31,3,FALSE)</f>
        <v>7</v>
      </c>
      <c r="H211" s="79" t="str">
        <f>VLOOKUP(Table1[[#This Row],[CBRE sub-markets]],Reference!$A$2:$D$31,4,FALSE)</f>
        <v>Kowloon</v>
      </c>
      <c r="I211" s="80" t="s">
        <v>1692</v>
      </c>
      <c r="J211" s="80"/>
      <c r="K211" s="81" t="str">
        <f>IF(ISNUMBER(Table1[[#This Row],[Qtr]]),CONCATENATE(Table1[[#This Row],[Year]]," Q",Table1[[#This Row],[Qtr]]),CONCATENATE(Table1[[#This Row],[Year]],Table1[[#This Row],[Qtr]]))</f>
        <v>2026-2030</v>
      </c>
      <c r="L211" s="80" t="s">
        <v>20</v>
      </c>
      <c r="M211" s="80" t="s">
        <v>86</v>
      </c>
      <c r="N211" s="80">
        <v>1</v>
      </c>
      <c r="O211" s="80">
        <v>22</v>
      </c>
      <c r="P211" s="80">
        <v>18</v>
      </c>
      <c r="Q211" s="82">
        <f>Table1[[#This Row],[Office GFA (sf)]]/Table1[[#This Row],[No. of Storeys for Office]]</f>
        <v>21886.799999999999</v>
      </c>
      <c r="R211" s="82">
        <f>Table1[[#This Row],[Floor Plate (GFA) (sf)]]*0.75</f>
        <v>16415.099999999999</v>
      </c>
      <c r="S211" s="80" t="str">
        <f t="shared" si="16"/>
        <v>Yes</v>
      </c>
      <c r="T211" s="82"/>
      <c r="U211" s="82"/>
      <c r="V211" s="82">
        <f>6100*6</f>
        <v>36600</v>
      </c>
      <c r="W211" s="82">
        <f>V211*10.764</f>
        <v>393962.39999999997</v>
      </c>
      <c r="X211" s="82">
        <f t="shared" ref="X211:X221" si="20">V211*0.75</f>
        <v>27450</v>
      </c>
      <c r="Y211" s="82">
        <f t="shared" si="18"/>
        <v>295471.8</v>
      </c>
      <c r="Z211" s="82"/>
      <c r="AA211" s="82"/>
      <c r="AB211" s="82"/>
      <c r="AC211" s="82">
        <f t="shared" si="19"/>
        <v>0</v>
      </c>
      <c r="AD211" s="82">
        <f>IF(Table1[[#This Row],[For Sale or For Lease?]]="For Sale",Table1[[#This Row],[Office UFA (Net) (sf)]]-Table1[[#This Row],[Pre-leased space (Usable FA) (sf)]]-Table1[[#This Row],[Pre-sold (Usable FA) (sf)]]-Table1[[#This Row],[Self-use space (Usable FA) (sf)]],0)</f>
        <v>0</v>
      </c>
      <c r="AE211" s="82">
        <f>IF(Table1[[#This Row],[For Sale or For Lease?]]="Uncertain",Table1[[#This Row],[Office UFA (Net) (sf)]]-Table1[[#This Row],[Pre-leased space (Usable FA) (sf)]]-Table1[[#This Row],[Pre-sold (Usable FA) (sf)]]-Table1[[#This Row],[Self-use space (Usable FA) (sf)]],0)</f>
        <v>295471.8</v>
      </c>
      <c r="AF211" s="86">
        <f>1-SUM(Table1[[#This Row],[Space available for lease (Usable FA) (sf)]:[Space available uncertain of use (Usable FA) (sf)]])/Table1[[#This Row],[Office UFA (Net) (sf)]]</f>
        <v>0</v>
      </c>
      <c r="AG211" s="79" t="s">
        <v>89</v>
      </c>
      <c r="AH211" s="84"/>
      <c r="AI211" s="79"/>
      <c r="AJ211" s="83"/>
      <c r="AK211" s="83">
        <v>42433</v>
      </c>
      <c r="AL211" s="85" t="s">
        <v>29</v>
      </c>
      <c r="AM211" s="85"/>
      <c r="AN211" s="79" t="s">
        <v>74</v>
      </c>
      <c r="AO211" s="77" t="s">
        <v>1068</v>
      </c>
      <c r="AP211" s="77" t="s">
        <v>1068</v>
      </c>
      <c r="AQ211" s="77" t="s">
        <v>1884</v>
      </c>
      <c r="AR211" s="79" t="s">
        <v>1801</v>
      </c>
      <c r="AS211" s="79" t="s">
        <v>2001</v>
      </c>
      <c r="AT211" s="80"/>
      <c r="AU211" s="80"/>
      <c r="AV211" s="77"/>
    </row>
    <row r="212" spans="1:48" ht="15" hidden="1" customHeight="1" x14ac:dyDescent="0.35">
      <c r="A212" s="77"/>
      <c r="B212" s="77" t="s">
        <v>1301</v>
      </c>
      <c r="C212" s="77" t="s">
        <v>1302</v>
      </c>
      <c r="D212" s="77"/>
      <c r="E212" s="79" t="s">
        <v>567</v>
      </c>
      <c r="F212" s="77" t="str">
        <f>VLOOKUP(Table1[[#This Row],[CBRE sub-markets]],Reference!$A$2:$B$31,2,FALSE)</f>
        <v>Kowloon East</v>
      </c>
      <c r="G212" s="77">
        <f>VLOOKUP(Table1[[#This Row],[CBRE sub-markets]],Reference!$A$2:$D$31,3,FALSE)</f>
        <v>7</v>
      </c>
      <c r="H212" s="79" t="str">
        <f>VLOOKUP(Table1[[#This Row],[CBRE sub-markets]],Reference!$A$2:$D$31,4,FALSE)</f>
        <v>Kowloon</v>
      </c>
      <c r="I212" s="80" t="s">
        <v>1692</v>
      </c>
      <c r="J212" s="80"/>
      <c r="K212" s="81" t="str">
        <f>IF(ISNUMBER(Table1[[#This Row],[Qtr]]),CONCATENATE(Table1[[#This Row],[Year]]," Q",Table1[[#This Row],[Qtr]]),CONCATENATE(Table1[[#This Row],[Year]],Table1[[#This Row],[Qtr]]))</f>
        <v>2026-2030</v>
      </c>
      <c r="L212" s="80" t="s">
        <v>20</v>
      </c>
      <c r="M212" s="80" t="s">
        <v>86</v>
      </c>
      <c r="N212" s="80">
        <v>1</v>
      </c>
      <c r="O212" s="80">
        <v>22</v>
      </c>
      <c r="P212" s="80">
        <v>18</v>
      </c>
      <c r="Q212" s="82">
        <f>Table1[[#This Row],[Office GFA (sf)]]/Table1[[#This Row],[No. of Storeys for Office]]</f>
        <v>23501.399999999998</v>
      </c>
      <c r="R212" s="82">
        <f>Table1[[#This Row],[Floor Plate (GFA) (sf)]]*0.75</f>
        <v>17626.05</v>
      </c>
      <c r="S212" s="80" t="str">
        <f t="shared" si="16"/>
        <v>Yes</v>
      </c>
      <c r="T212" s="82"/>
      <c r="U212" s="82"/>
      <c r="V212" s="82">
        <f>6550*6</f>
        <v>39300</v>
      </c>
      <c r="W212" s="82">
        <f>V212*10.764</f>
        <v>423025.19999999995</v>
      </c>
      <c r="X212" s="82">
        <f t="shared" si="20"/>
        <v>29475</v>
      </c>
      <c r="Y212" s="82">
        <f t="shared" si="18"/>
        <v>317268.89999999997</v>
      </c>
      <c r="Z212" s="82"/>
      <c r="AA212" s="82"/>
      <c r="AB212" s="82"/>
      <c r="AC212" s="82">
        <f t="shared" si="19"/>
        <v>0</v>
      </c>
      <c r="AD212" s="82">
        <f>IF(Table1[[#This Row],[For Sale or For Lease?]]="For Sale",Table1[[#This Row],[Office UFA (Net) (sf)]]-Table1[[#This Row],[Pre-leased space (Usable FA) (sf)]]-Table1[[#This Row],[Pre-sold (Usable FA) (sf)]]-Table1[[#This Row],[Self-use space (Usable FA) (sf)]],0)</f>
        <v>0</v>
      </c>
      <c r="AE212" s="82">
        <f>IF(Table1[[#This Row],[For Sale or For Lease?]]="Uncertain",Table1[[#This Row],[Office UFA (Net) (sf)]]-Table1[[#This Row],[Pre-leased space (Usable FA) (sf)]]-Table1[[#This Row],[Pre-sold (Usable FA) (sf)]]-Table1[[#This Row],[Self-use space (Usable FA) (sf)]],0)</f>
        <v>317268.89999999997</v>
      </c>
      <c r="AF212" s="86">
        <f>1-SUM(Table1[[#This Row],[Space available for lease (Usable FA) (sf)]:[Space available uncertain of use (Usable FA) (sf)]])/Table1[[#This Row],[Office UFA (Net) (sf)]]</f>
        <v>0</v>
      </c>
      <c r="AG212" s="79" t="s">
        <v>89</v>
      </c>
      <c r="AH212" s="84"/>
      <c r="AI212" s="79"/>
      <c r="AJ212" s="83"/>
      <c r="AK212" s="83">
        <v>42433</v>
      </c>
      <c r="AL212" s="85" t="s">
        <v>29</v>
      </c>
      <c r="AM212" s="85"/>
      <c r="AN212" s="79" t="s">
        <v>74</v>
      </c>
      <c r="AO212" s="77" t="s">
        <v>1068</v>
      </c>
      <c r="AP212" s="77" t="s">
        <v>1068</v>
      </c>
      <c r="AQ212" s="77" t="s">
        <v>1883</v>
      </c>
      <c r="AR212" s="79" t="s">
        <v>1800</v>
      </c>
      <c r="AS212" s="79" t="s">
        <v>2003</v>
      </c>
      <c r="AT212" s="80"/>
      <c r="AU212" s="80"/>
      <c r="AV212" s="77"/>
    </row>
    <row r="213" spans="1:48" ht="15" hidden="1" customHeight="1" x14ac:dyDescent="0.35">
      <c r="A213" s="77"/>
      <c r="B213" s="77" t="s">
        <v>1356</v>
      </c>
      <c r="C213" s="77" t="s">
        <v>1357</v>
      </c>
      <c r="D213" s="77"/>
      <c r="E213" s="79" t="s">
        <v>567</v>
      </c>
      <c r="F213" s="77" t="str">
        <f>VLOOKUP(Table1[[#This Row],[CBRE sub-markets]],Reference!$A$2:$B$31,2,FALSE)</f>
        <v>Kowloon East</v>
      </c>
      <c r="G213" s="77">
        <f>VLOOKUP(Table1[[#This Row],[CBRE sub-markets]],Reference!$A$2:$D$31,3,FALSE)</f>
        <v>7</v>
      </c>
      <c r="H213" s="79" t="str">
        <f>VLOOKUP(Table1[[#This Row],[CBRE sub-markets]],Reference!$A$2:$D$31,4,FALSE)</f>
        <v>Kowloon</v>
      </c>
      <c r="I213" s="80" t="s">
        <v>1692</v>
      </c>
      <c r="J213" s="80"/>
      <c r="K213" s="81" t="str">
        <f>IF(ISNUMBER(Table1[[#This Row],[Qtr]]),CONCATENATE(Table1[[#This Row],[Year]]," Q",Table1[[#This Row],[Qtr]]),CONCATENATE(Table1[[#This Row],[Year]],Table1[[#This Row],[Qtr]]))</f>
        <v>2026-2030</v>
      </c>
      <c r="L213" s="80" t="s">
        <v>20</v>
      </c>
      <c r="M213" s="80" t="s">
        <v>86</v>
      </c>
      <c r="N213" s="80">
        <v>1</v>
      </c>
      <c r="O213" s="80">
        <v>22</v>
      </c>
      <c r="P213" s="80">
        <v>18</v>
      </c>
      <c r="Q213" s="82">
        <f>Table1[[#This Row],[Office GFA (sf)]]/Table1[[#This Row],[No. of Storeys for Office]]</f>
        <v>12105.912</v>
      </c>
      <c r="R213" s="82">
        <f>Table1[[#This Row],[Floor Plate (GFA) (sf)]]*0.75</f>
        <v>9079.4340000000011</v>
      </c>
      <c r="S213" s="80" t="str">
        <f t="shared" si="16"/>
        <v>No</v>
      </c>
      <c r="T213" s="82"/>
      <c r="U213" s="82"/>
      <c r="V213" s="82">
        <f>3374*6</f>
        <v>20244</v>
      </c>
      <c r="W213" s="82">
        <f>V213*10.764</f>
        <v>217906.416</v>
      </c>
      <c r="X213" s="82">
        <f t="shared" si="20"/>
        <v>15183</v>
      </c>
      <c r="Y213" s="82">
        <f t="shared" si="18"/>
        <v>163429.81200000001</v>
      </c>
      <c r="Z213" s="82"/>
      <c r="AA213" s="82"/>
      <c r="AB213" s="82"/>
      <c r="AC213" s="82">
        <f t="shared" si="19"/>
        <v>0</v>
      </c>
      <c r="AD213" s="82">
        <f>IF(Table1[[#This Row],[For Sale or For Lease?]]="For Sale",Table1[[#This Row],[Office UFA (Net) (sf)]]-Table1[[#This Row],[Pre-leased space (Usable FA) (sf)]]-Table1[[#This Row],[Pre-sold (Usable FA) (sf)]]-Table1[[#This Row],[Self-use space (Usable FA) (sf)]],0)</f>
        <v>0</v>
      </c>
      <c r="AE213" s="82">
        <f>IF(Table1[[#This Row],[For Sale or For Lease?]]="Uncertain",Table1[[#This Row],[Office UFA (Net) (sf)]]-Table1[[#This Row],[Pre-leased space (Usable FA) (sf)]]-Table1[[#This Row],[Pre-sold (Usable FA) (sf)]]-Table1[[#This Row],[Self-use space (Usable FA) (sf)]],0)</f>
        <v>163429.81200000001</v>
      </c>
      <c r="AF213" s="86">
        <f>1-SUM(Table1[[#This Row],[Space available for lease (Usable FA) (sf)]:[Space available uncertain of use (Usable FA) (sf)]])/Table1[[#This Row],[Office UFA (Net) (sf)]]</f>
        <v>0</v>
      </c>
      <c r="AG213" s="79" t="s">
        <v>89</v>
      </c>
      <c r="AH213" s="84"/>
      <c r="AI213" s="79"/>
      <c r="AJ213" s="83"/>
      <c r="AK213" s="83">
        <v>42433</v>
      </c>
      <c r="AL213" s="85" t="s">
        <v>29</v>
      </c>
      <c r="AM213" s="85"/>
      <c r="AN213" s="79" t="s">
        <v>74</v>
      </c>
      <c r="AO213" s="77" t="s">
        <v>1068</v>
      </c>
      <c r="AP213" s="77" t="s">
        <v>1068</v>
      </c>
      <c r="AQ213" s="77" t="s">
        <v>1886</v>
      </c>
      <c r="AR213" s="79" t="s">
        <v>1804</v>
      </c>
      <c r="AS213" s="79" t="s">
        <v>2004</v>
      </c>
      <c r="AT213" s="80"/>
      <c r="AU213" s="80"/>
      <c r="AV213" s="77"/>
    </row>
    <row r="214" spans="1:48" ht="15" hidden="1" customHeight="1" x14ac:dyDescent="0.35">
      <c r="A214" s="77"/>
      <c r="B214" s="77" t="s">
        <v>1669</v>
      </c>
      <c r="C214" s="77" t="s">
        <v>1868</v>
      </c>
      <c r="D214" s="77" t="s">
        <v>1666</v>
      </c>
      <c r="E214" s="79" t="s">
        <v>50</v>
      </c>
      <c r="F214" s="77" t="str">
        <f>VLOOKUP(Table1[[#This Row],[CBRE sub-markets]],Reference!$A$2:$B$31,2,FALSE)</f>
        <v>Kowloon East</v>
      </c>
      <c r="G214" s="77">
        <f>VLOOKUP(Table1[[#This Row],[CBRE sub-markets]],Reference!$A$2:$D$31,3,FALSE)</f>
        <v>7</v>
      </c>
      <c r="H214" s="79" t="str">
        <f>VLOOKUP(Table1[[#This Row],[CBRE sub-markets]],Reference!$A$2:$D$31,4,FALSE)</f>
        <v>Kowloon</v>
      </c>
      <c r="I214" s="80" t="s">
        <v>1692</v>
      </c>
      <c r="J214" s="80"/>
      <c r="K214" s="81" t="str">
        <f>IF(ISNUMBER(Table1[[#This Row],[Qtr]]),CONCATENATE(Table1[[#This Row],[Year]]," Q",Table1[[#This Row],[Qtr]]),CONCATENATE(Table1[[#This Row],[Year]],Table1[[#This Row],[Qtr]]))</f>
        <v>2026-2030</v>
      </c>
      <c r="L214" s="80" t="s">
        <v>20</v>
      </c>
      <c r="M214" s="80" t="s">
        <v>86</v>
      </c>
      <c r="N214" s="80">
        <v>1</v>
      </c>
      <c r="O214" s="80" t="s">
        <v>1453</v>
      </c>
      <c r="P214" s="80">
        <v>22</v>
      </c>
      <c r="Q214" s="82">
        <f>Table1[[#This Row],[Office GFA (sf)]]/20</f>
        <v>23802.629171125001</v>
      </c>
      <c r="R214" s="82">
        <f>Table1[[#This Row],[Office UFA (Net) (sf)]]/20</f>
        <v>17851.971878343749</v>
      </c>
      <c r="S214" s="80" t="str">
        <f t="shared" si="16"/>
        <v>Yes</v>
      </c>
      <c r="T214" s="82">
        <v>52031.5</v>
      </c>
      <c r="U214" s="82">
        <f>+Table1[[#This Row],[Total GFA (sm)]]*10.7639</f>
        <v>560061.86285000003</v>
      </c>
      <c r="V214" s="82">
        <f>Table1[[#This Row],[Total GFA (sm)]]*0.85</f>
        <v>44226.775000000001</v>
      </c>
      <c r="W214" s="82">
        <f>Table1[[#This Row],[Office GFA (sm)]]*10.7639</f>
        <v>476052.5834225</v>
      </c>
      <c r="X214" s="82">
        <f t="shared" si="20"/>
        <v>33170.081250000003</v>
      </c>
      <c r="Y214" s="82">
        <f t="shared" si="18"/>
        <v>357039.43756687501</v>
      </c>
      <c r="Z214" s="82"/>
      <c r="AA214" s="82"/>
      <c r="AB214" s="82"/>
      <c r="AC214" s="82">
        <f t="shared" si="19"/>
        <v>0</v>
      </c>
      <c r="AD214" s="82">
        <f>IF(Table1[[#This Row],[For Sale or For Lease?]]="For Sale",Table1[[#This Row],[Office UFA (Net) (sf)]]-Table1[[#This Row],[Pre-leased space (Usable FA) (sf)]]-Table1[[#This Row],[Pre-sold (Usable FA) (sf)]]-Table1[[#This Row],[Self-use space (Usable FA) (sf)]],0)</f>
        <v>0</v>
      </c>
      <c r="AE214" s="82">
        <f>IF(Table1[[#This Row],[For Sale or For Lease?]]="Uncertain",Table1[[#This Row],[Office UFA (Net) (sf)]]-Table1[[#This Row],[Pre-leased space (Usable FA) (sf)]]-Table1[[#This Row],[Pre-sold (Usable FA) (sf)]]-Table1[[#This Row],[Self-use space (Usable FA) (sf)]],0)</f>
        <v>357039.43756687501</v>
      </c>
      <c r="AF214" s="86">
        <f>1-SUM(Table1[[#This Row],[Space available for lease (Usable FA) (sf)]:[Space available uncertain of use (Usable FA) (sf)]])/Table1[[#This Row],[Office UFA (Net) (sf)]]</f>
        <v>0</v>
      </c>
      <c r="AG214" s="79" t="s">
        <v>89</v>
      </c>
      <c r="AH214" s="84" t="s">
        <v>138</v>
      </c>
      <c r="AI214" s="79" t="s">
        <v>92</v>
      </c>
      <c r="AJ214" s="83">
        <v>44166</v>
      </c>
      <c r="AK214" s="83">
        <v>44228</v>
      </c>
      <c r="AL214" s="85" t="s">
        <v>30</v>
      </c>
      <c r="AM214" s="85" t="s">
        <v>369</v>
      </c>
      <c r="AN214" s="79" t="s">
        <v>73</v>
      </c>
      <c r="AO214" s="77" t="s">
        <v>1068</v>
      </c>
      <c r="AP214" s="77" t="s">
        <v>1068</v>
      </c>
      <c r="AQ214" s="77"/>
      <c r="AR214" s="79" t="s">
        <v>1797</v>
      </c>
      <c r="AS214" s="79"/>
      <c r="AT214" s="80">
        <v>22.315539999999999</v>
      </c>
      <c r="AU214" s="80">
        <v>114.21285</v>
      </c>
      <c r="AV214" s="77" t="s">
        <v>2118</v>
      </c>
    </row>
    <row r="215" spans="1:48" ht="15" hidden="1" customHeight="1" x14ac:dyDescent="0.35">
      <c r="A215" s="77"/>
      <c r="B215" s="77" t="s">
        <v>1670</v>
      </c>
      <c r="C215" s="77" t="s">
        <v>1700</v>
      </c>
      <c r="D215" s="77" t="s">
        <v>1667</v>
      </c>
      <c r="E215" s="79" t="s">
        <v>50</v>
      </c>
      <c r="F215" s="77" t="str">
        <f>VLOOKUP(Table1[[#This Row],[CBRE sub-markets]],Reference!$A$2:$B$31,2,FALSE)</f>
        <v>Kowloon East</v>
      </c>
      <c r="G215" s="77">
        <f>VLOOKUP(Table1[[#This Row],[CBRE sub-markets]],Reference!$A$2:$D$31,3,FALSE)</f>
        <v>7</v>
      </c>
      <c r="H215" s="79" t="str">
        <f>VLOOKUP(Table1[[#This Row],[CBRE sub-markets]],Reference!$A$2:$D$31,4,FALSE)</f>
        <v>Kowloon</v>
      </c>
      <c r="I215" s="80" t="s">
        <v>1692</v>
      </c>
      <c r="J215" s="80"/>
      <c r="K215" s="81" t="str">
        <f>IF(ISNUMBER(Table1[[#This Row],[Qtr]]),CONCATENATE(Table1[[#This Row],[Year]]," Q",Table1[[#This Row],[Qtr]]),CONCATENATE(Table1[[#This Row],[Year]],Table1[[#This Row],[Qtr]]))</f>
        <v>2026-2030</v>
      </c>
      <c r="L215" s="80" t="s">
        <v>20</v>
      </c>
      <c r="M215" s="80" t="s">
        <v>86</v>
      </c>
      <c r="N215" s="80">
        <v>1</v>
      </c>
      <c r="O215" s="80" t="s">
        <v>1453</v>
      </c>
      <c r="P215" s="80">
        <v>22</v>
      </c>
      <c r="Q215" s="82">
        <f>Table1[[#This Row],[Office GFA (sf)]]/20</f>
        <v>25263.500297175</v>
      </c>
      <c r="R215" s="82">
        <f>Table1[[#This Row],[Office UFA (Net) (sf)]]/20</f>
        <v>18947.625222881248</v>
      </c>
      <c r="S215" s="80" t="str">
        <f t="shared" si="16"/>
        <v>Yes</v>
      </c>
      <c r="T215" s="82">
        <v>55224.9</v>
      </c>
      <c r="U215" s="82">
        <f>+Table1[[#This Row],[Total GFA (sm)]]*10.7639</f>
        <v>594435.30111</v>
      </c>
      <c r="V215" s="82">
        <f>Table1[[#This Row],[Total GFA (sm)]]*0.85</f>
        <v>46941.165000000001</v>
      </c>
      <c r="W215" s="82">
        <f>Table1[[#This Row],[Office GFA (sm)]]*10.7639</f>
        <v>505270.00594349997</v>
      </c>
      <c r="X215" s="82">
        <f t="shared" si="20"/>
        <v>35205.873749999999</v>
      </c>
      <c r="Y215" s="82">
        <f t="shared" si="18"/>
        <v>378952.50445762498</v>
      </c>
      <c r="Z215" s="82"/>
      <c r="AA215" s="82"/>
      <c r="AB215" s="82"/>
      <c r="AC215" s="82">
        <f t="shared" si="19"/>
        <v>0</v>
      </c>
      <c r="AD215" s="82">
        <f>IF(Table1[[#This Row],[For Sale or For Lease?]]="For Sale",Table1[[#This Row],[Office UFA (Net) (sf)]]-Table1[[#This Row],[Pre-leased space (Usable FA) (sf)]]-Table1[[#This Row],[Pre-sold (Usable FA) (sf)]]-Table1[[#This Row],[Self-use space (Usable FA) (sf)]],0)</f>
        <v>0</v>
      </c>
      <c r="AE215" s="82">
        <f>IF(Table1[[#This Row],[For Sale or For Lease?]]="Uncertain",Table1[[#This Row],[Office UFA (Net) (sf)]]-Table1[[#This Row],[Pre-leased space (Usable FA) (sf)]]-Table1[[#This Row],[Pre-sold (Usable FA) (sf)]]-Table1[[#This Row],[Self-use space (Usable FA) (sf)]],0)</f>
        <v>378952.50445762498</v>
      </c>
      <c r="AF215" s="86">
        <f>1-SUM(Table1[[#This Row],[Space available for lease (Usable FA) (sf)]:[Space available uncertain of use (Usable FA) (sf)]])/Table1[[#This Row],[Office UFA (Net) (sf)]]</f>
        <v>0</v>
      </c>
      <c r="AG215" s="79" t="s">
        <v>89</v>
      </c>
      <c r="AH215" s="84" t="s">
        <v>138</v>
      </c>
      <c r="AI215" s="79" t="s">
        <v>92</v>
      </c>
      <c r="AJ215" s="83">
        <v>44075</v>
      </c>
      <c r="AK215" s="83">
        <v>44136</v>
      </c>
      <c r="AL215" s="85" t="s">
        <v>30</v>
      </c>
      <c r="AM215" s="85" t="s">
        <v>369</v>
      </c>
      <c r="AN215" s="79" t="s">
        <v>73</v>
      </c>
      <c r="AO215" s="77" t="s">
        <v>1068</v>
      </c>
      <c r="AP215" s="77" t="s">
        <v>1068</v>
      </c>
      <c r="AQ215" s="77"/>
      <c r="AR215" s="79" t="s">
        <v>1795</v>
      </c>
      <c r="AS215" s="79"/>
      <c r="AT215" s="80"/>
      <c r="AU215" s="80"/>
      <c r="AV215" s="77"/>
    </row>
    <row r="216" spans="1:48" ht="15" hidden="1" customHeight="1" x14ac:dyDescent="0.35">
      <c r="A216" s="77"/>
      <c r="B216" s="77" t="s">
        <v>1671</v>
      </c>
      <c r="C216" s="77" t="s">
        <v>1698</v>
      </c>
      <c r="D216" s="77" t="s">
        <v>1668</v>
      </c>
      <c r="E216" s="79" t="s">
        <v>50</v>
      </c>
      <c r="F216" s="77" t="str">
        <f>VLOOKUP(Table1[[#This Row],[CBRE sub-markets]],Reference!$A$2:$B$31,2,FALSE)</f>
        <v>Kowloon East</v>
      </c>
      <c r="G216" s="77">
        <f>VLOOKUP(Table1[[#This Row],[CBRE sub-markets]],Reference!$A$2:$D$31,3,FALSE)</f>
        <v>7</v>
      </c>
      <c r="H216" s="79" t="str">
        <f>VLOOKUP(Table1[[#This Row],[CBRE sub-markets]],Reference!$A$2:$D$31,4,FALSE)</f>
        <v>Kowloon</v>
      </c>
      <c r="I216" s="80" t="s">
        <v>1692</v>
      </c>
      <c r="J216" s="80"/>
      <c r="K216" s="81" t="str">
        <f>IF(ISNUMBER(Table1[[#This Row],[Qtr]]),CONCATENATE(Table1[[#This Row],[Year]]," Q",Table1[[#This Row],[Qtr]]),CONCATENATE(Table1[[#This Row],[Year]],Table1[[#This Row],[Qtr]]))</f>
        <v>2026-2030</v>
      </c>
      <c r="L216" s="80" t="s">
        <v>20</v>
      </c>
      <c r="M216" s="80" t="s">
        <v>86</v>
      </c>
      <c r="N216" s="80">
        <v>1</v>
      </c>
      <c r="O216" s="80" t="s">
        <v>1401</v>
      </c>
      <c r="P216" s="80">
        <v>22</v>
      </c>
      <c r="Q216" s="82">
        <f>Table1[[#This Row],[Office GFA (sf)]]/20</f>
        <v>17885.995893499996</v>
      </c>
      <c r="R216" s="82">
        <f>Table1[[#This Row],[Office UFA (Net) (sf)]]/20</f>
        <v>13414.496920124997</v>
      </c>
      <c r="S216" s="80" t="str">
        <f t="shared" si="16"/>
        <v>No</v>
      </c>
      <c r="T216" s="82">
        <v>39098</v>
      </c>
      <c r="U216" s="82">
        <f>+Table1[[#This Row],[Total GFA (sm)]]*10.7639</f>
        <v>420846.96220000001</v>
      </c>
      <c r="V216" s="82">
        <f>Table1[[#This Row],[Total GFA (sm)]]*0.85</f>
        <v>33233.299999999996</v>
      </c>
      <c r="W216" s="82">
        <f>Table1[[#This Row],[Office GFA (sm)]]*10.7639</f>
        <v>357719.91786999995</v>
      </c>
      <c r="X216" s="82">
        <f t="shared" si="20"/>
        <v>24924.974999999999</v>
      </c>
      <c r="Y216" s="82">
        <f t="shared" si="18"/>
        <v>268289.93840249995</v>
      </c>
      <c r="Z216" s="82"/>
      <c r="AA216" s="82"/>
      <c r="AB216" s="82"/>
      <c r="AC216" s="82">
        <f t="shared" si="19"/>
        <v>0</v>
      </c>
      <c r="AD216" s="82">
        <f>IF(Table1[[#This Row],[For Sale or For Lease?]]="For Sale",Table1[[#This Row],[Office UFA (Net) (sf)]]-Table1[[#This Row],[Pre-leased space (Usable FA) (sf)]]-Table1[[#This Row],[Pre-sold (Usable FA) (sf)]]-Table1[[#This Row],[Self-use space (Usable FA) (sf)]],0)</f>
        <v>0</v>
      </c>
      <c r="AE216" s="82">
        <f>IF(Table1[[#This Row],[For Sale or For Lease?]]="Uncertain",Table1[[#This Row],[Office UFA (Net) (sf)]]-Table1[[#This Row],[Pre-leased space (Usable FA) (sf)]]-Table1[[#This Row],[Pre-sold (Usable FA) (sf)]]-Table1[[#This Row],[Self-use space (Usable FA) (sf)]],0)</f>
        <v>268289.93840249995</v>
      </c>
      <c r="AF216" s="86">
        <f>1-SUM(Table1[[#This Row],[Space available for lease (Usable FA) (sf)]:[Space available uncertain of use (Usable FA) (sf)]])/Table1[[#This Row],[Office UFA (Net) (sf)]]</f>
        <v>0</v>
      </c>
      <c r="AG216" s="79" t="s">
        <v>89</v>
      </c>
      <c r="AH216" s="84" t="s">
        <v>138</v>
      </c>
      <c r="AI216" s="79" t="s">
        <v>92</v>
      </c>
      <c r="AJ216" s="83">
        <v>44044</v>
      </c>
      <c r="AK216" s="83">
        <v>44105</v>
      </c>
      <c r="AL216" s="85" t="s">
        <v>30</v>
      </c>
      <c r="AM216" s="85" t="s">
        <v>369</v>
      </c>
      <c r="AN216" s="79" t="s">
        <v>73</v>
      </c>
      <c r="AO216" s="77" t="s">
        <v>1068</v>
      </c>
      <c r="AP216" s="77" t="s">
        <v>1068</v>
      </c>
      <c r="AQ216" s="77"/>
      <c r="AR216" s="79" t="s">
        <v>1802</v>
      </c>
      <c r="AS216" s="79" t="s">
        <v>2080</v>
      </c>
      <c r="AT216" s="80"/>
      <c r="AU216" s="80"/>
      <c r="AV216" s="77"/>
    </row>
    <row r="217" spans="1:48" ht="15" hidden="1" customHeight="1" x14ac:dyDescent="0.35">
      <c r="A217" s="77"/>
      <c r="B217" s="77" t="s">
        <v>1272</v>
      </c>
      <c r="C217" s="77" t="s">
        <v>1272</v>
      </c>
      <c r="D217" s="77"/>
      <c r="E217" s="79" t="s">
        <v>3</v>
      </c>
      <c r="F217" s="77" t="str">
        <f>VLOOKUP(Table1[[#This Row],[CBRE sub-markets]],Reference!$A$2:$B$31,2,FALSE)</f>
        <v>Admiralty &amp; Sheung Wan</v>
      </c>
      <c r="G217" s="77">
        <f>VLOOKUP(Table1[[#This Row],[CBRE sub-markets]],Reference!$A$2:$D$31,3,FALSE)</f>
        <v>2</v>
      </c>
      <c r="H217" s="79" t="str">
        <f>VLOOKUP(Table1[[#This Row],[CBRE sub-markets]],Reference!$A$2:$D$31,4,FALSE)</f>
        <v>Hong Kong Island</v>
      </c>
      <c r="I217" s="80" t="s">
        <v>1466</v>
      </c>
      <c r="J217" s="80"/>
      <c r="K217" s="81" t="str">
        <f>IF(ISNUMBER(Table1[[#This Row],[Qtr]]),CONCATENATE(Table1[[#This Row],[Year]]," Q",Table1[[#This Row],[Qtr]]),CONCATENATE(Table1[[#This Row],[Year]],Table1[[#This Row],[Qtr]]))</f>
        <v>2027+</v>
      </c>
      <c r="L217" s="80" t="s">
        <v>20</v>
      </c>
      <c r="M217" s="80" t="s">
        <v>86</v>
      </c>
      <c r="N217" s="80">
        <v>1</v>
      </c>
      <c r="O217" s="80">
        <v>30</v>
      </c>
      <c r="P217" s="80">
        <v>30</v>
      </c>
      <c r="Q217" s="82">
        <f>Table1[[#This Row],[Office GFA (sf)]]/Table1[[#This Row],[No. of Storeys]]</f>
        <v>7534.8</v>
      </c>
      <c r="R217" s="82">
        <f>Table1[[#This Row],[Office UFA (Net) (sf)]]/Table1[[#This Row],[No. of Storeys]]</f>
        <v>5651.1</v>
      </c>
      <c r="S217" s="80" t="str">
        <f t="shared" si="16"/>
        <v>No</v>
      </c>
      <c r="T217" s="82"/>
      <c r="U217" s="82"/>
      <c r="V217" s="82">
        <v>21000</v>
      </c>
      <c r="W217" s="82">
        <f>Table1[[#This Row],[Office GFA (sm)]]*10.764</f>
        <v>226044</v>
      </c>
      <c r="X217" s="82">
        <f t="shared" si="20"/>
        <v>15750</v>
      </c>
      <c r="Y217" s="82">
        <f t="shared" si="18"/>
        <v>169533</v>
      </c>
      <c r="Z217" s="82"/>
      <c r="AA217" s="82"/>
      <c r="AB217" s="82"/>
      <c r="AC217" s="82">
        <f t="shared" si="19"/>
        <v>169533</v>
      </c>
      <c r="AD217" s="82">
        <f>IF(Table1[[#This Row],[For Sale or For Lease?]]="For Sale",Table1[[#This Row],[Office UFA (Net) (sf)]]-Table1[[#This Row],[Pre-leased space (Usable FA) (sf)]]-Table1[[#This Row],[Pre-sold (Usable FA) (sf)]]-Table1[[#This Row],[Self-use space (Usable FA) (sf)]],0)</f>
        <v>0</v>
      </c>
      <c r="AE217" s="82">
        <f>IF(Table1[[#This Row],[For Sale or For Lease?]]="Uncertain",Table1[[#This Row],[Office UFA (Net) (sf)]]-Table1[[#This Row],[Pre-leased space (Usable FA) (sf)]]-Table1[[#This Row],[Pre-sold (Usable FA) (sf)]]-Table1[[#This Row],[Self-use space (Usable FA) (sf)]],0)</f>
        <v>0</v>
      </c>
      <c r="AF217" s="86">
        <f>1-SUM(Table1[[#This Row],[Space available for lease (Usable FA) (sf)]:[Space available uncertain of use (Usable FA) (sf)]])/Table1[[#This Row],[Office UFA (Net) (sf)]]</f>
        <v>0</v>
      </c>
      <c r="AG217" s="79" t="s">
        <v>89</v>
      </c>
      <c r="AH217" s="84"/>
      <c r="AI217" s="79" t="s">
        <v>474</v>
      </c>
      <c r="AJ217" s="83">
        <v>40127</v>
      </c>
      <c r="AK217" s="83">
        <v>42431</v>
      </c>
      <c r="AL217" s="85" t="s">
        <v>29</v>
      </c>
      <c r="AM217" s="85"/>
      <c r="AN217" s="79" t="s">
        <v>74</v>
      </c>
      <c r="AO217" s="77" t="s">
        <v>705</v>
      </c>
      <c r="AP217" s="77" t="s">
        <v>81</v>
      </c>
      <c r="AQ217" s="77" t="s">
        <v>1478</v>
      </c>
      <c r="AR217" s="79" t="s">
        <v>1815</v>
      </c>
      <c r="AS217" s="79" t="s">
        <v>2054</v>
      </c>
      <c r="AT217" s="80"/>
      <c r="AU217" s="80"/>
      <c r="AV217" s="77"/>
    </row>
    <row r="218" spans="1:48" ht="15" hidden="1" customHeight="1" x14ac:dyDescent="0.35">
      <c r="A218" s="77"/>
      <c r="B218" s="77" t="s">
        <v>1298</v>
      </c>
      <c r="C218" s="77" t="s">
        <v>1299</v>
      </c>
      <c r="D218" s="77"/>
      <c r="E218" s="79" t="s">
        <v>567</v>
      </c>
      <c r="F218" s="77" t="str">
        <f>VLOOKUP(Table1[[#This Row],[CBRE sub-markets]],Reference!$A$2:$B$31,2,FALSE)</f>
        <v>Kowloon East</v>
      </c>
      <c r="G218" s="77">
        <f>VLOOKUP(Table1[[#This Row],[CBRE sub-markets]],Reference!$A$2:$D$31,3,FALSE)</f>
        <v>7</v>
      </c>
      <c r="H218" s="79" t="str">
        <f>VLOOKUP(Table1[[#This Row],[CBRE sub-markets]],Reference!$A$2:$D$31,4,FALSE)</f>
        <v>Kowloon</v>
      </c>
      <c r="I218" s="80" t="s">
        <v>1466</v>
      </c>
      <c r="J218" s="80"/>
      <c r="K218" s="81" t="str">
        <f>IF(ISNUMBER(Table1[[#This Row],[Qtr]]),CONCATENATE(Table1[[#This Row],[Year]]," Q",Table1[[#This Row],[Qtr]]),CONCATENATE(Table1[[#This Row],[Year]],Table1[[#This Row],[Qtr]]))</f>
        <v>2027+</v>
      </c>
      <c r="L218" s="80" t="s">
        <v>20</v>
      </c>
      <c r="M218" s="80" t="s">
        <v>86</v>
      </c>
      <c r="N218" s="80">
        <v>1</v>
      </c>
      <c r="O218" s="80">
        <v>25</v>
      </c>
      <c r="P218" s="80">
        <v>20</v>
      </c>
      <c r="Q218" s="82">
        <f>Table1[[#This Row],[Office GFA (sf)]]/Table1[[#This Row],[No. of Storeys]]</f>
        <v>15417.492479999999</v>
      </c>
      <c r="R218" s="82">
        <f>Table1[[#This Row],[Floor Plate (GFA) (sf)]]*0.75</f>
        <v>11563.119359999999</v>
      </c>
      <c r="S218" s="80" t="str">
        <f t="shared" si="16"/>
        <v>No</v>
      </c>
      <c r="T218" s="82"/>
      <c r="U218" s="82"/>
      <c r="V218" s="82">
        <f>5968*6</f>
        <v>35808</v>
      </c>
      <c r="W218" s="82">
        <f>V218*10.764</f>
        <v>385437.31199999998</v>
      </c>
      <c r="X218" s="82">
        <f t="shared" si="20"/>
        <v>26856</v>
      </c>
      <c r="Y218" s="82">
        <f t="shared" si="18"/>
        <v>289077.984</v>
      </c>
      <c r="Z218" s="82"/>
      <c r="AA218" s="82"/>
      <c r="AB218" s="82"/>
      <c r="AC218" s="82">
        <f t="shared" si="19"/>
        <v>0</v>
      </c>
      <c r="AD218" s="82">
        <f>IF(Table1[[#This Row],[For Sale or For Lease?]]="For Sale",Table1[[#This Row],[Office UFA (Net) (sf)]]-Table1[[#This Row],[Pre-leased space (Usable FA) (sf)]]-Table1[[#This Row],[Pre-sold (Usable FA) (sf)]]-Table1[[#This Row],[Self-use space (Usable FA) (sf)]],0)</f>
        <v>0</v>
      </c>
      <c r="AE218" s="82">
        <f>IF(Table1[[#This Row],[For Sale or For Lease?]]="Uncertain",Table1[[#This Row],[Office UFA (Net) (sf)]]-Table1[[#This Row],[Pre-leased space (Usable FA) (sf)]]-Table1[[#This Row],[Pre-sold (Usable FA) (sf)]]-Table1[[#This Row],[Self-use space (Usable FA) (sf)]],0)</f>
        <v>289077.984</v>
      </c>
      <c r="AF218" s="86">
        <f>1-SUM(Table1[[#This Row],[Space available for lease (Usable FA) (sf)]:[Space available uncertain of use (Usable FA) (sf)]])/Table1[[#This Row],[Office UFA (Net) (sf)]]</f>
        <v>0</v>
      </c>
      <c r="AG218" s="79" t="s">
        <v>89</v>
      </c>
      <c r="AH218" s="84"/>
      <c r="AI218" s="79"/>
      <c r="AJ218" s="83"/>
      <c r="AK218" s="83">
        <v>42433</v>
      </c>
      <c r="AL218" s="85" t="s">
        <v>29</v>
      </c>
      <c r="AM218" s="85"/>
      <c r="AN218" s="79" t="s">
        <v>74</v>
      </c>
      <c r="AO218" s="77" t="s">
        <v>1068</v>
      </c>
      <c r="AP218" s="77" t="s">
        <v>1068</v>
      </c>
      <c r="AQ218" s="77" t="s">
        <v>1300</v>
      </c>
      <c r="AR218" s="79" t="s">
        <v>1818</v>
      </c>
      <c r="AS218" s="79" t="s">
        <v>2002</v>
      </c>
      <c r="AT218" s="80"/>
      <c r="AU218" s="80"/>
      <c r="AV218" s="77"/>
    </row>
    <row r="219" spans="1:48" ht="15" hidden="1" customHeight="1" x14ac:dyDescent="0.35">
      <c r="A219" s="77"/>
      <c r="B219" s="77" t="s">
        <v>479</v>
      </c>
      <c r="C219" s="77" t="s">
        <v>1251</v>
      </c>
      <c r="D219" s="77"/>
      <c r="E219" s="79" t="s">
        <v>171</v>
      </c>
      <c r="F219" s="77" t="str">
        <f>VLOOKUP(Table1[[#This Row],[CBRE sub-markets]],Reference!$A$2:$B$31,2,FALSE)</f>
        <v>Kowloon East</v>
      </c>
      <c r="G219" s="77">
        <f>VLOOKUP(Table1[[#This Row],[CBRE sub-markets]],Reference!$A$2:$D$31,3,FALSE)</f>
        <v>7</v>
      </c>
      <c r="H219" s="79" t="str">
        <f>VLOOKUP(Table1[[#This Row],[CBRE sub-markets]],Reference!$A$2:$D$31,4,FALSE)</f>
        <v>Kowloon</v>
      </c>
      <c r="I219" s="80" t="s">
        <v>1466</v>
      </c>
      <c r="J219" s="80"/>
      <c r="K219" s="81" t="str">
        <f>IF(ISNUMBER(Table1[[#This Row],[Qtr]]),CONCATENATE(Table1[[#This Row],[Year]]," Q",Table1[[#This Row],[Qtr]]),CONCATENATE(Table1[[#This Row],[Year]],Table1[[#This Row],[Qtr]]))</f>
        <v>2027+</v>
      </c>
      <c r="L219" s="80" t="s">
        <v>20</v>
      </c>
      <c r="M219" s="80" t="s">
        <v>86</v>
      </c>
      <c r="N219" s="80">
        <v>1</v>
      </c>
      <c r="O219" s="80">
        <v>30</v>
      </c>
      <c r="P219" s="80">
        <v>30</v>
      </c>
      <c r="Q219" s="82">
        <f>Table1[[#This Row],[Office GFA (sf)]]/Table1[[#This Row],[No. of Storeys]]</f>
        <v>19504.186799999999</v>
      </c>
      <c r="R219" s="82">
        <f>Table1[[#This Row],[Office UFA (Net) (sf)]]/Table1[[#This Row],[No. of Storeys for Office]]</f>
        <v>14628.140099999999</v>
      </c>
      <c r="S219" s="80" t="str">
        <f t="shared" si="16"/>
        <v>No</v>
      </c>
      <c r="T219" s="82"/>
      <c r="U219" s="82"/>
      <c r="V219" s="82">
        <f>4530*12</f>
        <v>54360</v>
      </c>
      <c r="W219" s="82">
        <f>V219*10.7639</f>
        <v>585125.60399999993</v>
      </c>
      <c r="X219" s="82">
        <f t="shared" si="20"/>
        <v>40770</v>
      </c>
      <c r="Y219" s="82">
        <f t="shared" si="18"/>
        <v>438844.20299999998</v>
      </c>
      <c r="Z219" s="82"/>
      <c r="AA219" s="82"/>
      <c r="AB219" s="82"/>
      <c r="AC219" s="82">
        <f t="shared" si="19"/>
        <v>0</v>
      </c>
      <c r="AD219" s="82">
        <f>IF(Table1[[#This Row],[For Sale or For Lease?]]="For Sale",Table1[[#This Row],[Office UFA (Net) (sf)]]-Table1[[#This Row],[Pre-leased space (Usable FA) (sf)]]-Table1[[#This Row],[Pre-sold (Usable FA) (sf)]]-Table1[[#This Row],[Self-use space (Usable FA) (sf)]],0)</f>
        <v>0</v>
      </c>
      <c r="AE219" s="82">
        <f>IF(Table1[[#This Row],[For Sale or For Lease?]]="Uncertain",Table1[[#This Row],[Office UFA (Net) (sf)]]-Table1[[#This Row],[Pre-leased space (Usable FA) (sf)]]-Table1[[#This Row],[Pre-sold (Usable FA) (sf)]]-Table1[[#This Row],[Self-use space (Usable FA) (sf)]],0)</f>
        <v>438844.20299999998</v>
      </c>
      <c r="AF219" s="86">
        <f>1-SUM(Table1[[#This Row],[Space available for lease (Usable FA) (sf)]:[Space available uncertain of use (Usable FA) (sf)]])/Table1[[#This Row],[Office UFA (Net) (sf)]]</f>
        <v>0</v>
      </c>
      <c r="AG219" s="79" t="s">
        <v>89</v>
      </c>
      <c r="AH219" s="84"/>
      <c r="AI219" s="79"/>
      <c r="AJ219" s="83"/>
      <c r="AK219" s="83">
        <v>42433</v>
      </c>
      <c r="AL219" s="85" t="s">
        <v>32</v>
      </c>
      <c r="AM219" s="85"/>
      <c r="AN219" s="79" t="s">
        <v>74</v>
      </c>
      <c r="AO219" s="77" t="s">
        <v>1068</v>
      </c>
      <c r="AP219" s="77" t="s">
        <v>1068</v>
      </c>
      <c r="AQ219" s="77" t="s">
        <v>1606</v>
      </c>
      <c r="AR219" s="79" t="s">
        <v>1817</v>
      </c>
      <c r="AS219" s="79" t="s">
        <v>2030</v>
      </c>
      <c r="AT219" s="80">
        <v>22.320226706113299</v>
      </c>
      <c r="AU219" s="80">
        <v>114.211370766055</v>
      </c>
      <c r="AV219" s="77" t="s">
        <v>1978</v>
      </c>
    </row>
    <row r="220" spans="1:48" ht="15" hidden="1" customHeight="1" x14ac:dyDescent="0.35">
      <c r="A220" s="77"/>
      <c r="B220" s="77" t="s">
        <v>476</v>
      </c>
      <c r="C220" s="77" t="s">
        <v>1251</v>
      </c>
      <c r="D220" s="77"/>
      <c r="E220" s="79" t="s">
        <v>171</v>
      </c>
      <c r="F220" s="77" t="str">
        <f>VLOOKUP(Table1[[#This Row],[CBRE sub-markets]],Reference!$A$2:$B$31,2,FALSE)</f>
        <v>Kowloon East</v>
      </c>
      <c r="G220" s="77">
        <f>VLOOKUP(Table1[[#This Row],[CBRE sub-markets]],Reference!$A$2:$D$31,3,FALSE)</f>
        <v>7</v>
      </c>
      <c r="H220" s="79" t="str">
        <f>VLOOKUP(Table1[[#This Row],[CBRE sub-markets]],Reference!$A$2:$D$31,4,FALSE)</f>
        <v>Kowloon</v>
      </c>
      <c r="I220" s="80" t="s">
        <v>1466</v>
      </c>
      <c r="J220" s="80"/>
      <c r="K220" s="81" t="str">
        <f>IF(ISNUMBER(Table1[[#This Row],[Qtr]]),CONCATENATE(Table1[[#This Row],[Year]]," Q",Table1[[#This Row],[Qtr]]),CONCATENATE(Table1[[#This Row],[Year]],Table1[[#This Row],[Qtr]]))</f>
        <v>2027+</v>
      </c>
      <c r="L220" s="80" t="s">
        <v>20</v>
      </c>
      <c r="M220" s="80" t="s">
        <v>86</v>
      </c>
      <c r="N220" s="80">
        <v>2</v>
      </c>
      <c r="O220" s="80">
        <v>30</v>
      </c>
      <c r="P220" s="80">
        <v>30</v>
      </c>
      <c r="Q220" s="82">
        <f>Table1[[#This Row],[Office GFA (sf)]]/Table1[[#This Row],[No. of Storeys]]/Table1[[#This Row],[No. of Blocks]]</f>
        <v>18770.088820000001</v>
      </c>
      <c r="R220" s="82">
        <f>Table1[[#This Row],[Office UFA (Net) (sf)]]/Table1[[#This Row],[No. of Storeys for Office]]/Table1[[#This Row],[No. of Blocks]]</f>
        <v>14077.566615</v>
      </c>
      <c r="S220" s="80" t="str">
        <f t="shared" si="16"/>
        <v>No</v>
      </c>
      <c r="T220" s="82"/>
      <c r="U220" s="82"/>
      <c r="V220" s="82">
        <f>8719*12</f>
        <v>104628</v>
      </c>
      <c r="W220" s="82">
        <f>V220*10.7639</f>
        <v>1126205.3292</v>
      </c>
      <c r="X220" s="82">
        <f t="shared" si="20"/>
        <v>78471</v>
      </c>
      <c r="Y220" s="82">
        <f t="shared" si="18"/>
        <v>844653.99690000003</v>
      </c>
      <c r="Z220" s="82"/>
      <c r="AA220" s="82"/>
      <c r="AB220" s="82"/>
      <c r="AC220" s="82">
        <f t="shared" si="19"/>
        <v>0</v>
      </c>
      <c r="AD220" s="82">
        <f>IF(Table1[[#This Row],[For Sale or For Lease?]]="For Sale",Table1[[#This Row],[Office UFA (Net) (sf)]]-Table1[[#This Row],[Pre-leased space (Usable FA) (sf)]]-Table1[[#This Row],[Pre-sold (Usable FA) (sf)]]-Table1[[#This Row],[Self-use space (Usable FA) (sf)]],0)</f>
        <v>0</v>
      </c>
      <c r="AE220" s="82">
        <f>IF(Table1[[#This Row],[For Sale or For Lease?]]="Uncertain",Table1[[#This Row],[Office UFA (Net) (sf)]]-Table1[[#This Row],[Pre-leased space (Usable FA) (sf)]]-Table1[[#This Row],[Pre-sold (Usable FA) (sf)]]-Table1[[#This Row],[Self-use space (Usable FA) (sf)]],0)</f>
        <v>844653.99690000003</v>
      </c>
      <c r="AF220" s="86">
        <f>1-SUM(Table1[[#This Row],[Space available for lease (Usable FA) (sf)]:[Space available uncertain of use (Usable FA) (sf)]])/Table1[[#This Row],[Office UFA (Net) (sf)]]</f>
        <v>0</v>
      </c>
      <c r="AG220" s="79" t="s">
        <v>89</v>
      </c>
      <c r="AH220" s="84"/>
      <c r="AI220" s="79"/>
      <c r="AJ220" s="83"/>
      <c r="AK220" s="83">
        <v>42433</v>
      </c>
      <c r="AL220" s="85" t="s">
        <v>32</v>
      </c>
      <c r="AM220" s="85"/>
      <c r="AN220" s="79" t="s">
        <v>74</v>
      </c>
      <c r="AO220" s="77" t="s">
        <v>1068</v>
      </c>
      <c r="AP220" s="77" t="s">
        <v>1068</v>
      </c>
      <c r="AQ220" s="77" t="s">
        <v>1607</v>
      </c>
      <c r="AR220" s="79" t="s">
        <v>1816</v>
      </c>
      <c r="AS220" s="79" t="s">
        <v>2060</v>
      </c>
      <c r="AT220" s="80"/>
      <c r="AU220" s="80"/>
      <c r="AV220" s="77"/>
    </row>
    <row r="221" spans="1:48" ht="15" customHeight="1" x14ac:dyDescent="0.35">
      <c r="A221" s="77"/>
      <c r="B221" s="77" t="s">
        <v>1428</v>
      </c>
      <c r="C221" s="77" t="s">
        <v>1230</v>
      </c>
      <c r="D221" s="77"/>
      <c r="E221" s="79" t="s">
        <v>50</v>
      </c>
      <c r="F221" s="77" t="str">
        <f>VLOOKUP(Table1[[#This Row],[CBRE sub-markets]],Reference!$A$2:$B$31,2,FALSE)</f>
        <v>Kowloon East</v>
      </c>
      <c r="G221" s="77">
        <f>VLOOKUP(Table1[[#This Row],[CBRE sub-markets]],Reference!$A$2:$D$31,3,FALSE)</f>
        <v>7</v>
      </c>
      <c r="H221" s="79" t="str">
        <f>VLOOKUP(Table1[[#This Row],[CBRE sub-markets]],Reference!$A$2:$D$31,4,FALSE)</f>
        <v>Kowloon</v>
      </c>
      <c r="I221" s="80">
        <v>2033</v>
      </c>
      <c r="J221" s="80">
        <v>4</v>
      </c>
      <c r="K221" s="81" t="str">
        <f>IF(ISNUMBER(Table1[[#This Row],[Qtr]]),CONCATENATE(Table1[[#This Row],[Year]]," Q",Table1[[#This Row],[Qtr]]),CONCATENATE(Table1[[#This Row],[Year]],Table1[[#This Row],[Qtr]]))</f>
        <v>2033 Q4</v>
      </c>
      <c r="L221" s="80" t="s">
        <v>20</v>
      </c>
      <c r="M221" s="80" t="s">
        <v>83</v>
      </c>
      <c r="N221" s="80">
        <v>1</v>
      </c>
      <c r="O221" s="80">
        <v>60</v>
      </c>
      <c r="P221" s="80">
        <v>32</v>
      </c>
      <c r="Q221" s="82">
        <f>2250*10.7639</f>
        <v>24218.774999999998</v>
      </c>
      <c r="R221" s="82">
        <f>Table1[[#This Row],[Floor Plate (GFA) (sf)]]*0.75</f>
        <v>18164.081249999999</v>
      </c>
      <c r="S221" s="80" t="str">
        <f t="shared" si="16"/>
        <v>Yes</v>
      </c>
      <c r="T221" s="82"/>
      <c r="U221" s="82"/>
      <c r="V221" s="82">
        <f>Table1[[#This Row],[Office GFA (sf)]]/10.7639</f>
        <v>65860</v>
      </c>
      <c r="W221" s="82">
        <f>65860*10.7639</f>
        <v>708910.45400000003</v>
      </c>
      <c r="X221" s="82">
        <f t="shared" si="20"/>
        <v>49395</v>
      </c>
      <c r="Y221" s="82">
        <f t="shared" si="18"/>
        <v>531682.84050000005</v>
      </c>
      <c r="Z221" s="82"/>
      <c r="AA221" s="82"/>
      <c r="AB221" s="82"/>
      <c r="AC221" s="82">
        <f t="shared" si="19"/>
        <v>0</v>
      </c>
      <c r="AD221" s="82">
        <f>IF(Table1[[#This Row],[For Sale or For Lease?]]="For Sale",Table1[[#This Row],[Office UFA (Net) (sf)]]-Table1[[#This Row],[Pre-leased space (Usable FA) (sf)]]-Table1[[#This Row],[Pre-sold (Usable FA) (sf)]]-Table1[[#This Row],[Self-use space (Usable FA) (sf)]],0)</f>
        <v>0</v>
      </c>
      <c r="AE221" s="82">
        <f>IF(Table1[[#This Row],[For Sale or For Lease?]]="Uncertain",Table1[[#This Row],[Office UFA (Net) (sf)]]-Table1[[#This Row],[Pre-leased space (Usable FA) (sf)]]-Table1[[#This Row],[Pre-sold (Usable FA) (sf)]]-Table1[[#This Row],[Self-use space (Usable FA) (sf)]],0)</f>
        <v>531682.84050000005</v>
      </c>
      <c r="AF221" s="86">
        <f>1-SUM(Table1[[#This Row],[Space available for lease (Usable FA) (sf)]:[Space available uncertain of use (Usable FA) (sf)]])/Table1[[#This Row],[Office UFA (Net) (sf)]]</f>
        <v>0</v>
      </c>
      <c r="AG221" s="79" t="s">
        <v>89</v>
      </c>
      <c r="AH221" s="84" t="s">
        <v>138</v>
      </c>
      <c r="AI221" s="79" t="s">
        <v>92</v>
      </c>
      <c r="AJ221" s="83">
        <v>44409</v>
      </c>
      <c r="AK221" s="83">
        <v>44501</v>
      </c>
      <c r="AL221" s="85" t="s">
        <v>30</v>
      </c>
      <c r="AM221" s="85"/>
      <c r="AN221" s="79" t="s">
        <v>74</v>
      </c>
      <c r="AO221" s="77" t="s">
        <v>1068</v>
      </c>
      <c r="AP221" s="77" t="s">
        <v>1068</v>
      </c>
      <c r="AQ221" s="77" t="s">
        <v>2296</v>
      </c>
      <c r="AR221" s="79" t="s">
        <v>1793</v>
      </c>
      <c r="AS221" s="79" t="s">
        <v>2049</v>
      </c>
      <c r="AT221" s="80">
        <v>22.313330000000001</v>
      </c>
      <c r="AU221" s="80">
        <v>114.22493</v>
      </c>
      <c r="AV221" s="77"/>
    </row>
    <row r="222" spans="1:48" ht="15" hidden="1" customHeight="1" x14ac:dyDescent="0.35">
      <c r="A222" s="77"/>
      <c r="B222" s="77" t="s">
        <v>1501</v>
      </c>
      <c r="C222" s="77" t="s">
        <v>1502</v>
      </c>
      <c r="D222" s="77"/>
      <c r="E222" s="79" t="s">
        <v>5</v>
      </c>
      <c r="F222" s="77" t="str">
        <f>VLOOKUP(Table1[[#This Row],[CBRE sub-markets]],Reference!$A$2:$B$31,2,FALSE)</f>
        <v>Wan Chai &amp; Causeway Bay</v>
      </c>
      <c r="G222" s="77">
        <f>VLOOKUP(Table1[[#This Row],[CBRE sub-markets]],Reference!$A$2:$D$31,3,FALSE)</f>
        <v>3</v>
      </c>
      <c r="H222" s="79" t="str">
        <f>VLOOKUP(Table1[[#This Row],[CBRE sub-markets]],Reference!$A$2:$D$31,4,FALSE)</f>
        <v>Hong Kong Island</v>
      </c>
      <c r="I222" s="80" t="s">
        <v>2305</v>
      </c>
      <c r="J222" s="80"/>
      <c r="K222" s="81" t="str">
        <f>IF(ISNUMBER(Table1[[#This Row],[Qtr]]),CONCATENATE(Table1[[#This Row],[Year]]," Q",Table1[[#This Row],[Qtr]]),CONCATENATE(Table1[[#This Row],[Year]],Table1[[#This Row],[Qtr]]))</f>
        <v>2029-2033</v>
      </c>
      <c r="L222" s="80" t="s">
        <v>20</v>
      </c>
      <c r="M222" s="80" t="s">
        <v>85</v>
      </c>
      <c r="N222" s="80">
        <v>2</v>
      </c>
      <c r="O222" s="80"/>
      <c r="P222" s="80"/>
      <c r="Q222" s="82"/>
      <c r="R222" s="82"/>
      <c r="S222" s="80" t="str">
        <f t="shared" si="16"/>
        <v>Unknown</v>
      </c>
      <c r="T222" s="82"/>
      <c r="U222" s="82"/>
      <c r="V222" s="82">
        <f>4176*15</f>
        <v>62640</v>
      </c>
      <c r="W222" s="82">
        <f>+Table1[[#This Row],[Office GFA (sm)]]*10.7639</f>
        <v>674250.696</v>
      </c>
      <c r="X222" s="82">
        <f>+Table1[[#This Row],[Office GFA (sf)]]*0.75</f>
        <v>505688.022</v>
      </c>
      <c r="Y222" s="82">
        <f t="shared" si="18"/>
        <v>505688.022</v>
      </c>
      <c r="Z222" s="82"/>
      <c r="AA222" s="82"/>
      <c r="AB222" s="82"/>
      <c r="AC222" s="82">
        <f t="shared" si="19"/>
        <v>0</v>
      </c>
      <c r="AD222" s="82">
        <f>IF(Table1[[#This Row],[For Sale or For Lease?]]="For Sale",Table1[[#This Row],[Office UFA (Net) (sf)]]-Table1[[#This Row],[Pre-leased space (Usable FA) (sf)]]-Table1[[#This Row],[Pre-sold (Usable FA) (sf)]]-Table1[[#This Row],[Self-use space (Usable FA) (sf)]],0)</f>
        <v>0</v>
      </c>
      <c r="AE222" s="82">
        <f>IF(Table1[[#This Row],[For Sale or For Lease?]]="Uncertain",Table1[[#This Row],[Office UFA (Net) (sf)]]-Table1[[#This Row],[Pre-leased space (Usable FA) (sf)]]-Table1[[#This Row],[Pre-sold (Usable FA) (sf)]]-Table1[[#This Row],[Self-use space (Usable FA) (sf)]],0)</f>
        <v>505688.022</v>
      </c>
      <c r="AF222" s="86">
        <f>1-SUM(Table1[[#This Row],[Space available for lease (Usable FA) (sf)]:[Space available uncertain of use (Usable FA) (sf)]])/Table1[[#This Row],[Office UFA (Net) (sf)]]</f>
        <v>0</v>
      </c>
      <c r="AG222" s="79" t="s">
        <v>89</v>
      </c>
      <c r="AH222" s="84"/>
      <c r="AI222" s="79" t="s">
        <v>855</v>
      </c>
      <c r="AJ222" s="83"/>
      <c r="AK222" s="83">
        <v>43263</v>
      </c>
      <c r="AL222" s="85" t="s">
        <v>30</v>
      </c>
      <c r="AM222" s="85"/>
      <c r="AN222" s="79" t="s">
        <v>73</v>
      </c>
      <c r="AO222" s="77" t="s">
        <v>1068</v>
      </c>
      <c r="AP222" s="77" t="s">
        <v>1068</v>
      </c>
      <c r="AQ222" s="77" t="s">
        <v>1503</v>
      </c>
      <c r="AR222" s="79" t="s">
        <v>1781</v>
      </c>
      <c r="AS222" s="79" t="s">
        <v>2051</v>
      </c>
      <c r="AT222" s="80"/>
      <c r="AU222" s="80"/>
      <c r="AV222" s="77"/>
    </row>
    <row r="223" spans="1:48" ht="15" hidden="1" customHeight="1" x14ac:dyDescent="0.35">
      <c r="A223" s="77"/>
      <c r="B223" s="77" t="s">
        <v>2282</v>
      </c>
      <c r="C223" s="77" t="s">
        <v>2283</v>
      </c>
      <c r="D223" s="77"/>
      <c r="E223" s="79" t="s">
        <v>6</v>
      </c>
      <c r="F223" s="77" t="str">
        <f>VLOOKUP(Table1[[#This Row],[CBRE sub-markets]],Reference!$A$2:$B$31,2,FALSE)</f>
        <v>Hong Kong East</v>
      </c>
      <c r="G223" s="77">
        <f>VLOOKUP(Table1[[#This Row],[CBRE sub-markets]],Reference!$A$2:$D$31,3,FALSE)</f>
        <v>4</v>
      </c>
      <c r="H223" s="79" t="str">
        <f>VLOOKUP(Table1[[#This Row],[CBRE sub-markets]],Reference!$A$2:$D$31,4,FALSE)</f>
        <v>Hong Kong Island</v>
      </c>
      <c r="I223" s="80" t="s">
        <v>2305</v>
      </c>
      <c r="J223" s="80"/>
      <c r="K223" s="81" t="str">
        <f>IF(ISNUMBER(Table1[[#This Row],[Qtr]]),CONCATENATE(Table1[[#This Row],[Year]]," Q",Table1[[#This Row],[Qtr]]),CONCATENATE(Table1[[#This Row],[Year]],Table1[[#This Row],[Qtr]]))</f>
        <v>2029-2033</v>
      </c>
      <c r="L223" s="80" t="s">
        <v>20</v>
      </c>
      <c r="M223" s="80" t="s">
        <v>85</v>
      </c>
      <c r="N223" s="80">
        <v>1</v>
      </c>
      <c r="O223" s="80" t="s">
        <v>2284</v>
      </c>
      <c r="P223" s="80">
        <v>25</v>
      </c>
      <c r="Q223" s="82">
        <f>Table1[[#This Row],[Office GFA (sf)]]/Table1[[#This Row],[No. of Storeys for Office]]</f>
        <v>11999.9401648</v>
      </c>
      <c r="R223" s="82">
        <f>Table1[[#This Row],[Office UFA (Net) (sf)]]/Table1[[#This Row],[No. of Storeys for Office]]</f>
        <v>8999.9551236000007</v>
      </c>
      <c r="S223" s="80" t="str">
        <f t="shared" si="16"/>
        <v>No</v>
      </c>
      <c r="T223" s="82">
        <v>27870.799999999999</v>
      </c>
      <c r="U223" s="82">
        <f>Table1[[#This Row],[Total GFA (sm)]]*10.7639</f>
        <v>299998.50412</v>
      </c>
      <c r="V223" s="82">
        <f>Table1[[#This Row],[Office GFA (sf)]]/10.7639</f>
        <v>27870.799999999999</v>
      </c>
      <c r="W223" s="82">
        <f>Table1[[#This Row],[Total GFA (sf)]]</f>
        <v>299998.50412</v>
      </c>
      <c r="X223" s="82">
        <f>Table1[[#This Row],[Office GFA (sm)]]*0.75</f>
        <v>20903.099999999999</v>
      </c>
      <c r="Y223" s="82">
        <f t="shared" si="18"/>
        <v>224998.87809000001</v>
      </c>
      <c r="Z223" s="82"/>
      <c r="AA223" s="82"/>
      <c r="AB223" s="82"/>
      <c r="AC223" s="82">
        <f t="shared" si="19"/>
        <v>224998.87809000001</v>
      </c>
      <c r="AD223" s="82">
        <f>IF(Table1[[#This Row],[For Sale or For Lease?]]="For Sale",Table1[[#This Row],[Office UFA (Net) (sf)]]-Table1[[#This Row],[Pre-leased space (Usable FA) (sf)]]-Table1[[#This Row],[Pre-sold (Usable FA) (sf)]]-Table1[[#This Row],[Self-use space (Usable FA) (sf)]],0)</f>
        <v>0</v>
      </c>
      <c r="AE223" s="82">
        <f>IF(Table1[[#This Row],[For Sale or For Lease?]]="Uncertain",Table1[[#This Row],[Office UFA (Net) (sf)]]-Table1[[#This Row],[Pre-leased space (Usable FA) (sf)]]-Table1[[#This Row],[Pre-sold (Usable FA) (sf)]]-Table1[[#This Row],[Self-use space (Usable FA) (sf)]],0)</f>
        <v>0</v>
      </c>
      <c r="AF223" s="86">
        <f>1-SUM(Table1[[#This Row],[Space available for lease (Usable FA) (sf)]:[Space available uncertain of use (Usable FA) (sf)]])/Table1[[#This Row],[Office UFA (Net) (sf)]]</f>
        <v>0</v>
      </c>
      <c r="AG223" s="79" t="s">
        <v>89</v>
      </c>
      <c r="AH223" s="84" t="s">
        <v>138</v>
      </c>
      <c r="AI223" s="79" t="s">
        <v>92</v>
      </c>
      <c r="AJ223" s="83">
        <v>44927</v>
      </c>
      <c r="AK223" s="83">
        <v>45035</v>
      </c>
      <c r="AL223" s="85" t="s">
        <v>30</v>
      </c>
      <c r="AM223" s="85" t="s">
        <v>1612</v>
      </c>
      <c r="AN223" s="79" t="s">
        <v>73</v>
      </c>
      <c r="AO223" s="77" t="s">
        <v>705</v>
      </c>
      <c r="AP223" s="77" t="s">
        <v>81</v>
      </c>
      <c r="AQ223" s="77"/>
      <c r="AR223" s="79" t="s">
        <v>2285</v>
      </c>
      <c r="AS223" s="79"/>
      <c r="AT223" s="80">
        <v>22.291962309650899</v>
      </c>
      <c r="AU223" s="80">
        <v>114.208222409125</v>
      </c>
      <c r="AV223" s="77"/>
    </row>
    <row r="224" spans="1:48" ht="15" customHeight="1" x14ac:dyDescent="0.35">
      <c r="A224" s="77"/>
      <c r="B224" s="77" t="s">
        <v>737</v>
      </c>
      <c r="C224" s="77" t="s">
        <v>1268</v>
      </c>
      <c r="D224" s="77"/>
      <c r="E224" s="79" t="s">
        <v>3</v>
      </c>
      <c r="F224" s="77" t="str">
        <f>VLOOKUP(Table1[[#This Row],[CBRE sub-markets]],Reference!$A$2:$B$31,2,FALSE)</f>
        <v>Admiralty &amp; Sheung Wan</v>
      </c>
      <c r="G224" s="77">
        <f>VLOOKUP(Table1[[#This Row],[CBRE sub-markets]],Reference!$A$2:$D$31,3,FALSE)</f>
        <v>2</v>
      </c>
      <c r="H224" s="79" t="str">
        <f>VLOOKUP(Table1[[#This Row],[CBRE sub-markets]],Reference!$A$2:$D$31,4,FALSE)</f>
        <v>Hong Kong Island</v>
      </c>
      <c r="I224" s="80" t="s">
        <v>2305</v>
      </c>
      <c r="J224" s="80"/>
      <c r="K224" s="81" t="str">
        <f>IF(ISNUMBER(Table1[[#This Row],[Qtr]]),CONCATENATE(Table1[[#This Row],[Year]]," Q",Table1[[#This Row],[Qtr]]),CONCATENATE(Table1[[#This Row],[Year]],Table1[[#This Row],[Qtr]]))</f>
        <v>2029-2033</v>
      </c>
      <c r="L224" s="80" t="s">
        <v>20</v>
      </c>
      <c r="M224" s="80" t="s">
        <v>83</v>
      </c>
      <c r="N224" s="80">
        <v>1</v>
      </c>
      <c r="O224" s="80">
        <v>48</v>
      </c>
      <c r="P224" s="80">
        <v>37</v>
      </c>
      <c r="Q224" s="82">
        <f>Table1[[#This Row],[Office GFA (sf)]]/Table1[[#This Row],[No. of Storeys for Office]]</f>
        <v>23303.843499999999</v>
      </c>
      <c r="R224" s="82">
        <f>Table1[[#This Row],[Office UFA (Net) (sf)]]/Table1[[#This Row],[No. of Storeys for Office]]</f>
        <v>17477.882625000002</v>
      </c>
      <c r="S224" s="80" t="str">
        <f t="shared" si="16"/>
        <v>Yes</v>
      </c>
      <c r="T224" s="82">
        <f>93300+2400</f>
        <v>95700</v>
      </c>
      <c r="U224" s="82">
        <f>+Table1[[#This Row],[Total GFA (sm)]]*10.7639</f>
        <v>1030105.23</v>
      </c>
      <c r="V224" s="82">
        <v>80105</v>
      </c>
      <c r="W224" s="82">
        <f>Table1[[#This Row],[Office GFA (sm)]]*10.7639</f>
        <v>862242.2095</v>
      </c>
      <c r="X224" s="82">
        <f>V224*0.75</f>
        <v>60078.75</v>
      </c>
      <c r="Y224" s="82">
        <f t="shared" si="18"/>
        <v>646681.65712500003</v>
      </c>
      <c r="Z224" s="82"/>
      <c r="AA224" s="82"/>
      <c r="AB224" s="82"/>
      <c r="AC224" s="82">
        <f t="shared" si="19"/>
        <v>646681.65712500003</v>
      </c>
      <c r="AD224" s="82">
        <f>IF(Table1[[#This Row],[For Sale or For Lease?]]="For Sale",Table1[[#This Row],[Office UFA (Net) (sf)]]-Table1[[#This Row],[Pre-leased space (Usable FA) (sf)]]-Table1[[#This Row],[Pre-sold (Usable FA) (sf)]]-Table1[[#This Row],[Self-use space (Usable FA) (sf)]],0)</f>
        <v>0</v>
      </c>
      <c r="AE224" s="82">
        <f>IF(Table1[[#This Row],[For Sale or For Lease?]]="Uncertain",Table1[[#This Row],[Office UFA (Net) (sf)]]-Table1[[#This Row],[Pre-leased space (Usable FA) (sf)]]-Table1[[#This Row],[Pre-sold (Usable FA) (sf)]]-Table1[[#This Row],[Self-use space (Usable FA) (sf)]],0)</f>
        <v>0</v>
      </c>
      <c r="AF224" s="86">
        <f>1-SUM(Table1[[#This Row],[Space available for lease (Usable FA) (sf)]:[Space available uncertain of use (Usable FA) (sf)]])/Table1[[#This Row],[Office UFA (Net) (sf)]]</f>
        <v>0</v>
      </c>
      <c r="AG224" s="79" t="s">
        <v>89</v>
      </c>
      <c r="AH224" s="84"/>
      <c r="AI224" s="79" t="s">
        <v>1231</v>
      </c>
      <c r="AJ224" s="83">
        <v>42307</v>
      </c>
      <c r="AK224" s="83">
        <v>42431</v>
      </c>
      <c r="AL224" s="85" t="s">
        <v>30</v>
      </c>
      <c r="AM224" s="85"/>
      <c r="AN224" s="79" t="s">
        <v>74</v>
      </c>
      <c r="AO224" s="77" t="s">
        <v>705</v>
      </c>
      <c r="AP224" s="77" t="s">
        <v>81</v>
      </c>
      <c r="AQ224" s="77" t="s">
        <v>1273</v>
      </c>
      <c r="AR224" s="79" t="s">
        <v>1768</v>
      </c>
      <c r="AS224" s="79" t="s">
        <v>2052</v>
      </c>
      <c r="AT224" s="80">
        <v>22.279</v>
      </c>
      <c r="AU224" s="80">
        <v>114.16464000000001</v>
      </c>
      <c r="AV224" s="77"/>
    </row>
    <row r="225" spans="1:48" ht="15" hidden="1" customHeight="1" x14ac:dyDescent="0.35">
      <c r="A225" s="77"/>
      <c r="B225" s="77" t="s">
        <v>1570</v>
      </c>
      <c r="C225" s="77" t="s">
        <v>1569</v>
      </c>
      <c r="D225" s="77"/>
      <c r="E225" s="79" t="s">
        <v>360</v>
      </c>
      <c r="F225" s="77" t="str">
        <f>VLOOKUP(Table1[[#This Row],[CBRE sub-markets]],Reference!$A$2:$B$31,2,FALSE)</f>
        <v>Hong Kong East</v>
      </c>
      <c r="G225" s="77">
        <f>VLOOKUP(Table1[[#This Row],[CBRE sub-markets]],Reference!$A$2:$D$31,3,FALSE)</f>
        <v>4</v>
      </c>
      <c r="H225" s="79" t="str">
        <f>VLOOKUP(Table1[[#This Row],[CBRE sub-markets]],Reference!$A$2:$D$31,4,FALSE)</f>
        <v>Hong Kong Island</v>
      </c>
      <c r="I225" s="80" t="s">
        <v>2305</v>
      </c>
      <c r="J225" s="80"/>
      <c r="K225" s="81" t="str">
        <f>IF(ISNUMBER(Table1[[#This Row],[Qtr]]),CONCATENATE(Table1[[#This Row],[Year]]," Q",Table1[[#This Row],[Qtr]]),CONCATENATE(Table1[[#This Row],[Year]],Table1[[#This Row],[Qtr]]))</f>
        <v>2029-2033</v>
      </c>
      <c r="L225" s="80" t="s">
        <v>21</v>
      </c>
      <c r="M225" s="80" t="s">
        <v>85</v>
      </c>
      <c r="N225" s="80">
        <v>1</v>
      </c>
      <c r="O225" s="80">
        <v>8</v>
      </c>
      <c r="P225" s="80">
        <v>6</v>
      </c>
      <c r="Q225" s="82">
        <f>Table1[[#This Row],[Office GFA (sm)]]/Table1[[#This Row],[No. of Storeys for Office]]</f>
        <v>1345</v>
      </c>
      <c r="R225" s="82">
        <f>Table1[[#This Row],[Floor Plate (GFA) (sf)]]*10.7639</f>
        <v>14477.4455</v>
      </c>
      <c r="S225" s="80" t="str">
        <f t="shared" si="16"/>
        <v>No</v>
      </c>
      <c r="T225" s="82">
        <f>37155</f>
        <v>37155</v>
      </c>
      <c r="U225" s="82">
        <f>+Table1[[#This Row],[Total GFA (sm)]]*10.7639</f>
        <v>399932.70449999999</v>
      </c>
      <c r="V225" s="82">
        <v>8070</v>
      </c>
      <c r="W225" s="82">
        <f>+Table1[[#This Row],[Office GFA (sm)]]*10.7639</f>
        <v>86864.672999999995</v>
      </c>
      <c r="X225" s="82">
        <f>Table1[[#This Row],[Office GFA (sm)]]*0.75</f>
        <v>6052.5</v>
      </c>
      <c r="Y225" s="82">
        <f>+Table1[[#This Row],[Office UFA (Net) (sm)]]*10.7639</f>
        <v>65148.50475</v>
      </c>
      <c r="Z225" s="82"/>
      <c r="AA225" s="82"/>
      <c r="AB225" s="82"/>
      <c r="AC225" s="82">
        <f t="shared" si="19"/>
        <v>0</v>
      </c>
      <c r="AD225" s="82">
        <f>IF(Table1[[#This Row],[For Sale or For Lease?]]="For Sale",Table1[[#This Row],[Office UFA (Net) (sf)]]-Table1[[#This Row],[Pre-leased space (Usable FA) (sf)]]-Table1[[#This Row],[Pre-sold (Usable FA) (sf)]]-Table1[[#This Row],[Self-use space (Usable FA) (sf)]],0)</f>
        <v>0</v>
      </c>
      <c r="AE225" s="82">
        <f>IF(Table1[[#This Row],[For Sale or For Lease?]]="Uncertain",Table1[[#This Row],[Office UFA (Net) (sf)]]-Table1[[#This Row],[Pre-leased space (Usable FA) (sf)]]-Table1[[#This Row],[Pre-sold (Usable FA) (sf)]]-Table1[[#This Row],[Self-use space (Usable FA) (sf)]],0)</f>
        <v>65148.50475</v>
      </c>
      <c r="AF225" s="86">
        <f>1-SUM(Table1[[#This Row],[Space available for lease (Usable FA) (sf)]:[Space available uncertain of use (Usable FA) (sf)]])/Table1[[#This Row],[Office UFA (Net) (sf)]]</f>
        <v>0</v>
      </c>
      <c r="AG225" s="79" t="s">
        <v>89</v>
      </c>
      <c r="AH225" s="84"/>
      <c r="AI225" s="79" t="s">
        <v>1231</v>
      </c>
      <c r="AJ225" s="83">
        <v>43472</v>
      </c>
      <c r="AK225" s="83">
        <v>43482</v>
      </c>
      <c r="AL225" s="85" t="s">
        <v>29</v>
      </c>
      <c r="AM225" s="85" t="s">
        <v>2486</v>
      </c>
      <c r="AN225" s="79" t="s">
        <v>73</v>
      </c>
      <c r="AO225" s="77" t="s">
        <v>1068</v>
      </c>
      <c r="AP225" s="77" t="s">
        <v>81</v>
      </c>
      <c r="AQ225" s="107" t="s">
        <v>2485</v>
      </c>
      <c r="AR225" s="79" t="s">
        <v>1782</v>
      </c>
      <c r="AS225" s="79" t="s">
        <v>2043</v>
      </c>
      <c r="AT225" s="80"/>
      <c r="AU225" s="80"/>
      <c r="AV225" s="77"/>
    </row>
    <row r="226" spans="1:48" ht="15" hidden="1" customHeight="1" x14ac:dyDescent="0.35">
      <c r="A226" s="77"/>
      <c r="B226" s="77" t="s">
        <v>1961</v>
      </c>
      <c r="C226" s="77" t="s">
        <v>1960</v>
      </c>
      <c r="D226" s="77"/>
      <c r="E226" s="79" t="s">
        <v>4</v>
      </c>
      <c r="F226" s="77" t="str">
        <f>VLOOKUP(Table1[[#This Row],[CBRE sub-markets]],Reference!$A$2:$B$31,2,FALSE)</f>
        <v>Wan Chai &amp; Causeway Bay</v>
      </c>
      <c r="G226" s="77">
        <f>VLOOKUP(Table1[[#This Row],[CBRE sub-markets]],Reference!$A$2:$D$31,3,FALSE)</f>
        <v>3</v>
      </c>
      <c r="H226" s="79" t="str">
        <f>VLOOKUP(Table1[[#This Row],[CBRE sub-markets]],Reference!$A$2:$D$31,4,FALSE)</f>
        <v>Hong Kong Island</v>
      </c>
      <c r="I226" s="80" t="s">
        <v>2305</v>
      </c>
      <c r="J226" s="80"/>
      <c r="K226" s="81" t="str">
        <f>IF(ISNUMBER(Table1[[#This Row],[Qtr]]),CONCATENATE(Table1[[#This Row],[Year]]," Q",Table1[[#This Row],[Qtr]]),CONCATENATE(Table1[[#This Row],[Year]],Table1[[#This Row],[Qtr]]))</f>
        <v>2029-2033</v>
      </c>
      <c r="L226" s="80" t="s">
        <v>21</v>
      </c>
      <c r="M226" s="80" t="s">
        <v>85</v>
      </c>
      <c r="N226" s="80">
        <v>1</v>
      </c>
      <c r="O226" s="80" t="s">
        <v>1962</v>
      </c>
      <c r="P226" s="80">
        <v>21</v>
      </c>
      <c r="Q226" s="82"/>
      <c r="R226" s="82"/>
      <c r="S226" s="80" t="str">
        <f t="shared" si="16"/>
        <v>Unknown</v>
      </c>
      <c r="T226" s="82">
        <v>2944.26</v>
      </c>
      <c r="U226" s="82">
        <f>Table1[[#This Row],[Total GFA (sm)]]*10.7639</f>
        <v>31691.720214000001</v>
      </c>
      <c r="V226" s="82">
        <f>Table1[[#This Row],[Total GFA (sm)]]/26*21</f>
        <v>2378.0561538461543</v>
      </c>
      <c r="W226" s="82">
        <f>Table1[[#This Row],[Office GFA (sm)]]*10.7639</f>
        <v>25597.158634384621</v>
      </c>
      <c r="X226" s="82">
        <f>V226*0.75</f>
        <v>1783.5421153846157</v>
      </c>
      <c r="Y226" s="82">
        <f>W226*0.75</f>
        <v>19197.868975788464</v>
      </c>
      <c r="Z226" s="82"/>
      <c r="AA226" s="82"/>
      <c r="AB226" s="82"/>
      <c r="AC226" s="82">
        <f t="shared" si="19"/>
        <v>0</v>
      </c>
      <c r="AD226" s="82">
        <f>IF(Table1[[#This Row],[For Sale or For Lease?]]="For Sale",Table1[[#This Row],[Office UFA (Net) (sf)]]-Table1[[#This Row],[Pre-leased space (Usable FA) (sf)]]-Table1[[#This Row],[Pre-sold (Usable FA) (sf)]]-Table1[[#This Row],[Self-use space (Usable FA) (sf)]],0)</f>
        <v>0</v>
      </c>
      <c r="AE226" s="82">
        <f>IF(Table1[[#This Row],[For Sale or For Lease?]]="Uncertain",Table1[[#This Row],[Office UFA (Net) (sf)]]-Table1[[#This Row],[Pre-leased space (Usable FA) (sf)]]-Table1[[#This Row],[Pre-sold (Usable FA) (sf)]]-Table1[[#This Row],[Self-use space (Usable FA) (sf)]],0)</f>
        <v>19197.868975788464</v>
      </c>
      <c r="AF226" s="86">
        <f>1-SUM(Table1[[#This Row],[Space available for lease (Usable FA) (sf)]:[Space available uncertain of use (Usable FA) (sf)]])/Table1[[#This Row],[Office UFA (Net) (sf)]]</f>
        <v>0</v>
      </c>
      <c r="AG226" s="79" t="s">
        <v>89</v>
      </c>
      <c r="AH226" s="84"/>
      <c r="AI226" s="79" t="s">
        <v>1550</v>
      </c>
      <c r="AJ226" s="83"/>
      <c r="AK226" s="83">
        <v>44769</v>
      </c>
      <c r="AL226" s="85" t="s">
        <v>30</v>
      </c>
      <c r="AM226" s="85"/>
      <c r="AN226" s="79" t="s">
        <v>73</v>
      </c>
      <c r="AO226" s="77" t="s">
        <v>1068</v>
      </c>
      <c r="AP226" s="77" t="s">
        <v>1068</v>
      </c>
      <c r="AQ226" s="77"/>
      <c r="AR226" s="79" t="s">
        <v>1963</v>
      </c>
      <c r="AS226" s="79"/>
      <c r="AT226" s="80">
        <v>22.339189999999999</v>
      </c>
      <c r="AU226" s="80">
        <v>114.15603</v>
      </c>
      <c r="AV226" s="77" t="s">
        <v>2132</v>
      </c>
    </row>
    <row r="227" spans="1:48" ht="15" customHeight="1" x14ac:dyDescent="0.35">
      <c r="A227" s="77"/>
      <c r="B227" s="77" t="s">
        <v>1971</v>
      </c>
      <c r="C227" s="77" t="s">
        <v>1975</v>
      </c>
      <c r="D227" s="77"/>
      <c r="E227" s="79" t="s">
        <v>360</v>
      </c>
      <c r="F227" s="77" t="str">
        <f>VLOOKUP(Table1[[#This Row],[CBRE sub-markets]],Reference!$A$2:$B$31,2,FALSE)</f>
        <v>Hong Kong East</v>
      </c>
      <c r="G227" s="77">
        <f>VLOOKUP(Table1[[#This Row],[CBRE sub-markets]],Reference!$A$2:$D$31,3,FALSE)</f>
        <v>4</v>
      </c>
      <c r="H227" s="79" t="str">
        <f>VLOOKUP(Table1[[#This Row],[CBRE sub-markets]],Reference!$A$2:$D$31,4,FALSE)</f>
        <v>Hong Kong Island</v>
      </c>
      <c r="I227" s="80" t="s">
        <v>2305</v>
      </c>
      <c r="J227" s="80"/>
      <c r="K227" s="81" t="str">
        <f>IF(ISNUMBER(Table1[[#This Row],[Qtr]]),CONCATENATE(Table1[[#This Row],[Year]]," Q",Table1[[#This Row],[Qtr]]),CONCATENATE(Table1[[#This Row],[Year]],Table1[[#This Row],[Qtr]]))</f>
        <v>2029-2033</v>
      </c>
      <c r="L227" s="80" t="s">
        <v>20</v>
      </c>
      <c r="M227" s="80" t="s">
        <v>83</v>
      </c>
      <c r="N227" s="80">
        <v>1</v>
      </c>
      <c r="O227" s="80"/>
      <c r="P227" s="80"/>
      <c r="Q227" s="82">
        <f>20060*0.65</f>
        <v>13039</v>
      </c>
      <c r="R227" s="82">
        <f>Table1[[#This Row],[Floor Plate (GFA) (sf)]]*0.75</f>
        <v>9779.25</v>
      </c>
      <c r="S227" s="80" t="str">
        <f t="shared" si="16"/>
        <v>No</v>
      </c>
      <c r="T227" s="82">
        <f>Table1[[#This Row],[Total GFA (sf)]]/10.7639</f>
        <v>27954.551788849767</v>
      </c>
      <c r="U227" s="82">
        <f>20060*15</f>
        <v>300900</v>
      </c>
      <c r="V227" s="82">
        <f>Table1[[#This Row],[Total GFA (sf)]]/10.7639</f>
        <v>27954.551788849767</v>
      </c>
      <c r="W227" s="82">
        <f>20060*15</f>
        <v>300900</v>
      </c>
      <c r="X227" s="82">
        <f>V227*0.75</f>
        <v>20965.913841637324</v>
      </c>
      <c r="Y227" s="82">
        <f>W227*0.75</f>
        <v>225675</v>
      </c>
      <c r="Z227" s="82"/>
      <c r="AA227" s="82"/>
      <c r="AB227" s="82"/>
      <c r="AC227" s="82">
        <f t="shared" si="19"/>
        <v>225675</v>
      </c>
      <c r="AD227" s="82">
        <f>IF(Table1[[#This Row],[For Sale or For Lease?]]="For Sale",Table1[[#This Row],[Office UFA (Net) (sf)]]-Table1[[#This Row],[Pre-leased space (Usable FA) (sf)]]-Table1[[#This Row],[Pre-sold (Usable FA) (sf)]]-Table1[[#This Row],[Self-use space (Usable FA) (sf)]],0)</f>
        <v>0</v>
      </c>
      <c r="AE227" s="82">
        <f>IF(Table1[[#This Row],[For Sale or For Lease?]]="Uncertain",Table1[[#This Row],[Office UFA (Net) (sf)]]-Table1[[#This Row],[Pre-leased space (Usable FA) (sf)]]-Table1[[#This Row],[Pre-sold (Usable FA) (sf)]]-Table1[[#This Row],[Self-use space (Usable FA) (sf)]],0)</f>
        <v>0</v>
      </c>
      <c r="AF227" s="86">
        <f>1-SUM(Table1[[#This Row],[Space available for lease (Usable FA) (sf)]:[Space available uncertain of use (Usable FA) (sf)]])/Table1[[#This Row],[Office UFA (Net) (sf)]]</f>
        <v>0</v>
      </c>
      <c r="AG227" s="79" t="s">
        <v>89</v>
      </c>
      <c r="AH227" s="84"/>
      <c r="AI227" s="79" t="s">
        <v>1977</v>
      </c>
      <c r="AJ227" s="83"/>
      <c r="AK227" s="83">
        <v>44784</v>
      </c>
      <c r="AL227" s="85" t="s">
        <v>30</v>
      </c>
      <c r="AM227" s="85" t="s">
        <v>99</v>
      </c>
      <c r="AN227" s="79" t="s">
        <v>73</v>
      </c>
      <c r="AO227" s="77" t="s">
        <v>705</v>
      </c>
      <c r="AP227" s="77" t="s">
        <v>81</v>
      </c>
      <c r="AQ227" s="77"/>
      <c r="AR227" s="79" t="s">
        <v>1976</v>
      </c>
      <c r="AS227" s="79"/>
      <c r="AT227" s="80">
        <v>22.287590000000002</v>
      </c>
      <c r="AU227" s="80">
        <v>114.21183000000001</v>
      </c>
      <c r="AV227" s="77" t="s">
        <v>2106</v>
      </c>
    </row>
    <row r="228" spans="1:48" ht="15" hidden="1" customHeight="1" x14ac:dyDescent="0.35">
      <c r="A228" s="77"/>
      <c r="B228" s="77" t="s">
        <v>1584</v>
      </c>
      <c r="C228" s="77" t="s">
        <v>1582</v>
      </c>
      <c r="D228" s="77"/>
      <c r="E228" s="79" t="s">
        <v>1125</v>
      </c>
      <c r="F228" s="77" t="str">
        <f>VLOOKUP(Table1[[#This Row],[CBRE sub-markets]],Reference!$A$2:$B$31,2,FALSE)</f>
        <v>Kowloon Others</v>
      </c>
      <c r="G228" s="77">
        <f>VLOOKUP(Table1[[#This Row],[CBRE sub-markets]],Reference!$A$2:$D$31,3,FALSE)</f>
        <v>8</v>
      </c>
      <c r="H228" s="79" t="str">
        <f>VLOOKUP(Table1[[#This Row],[CBRE sub-markets]],Reference!$A$2:$D$31,4,FALSE)</f>
        <v>Kowloon</v>
      </c>
      <c r="I228" s="80" t="s">
        <v>2305</v>
      </c>
      <c r="J228" s="80"/>
      <c r="K228" s="81" t="str">
        <f>IF(ISNUMBER(Table1[[#This Row],[Qtr]]),CONCATENATE(Table1[[#This Row],[Year]]," Q",Table1[[#This Row],[Qtr]]),CONCATENATE(Table1[[#This Row],[Year]],Table1[[#This Row],[Qtr]]))</f>
        <v>2029-2033</v>
      </c>
      <c r="L228" s="80" t="s">
        <v>20</v>
      </c>
      <c r="M228" s="80" t="s">
        <v>85</v>
      </c>
      <c r="N228" s="80">
        <v>1</v>
      </c>
      <c r="O228" s="80"/>
      <c r="P228" s="80"/>
      <c r="Q228" s="82"/>
      <c r="R228" s="82"/>
      <c r="S228" s="80" t="str">
        <f t="shared" si="16"/>
        <v>Unknown</v>
      </c>
      <c r="T228" s="82">
        <f>780000/10.7639-T229</f>
        <v>15464.441327028311</v>
      </c>
      <c r="U228" s="82">
        <f>+Table1[[#This Row],[Total GFA (sm)]]*10.7639</f>
        <v>166457.70000000004</v>
      </c>
      <c r="V228" s="82">
        <f>Table1[[#This Row],[Total GFA (sm)]]</f>
        <v>15464.441327028311</v>
      </c>
      <c r="W228" s="82">
        <f>+Table1[[#This Row],[Office GFA (sm)]]*10.7639</f>
        <v>166457.70000000004</v>
      </c>
      <c r="X228" s="82">
        <f>+Table1[[#This Row],[Office GFA (sm)]]*0.75</f>
        <v>11598.330995271233</v>
      </c>
      <c r="Y228" s="82">
        <f>+Table1[[#This Row],[Office GFA (sf)]]*0.75</f>
        <v>124843.27500000002</v>
      </c>
      <c r="Z228" s="82"/>
      <c r="AA228" s="82"/>
      <c r="AB228" s="82"/>
      <c r="AC228" s="82">
        <f t="shared" si="19"/>
        <v>0</v>
      </c>
      <c r="AD228" s="82">
        <f>IF(Table1[[#This Row],[For Sale or For Lease?]]="For Sale",Table1[[#This Row],[Office UFA (Net) (sf)]]-Table1[[#This Row],[Pre-leased space (Usable FA) (sf)]]-Table1[[#This Row],[Pre-sold (Usable FA) (sf)]]-Table1[[#This Row],[Self-use space (Usable FA) (sf)]],0)</f>
        <v>0</v>
      </c>
      <c r="AE228" s="82">
        <f>IF(Table1[[#This Row],[For Sale or For Lease?]]="Uncertain",Table1[[#This Row],[Office UFA (Net) (sf)]]-Table1[[#This Row],[Pre-leased space (Usable FA) (sf)]]-Table1[[#This Row],[Pre-sold (Usable FA) (sf)]]-Table1[[#This Row],[Self-use space (Usable FA) (sf)]],0)</f>
        <v>124843.27500000002</v>
      </c>
      <c r="AF228" s="86">
        <f>1-SUM(Table1[[#This Row],[Space available for lease (Usable FA) (sf)]:[Space available uncertain of use (Usable FA) (sf)]])/Table1[[#This Row],[Office UFA (Net) (sf)]]</f>
        <v>0</v>
      </c>
      <c r="AG228" s="79" t="s">
        <v>89</v>
      </c>
      <c r="AH228" s="84"/>
      <c r="AI228" s="79" t="s">
        <v>346</v>
      </c>
      <c r="AJ228" s="83">
        <v>43544</v>
      </c>
      <c r="AK228" s="83">
        <v>43544</v>
      </c>
      <c r="AL228" s="85" t="s">
        <v>30</v>
      </c>
      <c r="AM228" s="85" t="s">
        <v>1583</v>
      </c>
      <c r="AN228" s="79" t="s">
        <v>73</v>
      </c>
      <c r="AO228" s="77" t="s">
        <v>1068</v>
      </c>
      <c r="AP228" s="77" t="s">
        <v>1068</v>
      </c>
      <c r="AQ228" s="77"/>
      <c r="AR228" s="79" t="s">
        <v>1809</v>
      </c>
      <c r="AS228" s="79" t="s">
        <v>2038</v>
      </c>
      <c r="AT228" s="80"/>
      <c r="AU228" s="80"/>
      <c r="AV228" s="77"/>
    </row>
    <row r="229" spans="1:48" ht="15" hidden="1" customHeight="1" x14ac:dyDescent="0.35">
      <c r="A229" s="77"/>
      <c r="B229" s="77" t="s">
        <v>1581</v>
      </c>
      <c r="C229" s="77" t="s">
        <v>1582</v>
      </c>
      <c r="D229" s="77"/>
      <c r="E229" s="79" t="s">
        <v>1125</v>
      </c>
      <c r="F229" s="77" t="str">
        <f>VLOOKUP(Table1[[#This Row],[CBRE sub-markets]],Reference!$A$2:$B$31,2,FALSE)</f>
        <v>Kowloon Others</v>
      </c>
      <c r="G229" s="77">
        <f>VLOOKUP(Table1[[#This Row],[CBRE sub-markets]],Reference!$A$2:$D$31,3,FALSE)</f>
        <v>8</v>
      </c>
      <c r="H229" s="79" t="str">
        <f>VLOOKUP(Table1[[#This Row],[CBRE sub-markets]],Reference!$A$2:$D$31,4,FALSE)</f>
        <v>Kowloon</v>
      </c>
      <c r="I229" s="80" t="s">
        <v>2305</v>
      </c>
      <c r="J229" s="80"/>
      <c r="K229" s="81" t="str">
        <f>IF(ISNUMBER(Table1[[#This Row],[Qtr]]),CONCATENATE(Table1[[#This Row],[Year]]," Q",Table1[[#This Row],[Qtr]]),CONCATENATE(Table1[[#This Row],[Year]],Table1[[#This Row],[Qtr]]))</f>
        <v>2029-2033</v>
      </c>
      <c r="L229" s="80" t="s">
        <v>20</v>
      </c>
      <c r="M229" s="80" t="s">
        <v>85</v>
      </c>
      <c r="N229" s="80">
        <v>1</v>
      </c>
      <c r="O229" s="80"/>
      <c r="P229" s="80"/>
      <c r="Q229" s="82"/>
      <c r="R229" s="82"/>
      <c r="S229" s="80" t="str">
        <f t="shared" si="16"/>
        <v>Unknown</v>
      </c>
      <c r="T229" s="82">
        <v>57000</v>
      </c>
      <c r="U229" s="82">
        <f>+Table1[[#This Row],[Total GFA (sm)]]*10.7639</f>
        <v>613542.29999999993</v>
      </c>
      <c r="V229" s="82">
        <f>Table1[[#This Row],[Total GFA (sm)]]</f>
        <v>57000</v>
      </c>
      <c r="W229" s="82">
        <f>+Table1[[#This Row],[Office GFA (sm)]]*10.7639</f>
        <v>613542.29999999993</v>
      </c>
      <c r="X229" s="82">
        <f>+Table1[[#This Row],[Office GFA (sm)]]*0.75</f>
        <v>42750</v>
      </c>
      <c r="Y229" s="82">
        <f>+Table1[[#This Row],[Office GFA (sf)]]*0.75</f>
        <v>460156.72499999998</v>
      </c>
      <c r="Z229" s="82"/>
      <c r="AA229" s="82"/>
      <c r="AB229" s="82"/>
      <c r="AC229" s="82">
        <f t="shared" si="19"/>
        <v>0</v>
      </c>
      <c r="AD229" s="82">
        <f>IF(Table1[[#This Row],[For Sale or For Lease?]]="For Sale",Table1[[#This Row],[Office UFA (Net) (sf)]]-Table1[[#This Row],[Pre-leased space (Usable FA) (sf)]]-Table1[[#This Row],[Pre-sold (Usable FA) (sf)]]-Table1[[#This Row],[Self-use space (Usable FA) (sf)]],0)</f>
        <v>0</v>
      </c>
      <c r="AE229" s="82">
        <f>IF(Table1[[#This Row],[For Sale or For Lease?]]="Uncertain",Table1[[#This Row],[Office UFA (Net) (sf)]]-Table1[[#This Row],[Pre-leased space (Usable FA) (sf)]]-Table1[[#This Row],[Pre-sold (Usable FA) (sf)]]-Table1[[#This Row],[Self-use space (Usable FA) (sf)]],0)</f>
        <v>460156.72499999998</v>
      </c>
      <c r="AF229" s="86">
        <f>1-SUM(Table1[[#This Row],[Space available for lease (Usable FA) (sf)]:[Space available uncertain of use (Usable FA) (sf)]])/Table1[[#This Row],[Office UFA (Net) (sf)]]</f>
        <v>0</v>
      </c>
      <c r="AG229" s="79" t="s">
        <v>89</v>
      </c>
      <c r="AH229" s="84"/>
      <c r="AI229" s="79" t="s">
        <v>346</v>
      </c>
      <c r="AJ229" s="83">
        <v>43544</v>
      </c>
      <c r="AK229" s="83">
        <v>43544</v>
      </c>
      <c r="AL229" s="85" t="s">
        <v>30</v>
      </c>
      <c r="AM229" s="85" t="s">
        <v>1583</v>
      </c>
      <c r="AN229" s="79" t="s">
        <v>73</v>
      </c>
      <c r="AO229" s="77" t="s">
        <v>1068</v>
      </c>
      <c r="AP229" s="77" t="s">
        <v>1068</v>
      </c>
      <c r="AQ229" s="77"/>
      <c r="AR229" s="79" t="s">
        <v>1810</v>
      </c>
      <c r="AS229" s="79" t="s">
        <v>2039</v>
      </c>
      <c r="AT229" s="80"/>
      <c r="AU229" s="80"/>
      <c r="AV229" s="77"/>
    </row>
    <row r="230" spans="1:48" ht="15" hidden="1" customHeight="1" x14ac:dyDescent="0.35">
      <c r="A230" s="77"/>
      <c r="B230" s="77" t="s">
        <v>1579</v>
      </c>
      <c r="C230" s="77" t="s">
        <v>1580</v>
      </c>
      <c r="D230" s="77"/>
      <c r="E230" s="79" t="s">
        <v>1125</v>
      </c>
      <c r="F230" s="77" t="str">
        <f>VLOOKUP(Table1[[#This Row],[CBRE sub-markets]],Reference!$A$2:$B$31,2,FALSE)</f>
        <v>Kowloon Others</v>
      </c>
      <c r="G230" s="77">
        <f>VLOOKUP(Table1[[#This Row],[CBRE sub-markets]],Reference!$A$2:$D$31,3,FALSE)</f>
        <v>8</v>
      </c>
      <c r="H230" s="79" t="str">
        <f>VLOOKUP(Table1[[#This Row],[CBRE sub-markets]],Reference!$A$2:$D$31,4,FALSE)</f>
        <v>Kowloon</v>
      </c>
      <c r="I230" s="80" t="s">
        <v>2305</v>
      </c>
      <c r="J230" s="80"/>
      <c r="K230" s="81" t="str">
        <f>IF(ISNUMBER(Table1[[#This Row],[Qtr]]),CONCATENATE(Table1[[#This Row],[Year]]," Q",Table1[[#This Row],[Qtr]]),CONCATENATE(Table1[[#This Row],[Year]],Table1[[#This Row],[Qtr]]))</f>
        <v>2029-2033</v>
      </c>
      <c r="L230" s="80" t="s">
        <v>20</v>
      </c>
      <c r="M230" s="80" t="s">
        <v>85</v>
      </c>
      <c r="N230" s="80">
        <v>2</v>
      </c>
      <c r="O230" s="80" t="s">
        <v>1598</v>
      </c>
      <c r="P230" s="80">
        <v>26</v>
      </c>
      <c r="Q230" s="82">
        <f>+Table1[[#This Row],[Office GFA (sf)]]/Table1[[#This Row],[No. of Storeys for Office]]</f>
        <v>44480.988757692307</v>
      </c>
      <c r="R230" s="82">
        <f>+Table1[[#This Row],[Office UFA (Net) (sf)]]/Table1[[#This Row],[No. of Storeys for Office]]</f>
        <v>33360.741568269223</v>
      </c>
      <c r="S230" s="80" t="str">
        <f t="shared" si="16"/>
        <v>Yes</v>
      </c>
      <c r="T230" s="82">
        <v>107443</v>
      </c>
      <c r="U230" s="82">
        <f>+Table1[[#This Row],[Total GFA (sm)]]*10.7639</f>
        <v>1156505.7076999999</v>
      </c>
      <c r="V230" s="82">
        <v>107443</v>
      </c>
      <c r="W230" s="82">
        <f>+Table1[[#This Row],[Office GFA (sm)]]*10.7639</f>
        <v>1156505.7076999999</v>
      </c>
      <c r="X230" s="82">
        <f>Table1[[#This Row],[Office GFA (sm)]]*0.75</f>
        <v>80582.25</v>
      </c>
      <c r="Y230" s="82">
        <f>Table1[[#This Row],[Office GFA (sf)]]*0.75</f>
        <v>867379.28077499988</v>
      </c>
      <c r="Z230" s="82"/>
      <c r="AA230" s="82"/>
      <c r="AB230" s="82"/>
      <c r="AC230" s="82">
        <f>IF(Table1[[#This Row],[For Sale or For Lease?]]="For Lease",Table1[[#This Row],[Office UFA (Net) (sf)]]-Table1[[#This Row],[Pre-leased space (Usable FA) (sf)]]-Table1[[#This Row],[Pre-sold (Usable FA) (sf)]]-Table1[[#This Row],[Self-use space (Usable FA) (sf)]],0)</f>
        <v>867379.28077499988</v>
      </c>
      <c r="AD230" s="82">
        <f>IF(Table1[[#This Row],[For Sale or For Lease?]]="For Sale",Table1[[#This Row],[Office UFA (Net) (sf)]]-Table1[[#This Row],[Pre-leased space (Usable FA) (sf)]]-Table1[[#This Row],[Pre-sold (Usable FA) (sf)]]-Table1[[#This Row],[Self-use space (Usable FA) (sf)]],0)</f>
        <v>0</v>
      </c>
      <c r="AE230" s="82">
        <f>IF(Table1[[#This Row],[For Sale or For Lease?]]="Uncertain",Table1[[#This Row],[Office UFA (Net) (sf)]]-Table1[[#This Row],[Pre-leased space (Usable FA) (sf)]]-Table1[[#This Row],[Pre-sold (Usable FA) (sf)]]-Table1[[#This Row],[Self-use space (Usable FA) (sf)]],0)</f>
        <v>0</v>
      </c>
      <c r="AF230" s="86">
        <f>1-SUM(Table1[[#This Row],[Space available for lease (Usable FA) (sf)]:[Space available uncertain of use (Usable FA) (sf)]])/Table1[[#This Row],[Office UFA (Net) (sf)]]</f>
        <v>0</v>
      </c>
      <c r="AG230" s="79" t="s">
        <v>89</v>
      </c>
      <c r="AH230" s="84" t="s">
        <v>138</v>
      </c>
      <c r="AI230" s="79" t="s">
        <v>1550</v>
      </c>
      <c r="AJ230" s="83">
        <v>43586</v>
      </c>
      <c r="AK230" s="83">
        <v>43647</v>
      </c>
      <c r="AL230" s="85" t="s">
        <v>30</v>
      </c>
      <c r="AM230" s="85" t="s">
        <v>1306</v>
      </c>
      <c r="AN230" s="79" t="s">
        <v>73</v>
      </c>
      <c r="AO230" s="77" t="s">
        <v>705</v>
      </c>
      <c r="AP230" s="77" t="s">
        <v>81</v>
      </c>
      <c r="AQ230" s="77" t="s">
        <v>1475</v>
      </c>
      <c r="AR230" s="79" t="s">
        <v>1806</v>
      </c>
      <c r="AS230" s="79" t="s">
        <v>1995</v>
      </c>
      <c r="AT230" s="80"/>
      <c r="AU230" s="80"/>
      <c r="AV230" s="77"/>
    </row>
    <row r="231" spans="1:48" ht="15" hidden="1" customHeight="1" x14ac:dyDescent="0.35">
      <c r="A231" s="77"/>
      <c r="B231" s="77" t="s">
        <v>1473</v>
      </c>
      <c r="C231" s="77" t="s">
        <v>1474</v>
      </c>
      <c r="D231" s="77"/>
      <c r="E231" s="79" t="s">
        <v>1125</v>
      </c>
      <c r="F231" s="77" t="str">
        <f>VLOOKUP(Table1[[#This Row],[CBRE sub-markets]],Reference!$A$2:$B$31,2,FALSE)</f>
        <v>Kowloon Others</v>
      </c>
      <c r="G231" s="77">
        <f>VLOOKUP(Table1[[#This Row],[CBRE sub-markets]],Reference!$A$2:$D$31,3,FALSE)</f>
        <v>8</v>
      </c>
      <c r="H231" s="79" t="str">
        <f>VLOOKUP(Table1[[#This Row],[CBRE sub-markets]],Reference!$A$2:$D$31,4,FALSE)</f>
        <v>Kowloon</v>
      </c>
      <c r="I231" s="80" t="s">
        <v>2305</v>
      </c>
      <c r="J231" s="80"/>
      <c r="K231" s="81" t="str">
        <f>IF(ISNUMBER(Table1[[#This Row],[Qtr]]),CONCATENATE(Table1[[#This Row],[Year]]," Q",Table1[[#This Row],[Qtr]]),CONCATENATE(Table1[[#This Row],[Year]],Table1[[#This Row],[Qtr]]))</f>
        <v>2029-2033</v>
      </c>
      <c r="L231" s="80" t="s">
        <v>20</v>
      </c>
      <c r="M231" s="80" t="s">
        <v>85</v>
      </c>
      <c r="N231" s="80">
        <v>2</v>
      </c>
      <c r="O231" s="80" t="s">
        <v>100</v>
      </c>
      <c r="P231" s="80">
        <v>28</v>
      </c>
      <c r="Q231" s="82">
        <f>Table1[[#This Row],[Office GFA (sf)]]/29/2</f>
        <v>19090.417965517237</v>
      </c>
      <c r="R231" s="82">
        <f>Table1[[#This Row],[Office UFA (Net) (sf)]]/29/2</f>
        <v>14317.813474137931</v>
      </c>
      <c r="S231" s="80" t="str">
        <f t="shared" si="16"/>
        <v>No</v>
      </c>
      <c r="T231" s="82"/>
      <c r="U231" s="82"/>
      <c r="V231" s="82">
        <v>102865.5</v>
      </c>
      <c r="W231" s="82">
        <f>Table1[[#This Row],[Office GFA (sm)]]*10.764</f>
        <v>1107244.2419999999</v>
      </c>
      <c r="X231" s="82">
        <f>Table1[[#This Row],[Office GFA (sm)]]*0.75</f>
        <v>77149.125</v>
      </c>
      <c r="Y231" s="82">
        <f>Table1[[#This Row],[Office GFA (sf)]]*0.75</f>
        <v>830433.18149999995</v>
      </c>
      <c r="Z231" s="82"/>
      <c r="AA231" s="82"/>
      <c r="AB231" s="82"/>
      <c r="AC231" s="82">
        <f>IF(Table1[[#This Row],[For Sale or For Lease?]]="For Lease",Table1[[#This Row],[Office UFA (Net) (sf)]]-Table1[[#This Row],[Pre-leased space (Usable FA) (sf)]]-Table1[[#This Row],[Pre-sold (Usable FA) (sf)]]-Table1[[#This Row],[Self-use space (Usable FA) (sf)]],0)</f>
        <v>830433.18149999995</v>
      </c>
      <c r="AD231" s="82">
        <f>IF(Table1[[#This Row],[For Sale or For Lease?]]="For Sale",Table1[[#This Row],[Office UFA (Net) (sf)]]-Table1[[#This Row],[Pre-leased space (Usable FA) (sf)]]-Table1[[#This Row],[Pre-sold (Usable FA) (sf)]]-Table1[[#This Row],[Self-use space (Usable FA) (sf)]],0)</f>
        <v>0</v>
      </c>
      <c r="AE231" s="82">
        <f>IF(Table1[[#This Row],[For Sale or For Lease?]]="Uncertain",Table1[[#This Row],[Office UFA (Net) (sf)]]-Table1[[#This Row],[Pre-leased space (Usable FA) (sf)]]-Table1[[#This Row],[Pre-sold (Usable FA) (sf)]]-Table1[[#This Row],[Self-use space (Usable FA) (sf)]],0)</f>
        <v>0</v>
      </c>
      <c r="AF231" s="86">
        <f>1-SUM(Table1[[#This Row],[Space available for lease (Usable FA) (sf)]:[Space available uncertain of use (Usable FA) (sf)]])/Table1[[#This Row],[Office UFA (Net) (sf)]]</f>
        <v>0</v>
      </c>
      <c r="AG231" s="79" t="s">
        <v>89</v>
      </c>
      <c r="AH231" s="84" t="s">
        <v>138</v>
      </c>
      <c r="AI231" s="79" t="s">
        <v>92</v>
      </c>
      <c r="AJ231" s="83">
        <v>43101</v>
      </c>
      <c r="AK231" s="83">
        <v>43182</v>
      </c>
      <c r="AL231" s="85" t="s">
        <v>30</v>
      </c>
      <c r="AM231" s="85" t="s">
        <v>1306</v>
      </c>
      <c r="AN231" s="79" t="s">
        <v>73</v>
      </c>
      <c r="AO231" s="77" t="s">
        <v>705</v>
      </c>
      <c r="AP231" s="77" t="s">
        <v>81</v>
      </c>
      <c r="AQ231" s="77" t="s">
        <v>1475</v>
      </c>
      <c r="AR231" s="79" t="s">
        <v>1807</v>
      </c>
      <c r="AS231" s="79" t="s">
        <v>1994</v>
      </c>
      <c r="AT231" s="80"/>
      <c r="AU231" s="80"/>
      <c r="AV231" s="77"/>
    </row>
    <row r="232" spans="1:48" ht="15" customHeight="1" x14ac:dyDescent="0.35">
      <c r="A232" s="77"/>
      <c r="B232" s="77" t="s">
        <v>1894</v>
      </c>
      <c r="C232" s="77" t="s">
        <v>1893</v>
      </c>
      <c r="D232" s="77"/>
      <c r="E232" s="79" t="s">
        <v>130</v>
      </c>
      <c r="F232" s="77" t="str">
        <f>VLOOKUP(Table1[[#This Row],[CBRE sub-markets]],Reference!$A$2:$B$31,2,FALSE)</f>
        <v>Wong Chuk Hang</v>
      </c>
      <c r="G232" s="77">
        <f>VLOOKUP(Table1[[#This Row],[CBRE sub-markets]],Reference!$A$2:$D$31,3,FALSE)</f>
        <v>5</v>
      </c>
      <c r="H232" s="79" t="str">
        <f>VLOOKUP(Table1[[#This Row],[CBRE sub-markets]],Reference!$A$2:$D$31,4,FALSE)</f>
        <v>Hong Kong Island</v>
      </c>
      <c r="I232" s="80" t="s">
        <v>2305</v>
      </c>
      <c r="J232" s="80"/>
      <c r="K232" s="81" t="str">
        <f>IF(ISNUMBER(Table1[[#This Row],[Qtr]]),CONCATENATE(Table1[[#This Row],[Year]]," Q",Table1[[#This Row],[Qtr]]),CONCATENATE(Table1[[#This Row],[Year]],Table1[[#This Row],[Qtr]]))</f>
        <v>2029-2033</v>
      </c>
      <c r="L232" s="80" t="s">
        <v>20</v>
      </c>
      <c r="M232" s="80" t="s">
        <v>83</v>
      </c>
      <c r="N232" s="80"/>
      <c r="O232" s="80"/>
      <c r="P232" s="80"/>
      <c r="Q232" s="82">
        <f>16900*0.65</f>
        <v>10985</v>
      </c>
      <c r="R232" s="82">
        <f>+Table1[[#This Row],[Floor Plate (GFA) (sf)]]*0.75</f>
        <v>8238.75</v>
      </c>
      <c r="S232" s="80" t="str">
        <f t="shared" ref="S232:S263" si="21">IF(AND(ISNUMBER(R232),R232&gt;=15000),"Yes",IF(R232="","Unknown","No"))</f>
        <v>No</v>
      </c>
      <c r="T232" s="82"/>
      <c r="U232" s="82"/>
      <c r="V232" s="82">
        <f>+Table1[[#This Row],[Office GFA (sf)]]/10.7639</f>
        <v>18840.75474502736</v>
      </c>
      <c r="W232" s="82">
        <f>16900*12</f>
        <v>202800</v>
      </c>
      <c r="X232" s="82">
        <f>+Table1[[#This Row],[Office UFA (Net) (sf)]]/10.7639</f>
        <v>14130.566058770521</v>
      </c>
      <c r="Y232" s="82">
        <f t="shared" ref="Y232:Y262" si="22">W232*0.75</f>
        <v>152100</v>
      </c>
      <c r="Z232" s="82"/>
      <c r="AA232" s="82"/>
      <c r="AB232" s="82"/>
      <c r="AC232" s="82">
        <f t="shared" ref="AC232:AC263" si="23">IF(AO232="For Lease",Y232-Z232-AA232-AB232,0)</f>
        <v>0</v>
      </c>
      <c r="AD232" s="82">
        <f>IF(Table1[[#This Row],[For Sale or For Lease?]]="For Sale",Table1[[#This Row],[Office UFA (Net) (sf)]]-Table1[[#This Row],[Pre-leased space (Usable FA) (sf)]]-Table1[[#This Row],[Pre-sold (Usable FA) (sf)]]-Table1[[#This Row],[Self-use space (Usable FA) (sf)]],0)</f>
        <v>152100</v>
      </c>
      <c r="AE232" s="82">
        <f>IF(Table1[[#This Row],[For Sale or For Lease?]]="Uncertain",Table1[[#This Row],[Office UFA (Net) (sf)]]-Table1[[#This Row],[Pre-leased space (Usable FA) (sf)]]-Table1[[#This Row],[Pre-sold (Usable FA) (sf)]]-Table1[[#This Row],[Self-use space (Usable FA) (sf)]],0)</f>
        <v>0</v>
      </c>
      <c r="AF232" s="86">
        <f>1-SUM(Table1[[#This Row],[Space available for lease (Usable FA) (sf)]:[Space available uncertain of use (Usable FA) (sf)]])/Table1[[#This Row],[Office UFA (Net) (sf)]]</f>
        <v>0</v>
      </c>
      <c r="AG232" s="79" t="s">
        <v>89</v>
      </c>
      <c r="AH232" s="84"/>
      <c r="AI232" s="79" t="s">
        <v>1896</v>
      </c>
      <c r="AJ232" s="83"/>
      <c r="AK232" s="83"/>
      <c r="AL232" s="85" t="s">
        <v>30</v>
      </c>
      <c r="AM232" s="85" t="s">
        <v>1895</v>
      </c>
      <c r="AN232" s="79" t="s">
        <v>73</v>
      </c>
      <c r="AO232" s="77" t="s">
        <v>704</v>
      </c>
      <c r="AP232" s="77" t="s">
        <v>1068</v>
      </c>
      <c r="AQ232" s="77"/>
      <c r="AR232" s="79" t="s">
        <v>1897</v>
      </c>
      <c r="AS232" s="79"/>
      <c r="AT232" s="80">
        <v>22.249919999999999</v>
      </c>
      <c r="AU232" s="80">
        <v>114.16843</v>
      </c>
      <c r="AV232" s="77" t="s">
        <v>2088</v>
      </c>
    </row>
    <row r="233" spans="1:48" ht="15" customHeight="1" x14ac:dyDescent="0.35">
      <c r="A233" s="77"/>
      <c r="B233" s="77" t="s">
        <v>1354</v>
      </c>
      <c r="C233" s="77" t="s">
        <v>1355</v>
      </c>
      <c r="D233" s="77"/>
      <c r="E233" s="79" t="s">
        <v>567</v>
      </c>
      <c r="F233" s="77" t="str">
        <f>VLOOKUP(Table1[[#This Row],[CBRE sub-markets]],Reference!$A$2:$B$31,2,FALSE)</f>
        <v>Kowloon East</v>
      </c>
      <c r="G233" s="77">
        <f>VLOOKUP(Table1[[#This Row],[CBRE sub-markets]],Reference!$A$2:$D$31,3,FALSE)</f>
        <v>7</v>
      </c>
      <c r="H233" s="79" t="str">
        <f>VLOOKUP(Table1[[#This Row],[CBRE sub-markets]],Reference!$A$2:$D$31,4,FALSE)</f>
        <v>Kowloon</v>
      </c>
      <c r="I233" s="80" t="s">
        <v>2305</v>
      </c>
      <c r="J233" s="80"/>
      <c r="K233" s="81" t="str">
        <f>IF(ISNUMBER(Table1[[#This Row],[Qtr]]),CONCATENATE(Table1[[#This Row],[Year]]," Q",Table1[[#This Row],[Qtr]]),CONCATENATE(Table1[[#This Row],[Year]],Table1[[#This Row],[Qtr]]))</f>
        <v>2029-2033</v>
      </c>
      <c r="L233" s="80" t="s">
        <v>20</v>
      </c>
      <c r="M233" s="80" t="s">
        <v>83</v>
      </c>
      <c r="N233" s="80">
        <v>1</v>
      </c>
      <c r="O233" s="80">
        <v>30</v>
      </c>
      <c r="P233" s="80">
        <v>25</v>
      </c>
      <c r="Q233" s="82">
        <f>Table1[[#This Row],[Office GFA (sf)]]/Table1[[#This Row],[No. of Storeys for Office]]</f>
        <v>30452.647679999998</v>
      </c>
      <c r="R233" s="82">
        <f>Table1[[#This Row],[Floor Plate (GFA) (sf)]]*0.75</f>
        <v>22839.48576</v>
      </c>
      <c r="S233" s="80" t="str">
        <f t="shared" si="21"/>
        <v>Yes</v>
      </c>
      <c r="T233" s="82"/>
      <c r="U233" s="82"/>
      <c r="V233" s="82">
        <f>8841*8</f>
        <v>70728</v>
      </c>
      <c r="W233" s="82">
        <f>V233*10.764</f>
        <v>761316.19199999992</v>
      </c>
      <c r="X233" s="82">
        <f>V233*0.75</f>
        <v>53046</v>
      </c>
      <c r="Y233" s="82">
        <f t="shared" si="22"/>
        <v>570987.14399999997</v>
      </c>
      <c r="Z233" s="82"/>
      <c r="AA233" s="82"/>
      <c r="AB233" s="82"/>
      <c r="AC233" s="82">
        <f t="shared" si="23"/>
        <v>0</v>
      </c>
      <c r="AD233" s="82">
        <f>IF(Table1[[#This Row],[For Sale or For Lease?]]="For Sale",Table1[[#This Row],[Office UFA (Net) (sf)]]-Table1[[#This Row],[Pre-leased space (Usable FA) (sf)]]-Table1[[#This Row],[Pre-sold (Usable FA) (sf)]]-Table1[[#This Row],[Self-use space (Usable FA) (sf)]],0)</f>
        <v>0</v>
      </c>
      <c r="AE233" s="82">
        <f>IF(Table1[[#This Row],[For Sale or For Lease?]]="Uncertain",Table1[[#This Row],[Office UFA (Net) (sf)]]-Table1[[#This Row],[Pre-leased space (Usable FA) (sf)]]-Table1[[#This Row],[Pre-sold (Usable FA) (sf)]]-Table1[[#This Row],[Self-use space (Usable FA) (sf)]],0)</f>
        <v>570987.14399999997</v>
      </c>
      <c r="AF233" s="86">
        <f>1-SUM(Table1[[#This Row],[Space available for lease (Usable FA) (sf)]:[Space available uncertain of use (Usable FA) (sf)]])/Table1[[#This Row],[Office UFA (Net) (sf)]]</f>
        <v>0</v>
      </c>
      <c r="AG233" s="79" t="s">
        <v>89</v>
      </c>
      <c r="AH233" s="84"/>
      <c r="AI233" s="79" t="s">
        <v>1351</v>
      </c>
      <c r="AJ233" s="83">
        <v>42670</v>
      </c>
      <c r="AK233" s="83">
        <v>42670</v>
      </c>
      <c r="AL233" s="85" t="s">
        <v>29</v>
      </c>
      <c r="AM233" s="85"/>
      <c r="AN233" s="79" t="s">
        <v>74</v>
      </c>
      <c r="AO233" s="77" t="s">
        <v>1068</v>
      </c>
      <c r="AP233" s="77" t="s">
        <v>1068</v>
      </c>
      <c r="AQ233" s="77"/>
      <c r="AR233" s="79" t="s">
        <v>1792</v>
      </c>
      <c r="AS233" s="79" t="s">
        <v>1998</v>
      </c>
      <c r="AT233" s="80">
        <v>22.33334</v>
      </c>
      <c r="AU233" s="80">
        <v>114.19915</v>
      </c>
      <c r="AV233" s="77"/>
    </row>
    <row r="234" spans="1:48" ht="15" customHeight="1" x14ac:dyDescent="0.35">
      <c r="A234" s="77"/>
      <c r="B234" s="77" t="s">
        <v>1377</v>
      </c>
      <c r="C234" s="77" t="s">
        <v>1377</v>
      </c>
      <c r="D234" s="77" t="s">
        <v>1380</v>
      </c>
      <c r="E234" s="79" t="s">
        <v>567</v>
      </c>
      <c r="F234" s="77" t="str">
        <f>VLOOKUP(Table1[[#This Row],[CBRE sub-markets]],Reference!$A$2:$B$31,2,FALSE)</f>
        <v>Kowloon East</v>
      </c>
      <c r="G234" s="77">
        <f>VLOOKUP(Table1[[#This Row],[CBRE sub-markets]],Reference!$A$2:$D$31,3,FALSE)</f>
        <v>7</v>
      </c>
      <c r="H234" s="79" t="str">
        <f>VLOOKUP(Table1[[#This Row],[CBRE sub-markets]],Reference!$A$2:$D$31,4,FALSE)</f>
        <v>Kowloon</v>
      </c>
      <c r="I234" s="80" t="s">
        <v>2305</v>
      </c>
      <c r="J234" s="80"/>
      <c r="K234" s="81" t="str">
        <f>IF(ISNUMBER(Table1[[#This Row],[Qtr]]),CONCATENATE(Table1[[#This Row],[Year]]," Q",Table1[[#This Row],[Qtr]]),CONCATENATE(Table1[[#This Row],[Year]],Table1[[#This Row],[Qtr]]))</f>
        <v>2029-2033</v>
      </c>
      <c r="L234" s="80" t="s">
        <v>20</v>
      </c>
      <c r="M234" s="80" t="s">
        <v>83</v>
      </c>
      <c r="N234" s="80">
        <v>1</v>
      </c>
      <c r="O234" s="80">
        <v>27</v>
      </c>
      <c r="P234" s="80">
        <v>13</v>
      </c>
      <c r="Q234" s="82">
        <f>Table1[[#This Row],[Office GFA (sf)]]/Table1[[#This Row],[No. of Storeys for Office]]</f>
        <v>22712.131080000003</v>
      </c>
      <c r="R234" s="82">
        <f>Table1[[#This Row],[Floor Plate (GFA) (sf)]]*0.75</f>
        <v>17034.098310000001</v>
      </c>
      <c r="S234" s="80" t="str">
        <f t="shared" si="21"/>
        <v>Yes</v>
      </c>
      <c r="T234" s="82">
        <v>80190</v>
      </c>
      <c r="U234" s="82">
        <f>+Table1[[#This Row],[Total GFA (sm)]]*10.7639</f>
        <v>863157.14099999995</v>
      </c>
      <c r="V234" s="82">
        <f>10694*0.342*7.5</f>
        <v>27430.110000000004</v>
      </c>
      <c r="W234" s="82">
        <f>V234*10.764</f>
        <v>295257.70404000004</v>
      </c>
      <c r="X234" s="82">
        <f>V234*0.75</f>
        <v>20572.582500000004</v>
      </c>
      <c r="Y234" s="82">
        <f t="shared" si="22"/>
        <v>221443.27803000004</v>
      </c>
      <c r="Z234" s="82"/>
      <c r="AA234" s="82"/>
      <c r="AB234" s="82"/>
      <c r="AC234" s="82">
        <f t="shared" si="23"/>
        <v>221443.27803000004</v>
      </c>
      <c r="AD234" s="82">
        <f>IF(Table1[[#This Row],[For Sale or For Lease?]]="For Sale",Table1[[#This Row],[Office UFA (Net) (sf)]]-Table1[[#This Row],[Pre-leased space (Usable FA) (sf)]]-Table1[[#This Row],[Pre-sold (Usable FA) (sf)]]-Table1[[#This Row],[Self-use space (Usable FA) (sf)]],0)</f>
        <v>0</v>
      </c>
      <c r="AE234" s="82">
        <f>IF(Table1[[#This Row],[For Sale or For Lease?]]="Uncertain",Table1[[#This Row],[Office UFA (Net) (sf)]]-Table1[[#This Row],[Pre-leased space (Usable FA) (sf)]]-Table1[[#This Row],[Pre-sold (Usable FA) (sf)]]-Table1[[#This Row],[Self-use space (Usable FA) (sf)]],0)</f>
        <v>0</v>
      </c>
      <c r="AF234" s="86">
        <f>1-SUM(Table1[[#This Row],[Space available for lease (Usable FA) (sf)]:[Space available uncertain of use (Usable FA) (sf)]])/Table1[[#This Row],[Office UFA (Net) (sf)]]</f>
        <v>0</v>
      </c>
      <c r="AG234" s="79" t="s">
        <v>89</v>
      </c>
      <c r="AH234" s="84"/>
      <c r="AI234" s="79" t="s">
        <v>1378</v>
      </c>
      <c r="AJ234" s="83">
        <v>42789</v>
      </c>
      <c r="AK234" s="83">
        <v>42789</v>
      </c>
      <c r="AL234" s="85" t="s">
        <v>29</v>
      </c>
      <c r="AM234" s="85"/>
      <c r="AN234" s="79" t="s">
        <v>74</v>
      </c>
      <c r="AO234" s="77" t="s">
        <v>705</v>
      </c>
      <c r="AP234" s="77" t="s">
        <v>81</v>
      </c>
      <c r="AQ234" s="77" t="s">
        <v>1885</v>
      </c>
      <c r="AR234" s="79" t="s">
        <v>1803</v>
      </c>
      <c r="AS234" s="79" t="s">
        <v>2006</v>
      </c>
      <c r="AT234" s="80"/>
      <c r="AU234" s="80"/>
      <c r="AV234" s="77"/>
    </row>
    <row r="235" spans="1:48" ht="15" hidden="1" customHeight="1" x14ac:dyDescent="0.35">
      <c r="A235" s="77"/>
      <c r="B235" s="77" t="s">
        <v>1636</v>
      </c>
      <c r="C235" s="77" t="s">
        <v>1635</v>
      </c>
      <c r="D235" s="77"/>
      <c r="E235" s="79" t="s">
        <v>171</v>
      </c>
      <c r="F235" s="77" t="str">
        <f>VLOOKUP(Table1[[#This Row],[CBRE sub-markets]],Reference!$A$2:$B$31,2,FALSE)</f>
        <v>Kowloon East</v>
      </c>
      <c r="G235" s="77">
        <f>VLOOKUP(Table1[[#This Row],[CBRE sub-markets]],Reference!$A$2:$D$31,3,FALSE)</f>
        <v>7</v>
      </c>
      <c r="H235" s="79" t="str">
        <f>VLOOKUP(Table1[[#This Row],[CBRE sub-markets]],Reference!$A$2:$D$31,4,FALSE)</f>
        <v>Kowloon</v>
      </c>
      <c r="I235" s="80" t="s">
        <v>2305</v>
      </c>
      <c r="J235" s="80"/>
      <c r="K235" s="81" t="str">
        <f>IF(ISNUMBER(Table1[[#This Row],[Qtr]]),CONCATENATE(Table1[[#This Row],[Year]]," Q",Table1[[#This Row],[Qtr]]),CONCATENATE(Table1[[#This Row],[Year]],Table1[[#This Row],[Qtr]]))</f>
        <v>2029-2033</v>
      </c>
      <c r="L235" s="80" t="s">
        <v>20</v>
      </c>
      <c r="M235" s="80" t="s">
        <v>85</v>
      </c>
      <c r="N235" s="80">
        <v>1</v>
      </c>
      <c r="O235" s="80" t="s">
        <v>1637</v>
      </c>
      <c r="P235" s="80">
        <v>27</v>
      </c>
      <c r="Q235" s="82">
        <f>+Table1[[#This Row],[Office GFA (sf)]]/Table1[[#This Row],[No. of Storeys for Office]]</f>
        <v>9736.3063466666663</v>
      </c>
      <c r="R235" s="82">
        <f>+Table1[[#This Row],[Floor Plate (GFA) (sf)]]*0.75</f>
        <v>7302.2297600000002</v>
      </c>
      <c r="S235" s="80" t="str">
        <f t="shared" si="21"/>
        <v>No</v>
      </c>
      <c r="T235" s="82">
        <v>24422.400000000001</v>
      </c>
      <c r="U235" s="82">
        <f>+Table1[[#This Row],[Total GFA (sm)]]*10.7639</f>
        <v>262880.27136000001</v>
      </c>
      <c r="V235" s="82">
        <f>+Table1[[#This Row],[Total GFA (sm)]]</f>
        <v>24422.400000000001</v>
      </c>
      <c r="W235" s="82">
        <f>+Table1[[#This Row],[Office GFA (sm)]]*10.7639</f>
        <v>262880.27136000001</v>
      </c>
      <c r="X235" s="82">
        <f>+Table1[[#This Row],[Office GFA (sm)]]*0.75</f>
        <v>18316.800000000003</v>
      </c>
      <c r="Y235" s="82">
        <f t="shared" si="22"/>
        <v>197160.20352000001</v>
      </c>
      <c r="Z235" s="82"/>
      <c r="AA235" s="82"/>
      <c r="AB235" s="82"/>
      <c r="AC235" s="82">
        <f t="shared" si="23"/>
        <v>197160.20352000001</v>
      </c>
      <c r="AD235" s="82">
        <f>IF(Table1[[#This Row],[For Sale or For Lease?]]="For Sale",Table1[[#This Row],[Office UFA (Net) (sf)]]-Table1[[#This Row],[Pre-leased space (Usable FA) (sf)]]-Table1[[#This Row],[Pre-sold (Usable FA) (sf)]]-Table1[[#This Row],[Self-use space (Usable FA) (sf)]],0)</f>
        <v>0</v>
      </c>
      <c r="AE235" s="82">
        <f>IF(Table1[[#This Row],[For Sale or For Lease?]]="Uncertain",Table1[[#This Row],[Office UFA (Net) (sf)]]-Table1[[#This Row],[Pre-leased space (Usable FA) (sf)]]-Table1[[#This Row],[Pre-sold (Usable FA) (sf)]]-Table1[[#This Row],[Self-use space (Usable FA) (sf)]],0)</f>
        <v>0</v>
      </c>
      <c r="AF235" s="86">
        <f>1-SUM(Table1[[#This Row],[Space available for lease (Usable FA) (sf)]:[Space available uncertain of use (Usable FA) (sf)]])/Table1[[#This Row],[Office UFA (Net) (sf)]]</f>
        <v>0</v>
      </c>
      <c r="AG235" s="79" t="s">
        <v>89</v>
      </c>
      <c r="AH235" s="84" t="s">
        <v>138</v>
      </c>
      <c r="AI235" s="79" t="s">
        <v>1231</v>
      </c>
      <c r="AJ235" s="83">
        <v>44835</v>
      </c>
      <c r="AK235" s="83">
        <v>44896</v>
      </c>
      <c r="AL235" s="85" t="s">
        <v>30</v>
      </c>
      <c r="AM235" s="85" t="s">
        <v>1638</v>
      </c>
      <c r="AN235" s="79" t="s">
        <v>73</v>
      </c>
      <c r="AO235" s="77" t="s">
        <v>705</v>
      </c>
      <c r="AP235" s="77" t="s">
        <v>81</v>
      </c>
      <c r="AQ235" s="77" t="s">
        <v>2291</v>
      </c>
      <c r="AR235" s="79" t="s">
        <v>1763</v>
      </c>
      <c r="AS235" s="79"/>
      <c r="AT235" s="80">
        <v>22.322019999999998</v>
      </c>
      <c r="AU235" s="80">
        <v>114.20929</v>
      </c>
      <c r="AV235" s="77" t="s">
        <v>2122</v>
      </c>
    </row>
    <row r="236" spans="1:48" ht="15" customHeight="1" x14ac:dyDescent="0.35">
      <c r="A236" s="77"/>
      <c r="B236" s="77" t="s">
        <v>1379</v>
      </c>
      <c r="C236" s="77" t="s">
        <v>1379</v>
      </c>
      <c r="D236" s="77" t="s">
        <v>1255</v>
      </c>
      <c r="E236" s="79" t="s">
        <v>567</v>
      </c>
      <c r="F236" s="77" t="str">
        <f>VLOOKUP(Table1[[#This Row],[CBRE sub-markets]],Reference!$A$2:$B$31,2,FALSE)</f>
        <v>Kowloon East</v>
      </c>
      <c r="G236" s="77">
        <f>VLOOKUP(Table1[[#This Row],[CBRE sub-markets]],Reference!$A$2:$D$31,3,FALSE)</f>
        <v>7</v>
      </c>
      <c r="H236" s="79" t="str">
        <f>VLOOKUP(Table1[[#This Row],[CBRE sub-markets]],Reference!$A$2:$D$31,4,FALSE)</f>
        <v>Kowloon</v>
      </c>
      <c r="I236" s="80" t="s">
        <v>2305</v>
      </c>
      <c r="J236" s="80"/>
      <c r="K236" s="81" t="str">
        <f>IF(ISNUMBER(Table1[[#This Row],[Qtr]]),CONCATENATE(Table1[[#This Row],[Year]]," Q",Table1[[#This Row],[Qtr]]),CONCATENATE(Table1[[#This Row],[Year]],Table1[[#This Row],[Qtr]]))</f>
        <v>2029-2033</v>
      </c>
      <c r="L236" s="80" t="s">
        <v>20</v>
      </c>
      <c r="M236" s="80" t="s">
        <v>83</v>
      </c>
      <c r="N236" s="80">
        <v>1</v>
      </c>
      <c r="O236" s="80">
        <v>27</v>
      </c>
      <c r="P236" s="80">
        <v>13</v>
      </c>
      <c r="Q236" s="82">
        <f>Table1[[#This Row],[Office GFA (sf)]]/Table1[[#This Row],[No. of Storeys for Office]]</f>
        <v>16107.050880000003</v>
      </c>
      <c r="R236" s="82">
        <f>Table1[[#This Row],[Floor Plate (GFA) (sf)]]*0.75</f>
        <v>12080.288160000002</v>
      </c>
      <c r="S236" s="80" t="str">
        <f t="shared" si="21"/>
        <v>No</v>
      </c>
      <c r="T236" s="82">
        <v>56880</v>
      </c>
      <c r="U236" s="82">
        <f>+Table1[[#This Row],[Total GFA (sm)]]*10.7639</f>
        <v>612250.63199999998</v>
      </c>
      <c r="V236" s="82">
        <f>9480*6*0.342</f>
        <v>19452.960000000003</v>
      </c>
      <c r="W236" s="82">
        <f>V236*10.764</f>
        <v>209391.66144000003</v>
      </c>
      <c r="X236" s="82">
        <f t="shared" ref="X236:X254" si="24">V236*0.75</f>
        <v>14589.720000000001</v>
      </c>
      <c r="Y236" s="82">
        <f t="shared" si="22"/>
        <v>157043.74608000001</v>
      </c>
      <c r="Z236" s="82"/>
      <c r="AA236" s="82"/>
      <c r="AB236" s="82"/>
      <c r="AC236" s="82">
        <f t="shared" si="23"/>
        <v>157043.74608000001</v>
      </c>
      <c r="AD236" s="82">
        <f>IF(Table1[[#This Row],[For Sale or For Lease?]]="For Sale",Table1[[#This Row],[Office UFA (Net) (sf)]]-Table1[[#This Row],[Pre-leased space (Usable FA) (sf)]]-Table1[[#This Row],[Pre-sold (Usable FA) (sf)]]-Table1[[#This Row],[Self-use space (Usable FA) (sf)]],0)</f>
        <v>0</v>
      </c>
      <c r="AE236" s="82">
        <f>IF(Table1[[#This Row],[For Sale or For Lease?]]="Uncertain",Table1[[#This Row],[Office UFA (Net) (sf)]]-Table1[[#This Row],[Pre-leased space (Usable FA) (sf)]]-Table1[[#This Row],[Pre-sold (Usable FA) (sf)]]-Table1[[#This Row],[Self-use space (Usable FA) (sf)]],0)</f>
        <v>0</v>
      </c>
      <c r="AF236" s="86">
        <f>1-SUM(Table1[[#This Row],[Space available for lease (Usable FA) (sf)]:[Space available uncertain of use (Usable FA) (sf)]])/Table1[[#This Row],[Office UFA (Net) (sf)]]</f>
        <v>0</v>
      </c>
      <c r="AG236" s="79" t="s">
        <v>89</v>
      </c>
      <c r="AH236" s="84"/>
      <c r="AI236" s="79" t="s">
        <v>1378</v>
      </c>
      <c r="AJ236" s="83">
        <v>42789</v>
      </c>
      <c r="AK236" s="83">
        <v>42789</v>
      </c>
      <c r="AL236" s="85" t="s">
        <v>29</v>
      </c>
      <c r="AM236" s="85"/>
      <c r="AN236" s="79" t="s">
        <v>74</v>
      </c>
      <c r="AO236" s="77" t="s">
        <v>705</v>
      </c>
      <c r="AP236" s="77" t="s">
        <v>81</v>
      </c>
      <c r="AQ236" s="77" t="s">
        <v>1887</v>
      </c>
      <c r="AR236" s="79" t="s">
        <v>1805</v>
      </c>
      <c r="AS236" s="79" t="s">
        <v>2007</v>
      </c>
      <c r="AT236" s="80"/>
      <c r="AU236" s="80"/>
      <c r="AV236" s="77"/>
    </row>
    <row r="237" spans="1:48" ht="15" customHeight="1" x14ac:dyDescent="0.35">
      <c r="A237" s="77"/>
      <c r="B237" s="77" t="s">
        <v>1952</v>
      </c>
      <c r="C237" s="77" t="s">
        <v>1951</v>
      </c>
      <c r="D237" s="77" t="s">
        <v>1950</v>
      </c>
      <c r="E237" s="79" t="s">
        <v>171</v>
      </c>
      <c r="F237" s="77" t="str">
        <f>VLOOKUP(Table1[[#This Row],[CBRE sub-markets]],Reference!$A$2:$B$31,2,FALSE)</f>
        <v>Kowloon East</v>
      </c>
      <c r="G237" s="77">
        <f>VLOOKUP(Table1[[#This Row],[CBRE sub-markets]],Reference!$A$2:$D$31,3,FALSE)</f>
        <v>7</v>
      </c>
      <c r="H237" s="79" t="str">
        <f>VLOOKUP(Table1[[#This Row],[CBRE sub-markets]],Reference!$A$2:$D$31,4,FALSE)</f>
        <v>Kowloon</v>
      </c>
      <c r="I237" s="80" t="s">
        <v>2305</v>
      </c>
      <c r="J237" s="80"/>
      <c r="K237" s="81" t="str">
        <f>IF(ISNUMBER(Table1[[#This Row],[Qtr]]),CONCATENATE(Table1[[#This Row],[Year]]," Q",Table1[[#This Row],[Qtr]]),CONCATENATE(Table1[[#This Row],[Year]],Table1[[#This Row],[Qtr]]))</f>
        <v>2029-2033</v>
      </c>
      <c r="L237" s="80" t="s">
        <v>20</v>
      </c>
      <c r="M237" s="80" t="s">
        <v>83</v>
      </c>
      <c r="N237" s="80">
        <v>3</v>
      </c>
      <c r="O237" s="80" t="s">
        <v>2451</v>
      </c>
      <c r="P237" s="80">
        <v>29</v>
      </c>
      <c r="Q237" s="82">
        <v>10000</v>
      </c>
      <c r="R237" s="82">
        <f>Table1[[#This Row],[Floor Plate (GFA) (sf)]]*0.75</f>
        <v>7500</v>
      </c>
      <c r="S237" s="80" t="str">
        <f t="shared" si="21"/>
        <v>No</v>
      </c>
      <c r="T237" s="82">
        <f>Table1[[#This Row],[Total GFA (sf)]]/10.7639</f>
        <v>136888.02385752377</v>
      </c>
      <c r="U237" s="82">
        <v>1473449</v>
      </c>
      <c r="V237" s="82">
        <f>Table1[[#This Row],[Office GFA (sf)]]/10.7639</f>
        <v>27130.036510930055</v>
      </c>
      <c r="W237" s="82">
        <v>292025</v>
      </c>
      <c r="X237" s="82">
        <f t="shared" si="24"/>
        <v>20347.527383197543</v>
      </c>
      <c r="Y237" s="82">
        <f t="shared" si="22"/>
        <v>219018.75</v>
      </c>
      <c r="Z237" s="82"/>
      <c r="AA237" s="82"/>
      <c r="AB237" s="82"/>
      <c r="AC237" s="82">
        <f t="shared" si="23"/>
        <v>0</v>
      </c>
      <c r="AD237" s="82">
        <f>IF(Table1[[#This Row],[For Sale or For Lease?]]="For Sale",Table1[[#This Row],[Office UFA (Net) (sf)]]-Table1[[#This Row],[Pre-leased space (Usable FA) (sf)]]-Table1[[#This Row],[Pre-sold (Usable FA) (sf)]]-Table1[[#This Row],[Self-use space (Usable FA) (sf)]],0)</f>
        <v>0</v>
      </c>
      <c r="AE237" s="82">
        <f>IF(Table1[[#This Row],[For Sale or For Lease?]]="Uncertain",Table1[[#This Row],[Office UFA (Net) (sf)]]-Table1[[#This Row],[Pre-leased space (Usable FA) (sf)]]-Table1[[#This Row],[Pre-sold (Usable FA) (sf)]]-Table1[[#This Row],[Self-use space (Usable FA) (sf)]],0)</f>
        <v>219018.75</v>
      </c>
      <c r="AF237" s="86">
        <f>1-SUM(Table1[[#This Row],[Space available for lease (Usable FA) (sf)]:[Space available uncertain of use (Usable FA) (sf)]])/Table1[[#This Row],[Office UFA (Net) (sf)]]</f>
        <v>0</v>
      </c>
      <c r="AG237" s="79" t="s">
        <v>89</v>
      </c>
      <c r="AH237" s="84"/>
      <c r="AI237" s="79" t="s">
        <v>1315</v>
      </c>
      <c r="AJ237" s="83"/>
      <c r="AK237" s="83">
        <v>44736</v>
      </c>
      <c r="AL237" s="85" t="s">
        <v>29</v>
      </c>
      <c r="AM237" s="85" t="s">
        <v>501</v>
      </c>
      <c r="AN237" s="79" t="s">
        <v>74</v>
      </c>
      <c r="AO237" s="77" t="s">
        <v>1068</v>
      </c>
      <c r="AP237" s="77" t="s">
        <v>1068</v>
      </c>
      <c r="AQ237" s="77" t="s">
        <v>2452</v>
      </c>
      <c r="AR237" s="79" t="s">
        <v>1953</v>
      </c>
      <c r="AS237" s="79"/>
      <c r="AT237" s="80">
        <v>22.324355499900001</v>
      </c>
      <c r="AU237" s="80">
        <v>114.203983108</v>
      </c>
      <c r="AV237" s="77" t="s">
        <v>2125</v>
      </c>
    </row>
    <row r="238" spans="1:48" ht="15" customHeight="1" x14ac:dyDescent="0.35">
      <c r="A238" s="77"/>
      <c r="B238" s="77" t="s">
        <v>1388</v>
      </c>
      <c r="C238" s="77" t="s">
        <v>1389</v>
      </c>
      <c r="D238" s="77"/>
      <c r="E238" s="79" t="s">
        <v>171</v>
      </c>
      <c r="F238" s="77" t="str">
        <f>VLOOKUP(Table1[[#This Row],[CBRE sub-markets]],Reference!$A$2:$B$31,2,FALSE)</f>
        <v>Kowloon East</v>
      </c>
      <c r="G238" s="77">
        <f>VLOOKUP(Table1[[#This Row],[CBRE sub-markets]],Reference!$A$2:$D$31,3,FALSE)</f>
        <v>7</v>
      </c>
      <c r="H238" s="79" t="str">
        <f>VLOOKUP(Table1[[#This Row],[CBRE sub-markets]],Reference!$A$2:$D$31,4,FALSE)</f>
        <v>Kowloon</v>
      </c>
      <c r="I238" s="80" t="s">
        <v>2305</v>
      </c>
      <c r="J238" s="80"/>
      <c r="K238" s="81" t="str">
        <f>IF(ISNUMBER(Table1[[#This Row],[Qtr]]),CONCATENATE(Table1[[#This Row],[Year]]," Q",Table1[[#This Row],[Qtr]]),CONCATENATE(Table1[[#This Row],[Year]],Table1[[#This Row],[Qtr]]))</f>
        <v>2029-2033</v>
      </c>
      <c r="L238" s="80" t="s">
        <v>20</v>
      </c>
      <c r="M238" s="80" t="s">
        <v>83</v>
      </c>
      <c r="N238" s="80">
        <v>1</v>
      </c>
      <c r="O238" s="80">
        <f>150/4</f>
        <v>37.5</v>
      </c>
      <c r="P238" s="80">
        <f>Table1[[#This Row],[No. of Storeys]]</f>
        <v>37.5</v>
      </c>
      <c r="Q238" s="82">
        <f>Table1[[#This Row],[Office GFA (sf)]]/Table1[[#This Row],[No. of Storeys]]</f>
        <v>41468.283546666666</v>
      </c>
      <c r="R238" s="82">
        <f>Table1[[#This Row],[Floor Plate (GFA) (sf)]]*0.75</f>
        <v>31101.212659999997</v>
      </c>
      <c r="S238" s="80" t="str">
        <f t="shared" si="21"/>
        <v>Yes</v>
      </c>
      <c r="T238" s="82"/>
      <c r="U238" s="82"/>
      <c r="V238" s="82">
        <v>144470</v>
      </c>
      <c r="W238" s="82">
        <f>Table1[[#This Row],[Office GFA (sm)]]*10.7639</f>
        <v>1555060.6329999999</v>
      </c>
      <c r="X238" s="82">
        <f t="shared" si="24"/>
        <v>108352.5</v>
      </c>
      <c r="Y238" s="82">
        <f t="shared" si="22"/>
        <v>1166295.4747500001</v>
      </c>
      <c r="Z238" s="82"/>
      <c r="AA238" s="82"/>
      <c r="AB238" s="82"/>
      <c r="AC238" s="82">
        <f t="shared" si="23"/>
        <v>0</v>
      </c>
      <c r="AD238" s="82">
        <f>IF(Table1[[#This Row],[For Sale or For Lease?]]="For Sale",Table1[[#This Row],[Office UFA (Net) (sf)]]-Table1[[#This Row],[Pre-leased space (Usable FA) (sf)]]-Table1[[#This Row],[Pre-sold (Usable FA) (sf)]]-Table1[[#This Row],[Self-use space (Usable FA) (sf)]],0)</f>
        <v>0</v>
      </c>
      <c r="AE238" s="82">
        <f>IF(Table1[[#This Row],[For Sale or For Lease?]]="Uncertain",Table1[[#This Row],[Office UFA (Net) (sf)]]-Table1[[#This Row],[Pre-leased space (Usable FA) (sf)]]-Table1[[#This Row],[Pre-sold (Usable FA) (sf)]]-Table1[[#This Row],[Self-use space (Usable FA) (sf)]],0)</f>
        <v>1166295.4747500001</v>
      </c>
      <c r="AF238" s="86">
        <f>1-SUM(Table1[[#This Row],[Space available for lease (Usable FA) (sf)]:[Space available uncertain of use (Usable FA) (sf)]])/Table1[[#This Row],[Office UFA (Net) (sf)]]</f>
        <v>0</v>
      </c>
      <c r="AG238" s="79" t="s">
        <v>89</v>
      </c>
      <c r="AH238" s="84"/>
      <c r="AI238" s="79"/>
      <c r="AJ238" s="83"/>
      <c r="AK238" s="83">
        <v>42433</v>
      </c>
      <c r="AL238" s="85" t="s">
        <v>32</v>
      </c>
      <c r="AM238" s="85"/>
      <c r="AN238" s="79" t="s">
        <v>74</v>
      </c>
      <c r="AO238" s="77" t="s">
        <v>1068</v>
      </c>
      <c r="AP238" s="77" t="s">
        <v>1068</v>
      </c>
      <c r="AQ238" s="77" t="s">
        <v>1916</v>
      </c>
      <c r="AR238" s="79" t="s">
        <v>1790</v>
      </c>
      <c r="AS238" s="79" t="s">
        <v>2034</v>
      </c>
      <c r="AT238" s="80">
        <v>22.318650000000002</v>
      </c>
      <c r="AU238" s="80">
        <v>114.21047</v>
      </c>
      <c r="AV238" s="77" t="s">
        <v>2164</v>
      </c>
    </row>
    <row r="239" spans="1:48" ht="15" customHeight="1" x14ac:dyDescent="0.35">
      <c r="A239" s="77"/>
      <c r="B239" s="77" t="s">
        <v>1391</v>
      </c>
      <c r="C239" s="77" t="s">
        <v>1390</v>
      </c>
      <c r="D239" s="77"/>
      <c r="E239" s="79" t="s">
        <v>171</v>
      </c>
      <c r="F239" s="77" t="str">
        <f>VLOOKUP(Table1[[#This Row],[CBRE sub-markets]],Reference!$A$2:$B$31,2,FALSE)</f>
        <v>Kowloon East</v>
      </c>
      <c r="G239" s="77">
        <f>VLOOKUP(Table1[[#This Row],[CBRE sub-markets]],Reference!$A$2:$D$31,3,FALSE)</f>
        <v>7</v>
      </c>
      <c r="H239" s="79" t="str">
        <f>VLOOKUP(Table1[[#This Row],[CBRE sub-markets]],Reference!$A$2:$D$31,4,FALSE)</f>
        <v>Kowloon</v>
      </c>
      <c r="I239" s="80" t="s">
        <v>2305</v>
      </c>
      <c r="J239" s="80"/>
      <c r="K239" s="81" t="str">
        <f>IF(ISNUMBER(Table1[[#This Row],[Qtr]]),CONCATENATE(Table1[[#This Row],[Year]]," Q",Table1[[#This Row],[Qtr]]),CONCATENATE(Table1[[#This Row],[Year]],Table1[[#This Row],[Qtr]]))</f>
        <v>2029-2033</v>
      </c>
      <c r="L239" s="80" t="s">
        <v>20</v>
      </c>
      <c r="M239" s="80" t="s">
        <v>83</v>
      </c>
      <c r="N239" s="80">
        <v>1</v>
      </c>
      <c r="O239" s="80">
        <f>135/4</f>
        <v>33.75</v>
      </c>
      <c r="P239" s="80">
        <f>Table1[[#This Row],[No. of Storeys]]</f>
        <v>33.75</v>
      </c>
      <c r="Q239" s="82">
        <f>Table1[[#This Row],[Office GFA (sf)]]/Table1[[#This Row],[No. of Storeys]]</f>
        <v>41623.602637037038</v>
      </c>
      <c r="R239" s="82">
        <f>Table1[[#This Row],[Floor Plate (GFA) (sf)]]*0.75</f>
        <v>31217.701977777779</v>
      </c>
      <c r="S239" s="80" t="str">
        <f t="shared" si="21"/>
        <v>Yes</v>
      </c>
      <c r="T239" s="82"/>
      <c r="U239" s="82"/>
      <c r="V239" s="82">
        <v>130510</v>
      </c>
      <c r="W239" s="82">
        <f>+Table1[[#This Row],[Office GFA (sm)]]*10.7639</f>
        <v>1404796.5889999999</v>
      </c>
      <c r="X239" s="82">
        <f t="shared" si="24"/>
        <v>97882.5</v>
      </c>
      <c r="Y239" s="82">
        <f t="shared" si="22"/>
        <v>1053597.44175</v>
      </c>
      <c r="Z239" s="82"/>
      <c r="AA239" s="82"/>
      <c r="AB239" s="82"/>
      <c r="AC239" s="82">
        <f t="shared" si="23"/>
        <v>0</v>
      </c>
      <c r="AD239" s="82">
        <f>IF(Table1[[#This Row],[For Sale or For Lease?]]="For Sale",Table1[[#This Row],[Office UFA (Net) (sf)]]-Table1[[#This Row],[Pre-leased space (Usable FA) (sf)]]-Table1[[#This Row],[Pre-sold (Usable FA) (sf)]]-Table1[[#This Row],[Self-use space (Usable FA) (sf)]],0)</f>
        <v>0</v>
      </c>
      <c r="AE239" s="82">
        <f>IF(Table1[[#This Row],[For Sale or For Lease?]]="Uncertain",Table1[[#This Row],[Office UFA (Net) (sf)]]-Table1[[#This Row],[Pre-leased space (Usable FA) (sf)]]-Table1[[#This Row],[Pre-sold (Usable FA) (sf)]]-Table1[[#This Row],[Self-use space (Usable FA) (sf)]],0)</f>
        <v>1053597.44175</v>
      </c>
      <c r="AF239" s="86">
        <f>1-SUM(Table1[[#This Row],[Space available for lease (Usable FA) (sf)]:[Space available uncertain of use (Usable FA) (sf)]])/Table1[[#This Row],[Office UFA (Net) (sf)]]</f>
        <v>0</v>
      </c>
      <c r="AG239" s="79" t="s">
        <v>89</v>
      </c>
      <c r="AH239" s="84"/>
      <c r="AI239" s="79"/>
      <c r="AJ239" s="83"/>
      <c r="AK239" s="83">
        <v>42433</v>
      </c>
      <c r="AL239" s="85" t="s">
        <v>32</v>
      </c>
      <c r="AM239" s="85"/>
      <c r="AN239" s="79" t="s">
        <v>74</v>
      </c>
      <c r="AO239" s="77" t="s">
        <v>1068</v>
      </c>
      <c r="AP239" s="77" t="s">
        <v>1068</v>
      </c>
      <c r="AQ239" s="77" t="s">
        <v>1916</v>
      </c>
      <c r="AR239" s="79" t="s">
        <v>1794</v>
      </c>
      <c r="AS239" s="79" t="s">
        <v>2035</v>
      </c>
      <c r="AT239" s="80">
        <v>22.317589999999999</v>
      </c>
      <c r="AU239" s="80">
        <v>114.21158</v>
      </c>
      <c r="AV239" s="77" t="s">
        <v>1981</v>
      </c>
    </row>
    <row r="240" spans="1:48" ht="15" customHeight="1" x14ac:dyDescent="0.35">
      <c r="A240" s="77"/>
      <c r="B240" s="77" t="s">
        <v>1640</v>
      </c>
      <c r="C240" s="77" t="s">
        <v>1639</v>
      </c>
      <c r="D240" s="77"/>
      <c r="E240" s="79" t="s">
        <v>50</v>
      </c>
      <c r="F240" s="77" t="str">
        <f>VLOOKUP(Table1[[#This Row],[CBRE sub-markets]],Reference!$A$2:$B$31,2,FALSE)</f>
        <v>Kowloon East</v>
      </c>
      <c r="G240" s="77">
        <f>VLOOKUP(Table1[[#This Row],[CBRE sub-markets]],Reference!$A$2:$D$31,3,FALSE)</f>
        <v>7</v>
      </c>
      <c r="H240" s="79" t="str">
        <f>VLOOKUP(Table1[[#This Row],[CBRE sub-markets]],Reference!$A$2:$D$31,4,FALSE)</f>
        <v>Kowloon</v>
      </c>
      <c r="I240" s="80" t="s">
        <v>2305</v>
      </c>
      <c r="J240" s="80"/>
      <c r="K240" s="81" t="str">
        <f>IF(ISNUMBER(Table1[[#This Row],[Qtr]]),CONCATENATE(Table1[[#This Row],[Year]]," Q",Table1[[#This Row],[Qtr]]),CONCATENATE(Table1[[#This Row],[Year]],Table1[[#This Row],[Qtr]]))</f>
        <v>2029-2033</v>
      </c>
      <c r="L240" s="80" t="s">
        <v>20</v>
      </c>
      <c r="M240" s="80" t="s">
        <v>83</v>
      </c>
      <c r="N240" s="80">
        <v>1</v>
      </c>
      <c r="O240" s="80" t="s">
        <v>1641</v>
      </c>
      <c r="P240" s="80">
        <v>17</v>
      </c>
      <c r="Q240" s="82">
        <v>25000</v>
      </c>
      <c r="R240" s="82">
        <f>+Table1[[#This Row],[Floor Plate (GFA) (sf)]]*0.75</f>
        <v>18750</v>
      </c>
      <c r="S240" s="80" t="str">
        <f t="shared" si="21"/>
        <v>Yes</v>
      </c>
      <c r="T240" s="82">
        <v>48940.2</v>
      </c>
      <c r="U240" s="82">
        <f>+Table1[[#This Row],[Total GFA (sm)]]*10.7639</f>
        <v>526787.41877999995</v>
      </c>
      <c r="V240" s="82">
        <f>+Table1[[#This Row],[Office GFA (sf)]]/10.7639</f>
        <v>39483.830210239787</v>
      </c>
      <c r="W240" s="82">
        <f>+Table1[[#This Row],[Floor Plate (GFA) (sf)]]*Table1[[#This Row],[No. of Storeys for Office]]</f>
        <v>425000</v>
      </c>
      <c r="X240" s="82">
        <f t="shared" si="24"/>
        <v>29612.87265767984</v>
      </c>
      <c r="Y240" s="82">
        <f t="shared" si="22"/>
        <v>318750</v>
      </c>
      <c r="Z240" s="82"/>
      <c r="AA240" s="82"/>
      <c r="AB240" s="82"/>
      <c r="AC240" s="82">
        <f t="shared" si="23"/>
        <v>318750</v>
      </c>
      <c r="AD240" s="82">
        <f>IF(Table1[[#This Row],[For Sale or For Lease?]]="For Sale",Table1[[#This Row],[Office UFA (Net) (sf)]]-Table1[[#This Row],[Pre-leased space (Usable FA) (sf)]]-Table1[[#This Row],[Pre-sold (Usable FA) (sf)]]-Table1[[#This Row],[Self-use space (Usable FA) (sf)]],0)</f>
        <v>0</v>
      </c>
      <c r="AE240" s="82">
        <f>IF(Table1[[#This Row],[For Sale or For Lease?]]="Uncertain",Table1[[#This Row],[Office UFA (Net) (sf)]]-Table1[[#This Row],[Pre-leased space (Usable FA) (sf)]]-Table1[[#This Row],[Pre-sold (Usable FA) (sf)]]-Table1[[#This Row],[Self-use space (Usable FA) (sf)]],0)</f>
        <v>0</v>
      </c>
      <c r="AF240" s="86">
        <f>1-SUM(Table1[[#This Row],[Space available for lease (Usable FA) (sf)]:[Space available uncertain of use (Usable FA) (sf)]])/Table1[[#This Row],[Office UFA (Net) (sf)]]</f>
        <v>0</v>
      </c>
      <c r="AG240" s="79" t="s">
        <v>89</v>
      </c>
      <c r="AH240" s="84"/>
      <c r="AI240" s="79" t="s">
        <v>1231</v>
      </c>
      <c r="AJ240" s="83">
        <v>43467</v>
      </c>
      <c r="AK240" s="83">
        <v>43467</v>
      </c>
      <c r="AL240" s="85" t="s">
        <v>30</v>
      </c>
      <c r="AM240" s="85" t="s">
        <v>419</v>
      </c>
      <c r="AN240" s="79" t="s">
        <v>73</v>
      </c>
      <c r="AO240" s="77" t="s">
        <v>705</v>
      </c>
      <c r="AP240" s="77" t="s">
        <v>81</v>
      </c>
      <c r="AQ240" s="77" t="s">
        <v>1630</v>
      </c>
      <c r="AR240" s="79" t="s">
        <v>1798</v>
      </c>
      <c r="AS240" s="79" t="s">
        <v>2014</v>
      </c>
      <c r="AT240" s="80">
        <v>22.314540000000001</v>
      </c>
      <c r="AU240" s="80">
        <v>114.21184</v>
      </c>
      <c r="AV240" s="77" t="s">
        <v>2145</v>
      </c>
    </row>
    <row r="241" spans="1:48" ht="15" hidden="1" customHeight="1" x14ac:dyDescent="0.35">
      <c r="A241" s="77"/>
      <c r="B241" s="77" t="s">
        <v>1946</v>
      </c>
      <c r="C241" s="77" t="s">
        <v>1488</v>
      </c>
      <c r="D241" s="77"/>
      <c r="E241" s="79" t="s">
        <v>50</v>
      </c>
      <c r="F241" s="77" t="str">
        <f>VLOOKUP(Table1[[#This Row],[CBRE sub-markets]],Reference!$A$2:$B$31,2,FALSE)</f>
        <v>Kowloon East</v>
      </c>
      <c r="G241" s="77">
        <f>VLOOKUP(Table1[[#This Row],[CBRE sub-markets]],Reference!$A$2:$D$31,3,FALSE)</f>
        <v>7</v>
      </c>
      <c r="H241" s="79" t="str">
        <f>VLOOKUP(Table1[[#This Row],[CBRE sub-markets]],Reference!$A$2:$D$31,4,FALSE)</f>
        <v>Kowloon</v>
      </c>
      <c r="I241" s="80" t="s">
        <v>2305</v>
      </c>
      <c r="J241" s="80"/>
      <c r="K241" s="81" t="str">
        <f>IF(ISNUMBER(Table1[[#This Row],[Qtr]]),CONCATENATE(Table1[[#This Row],[Year]]," Q",Table1[[#This Row],[Qtr]]),CONCATENATE(Table1[[#This Row],[Year]],Table1[[#This Row],[Qtr]]))</f>
        <v>2029-2033</v>
      </c>
      <c r="L241" s="80" t="s">
        <v>20</v>
      </c>
      <c r="M241" s="80" t="s">
        <v>85</v>
      </c>
      <c r="N241" s="80">
        <v>1</v>
      </c>
      <c r="O241" s="80">
        <v>15</v>
      </c>
      <c r="P241" s="80">
        <v>15</v>
      </c>
      <c r="Q241" s="82"/>
      <c r="R241" s="82"/>
      <c r="S241" s="80" t="str">
        <f t="shared" si="21"/>
        <v>Unknown</v>
      </c>
      <c r="T241" s="82">
        <f>Table1[[#This Row],[Total GFA (sf)]]/10.76391</f>
        <v>66889.728000000003</v>
      </c>
      <c r="U241" s="82">
        <v>719995.01211647992</v>
      </c>
      <c r="V241" s="82">
        <v>26012.388817491035</v>
      </c>
      <c r="W241" s="82">
        <f>Table1[[#This Row],[Office GFA (sm)]]*10.76391*0.7</f>
        <v>195996.50848153594</v>
      </c>
      <c r="X241" s="82">
        <f t="shared" si="24"/>
        <v>19509.291613118276</v>
      </c>
      <c r="Y241" s="82">
        <f t="shared" si="22"/>
        <v>146997.38136115196</v>
      </c>
      <c r="Z241" s="82"/>
      <c r="AA241" s="82"/>
      <c r="AB241" s="82"/>
      <c r="AC241" s="82">
        <f t="shared" si="23"/>
        <v>0</v>
      </c>
      <c r="AD241" s="82">
        <f>IF(Table1[[#This Row],[For Sale or For Lease?]]="For Sale",Table1[[#This Row],[Office UFA (Net) (sf)]]-Table1[[#This Row],[Pre-leased space (Usable FA) (sf)]]-Table1[[#This Row],[Pre-sold (Usable FA) (sf)]]-Table1[[#This Row],[Self-use space (Usable FA) (sf)]],0)</f>
        <v>0</v>
      </c>
      <c r="AE241" s="82">
        <f>IF(Table1[[#This Row],[For Sale or For Lease?]]="Uncertain",Table1[[#This Row],[Office UFA (Net) (sf)]]-Table1[[#This Row],[Pre-leased space (Usable FA) (sf)]]-Table1[[#This Row],[Pre-sold (Usable FA) (sf)]]-Table1[[#This Row],[Self-use space (Usable FA) (sf)]],0)</f>
        <v>146997.38136115196</v>
      </c>
      <c r="AF241" s="86">
        <f>1-SUM(Table1[[#This Row],[Space available for lease (Usable FA) (sf)]:[Space available uncertain of use (Usable FA) (sf)]])/Table1[[#This Row],[Office UFA (Net) (sf)]]</f>
        <v>0</v>
      </c>
      <c r="AG241" s="79" t="s">
        <v>89</v>
      </c>
      <c r="AH241" s="84"/>
      <c r="AI241" s="79" t="s">
        <v>346</v>
      </c>
      <c r="AJ241" s="83">
        <v>43214</v>
      </c>
      <c r="AK241" s="83">
        <v>43214</v>
      </c>
      <c r="AL241" s="85" t="s">
        <v>30</v>
      </c>
      <c r="AM241" s="85" t="s">
        <v>1489</v>
      </c>
      <c r="AN241" s="79" t="s">
        <v>73</v>
      </c>
      <c r="AO241" s="77" t="s">
        <v>1068</v>
      </c>
      <c r="AP241" s="77" t="s">
        <v>1068</v>
      </c>
      <c r="AQ241" s="77" t="s">
        <v>1665</v>
      </c>
      <c r="AR241" s="79" t="s">
        <v>1796</v>
      </c>
      <c r="AS241" s="79"/>
      <c r="AT241" s="80">
        <v>22.311492154371095</v>
      </c>
      <c r="AU241" s="80">
        <v>114.22542042145599</v>
      </c>
      <c r="AV241" s="77" t="s">
        <v>2111</v>
      </c>
    </row>
    <row r="242" spans="1:48" ht="15" hidden="1" customHeight="1" x14ac:dyDescent="0.35">
      <c r="A242" s="77"/>
      <c r="B242" s="77" t="s">
        <v>1972</v>
      </c>
      <c r="C242" s="77" t="s">
        <v>1945</v>
      </c>
      <c r="D242" s="77"/>
      <c r="E242" s="79" t="s">
        <v>50</v>
      </c>
      <c r="F242" s="77" t="str">
        <f>VLOOKUP(Table1[[#This Row],[CBRE sub-markets]],Reference!$A$2:$B$31,2,FALSE)</f>
        <v>Kowloon East</v>
      </c>
      <c r="G242" s="77">
        <f>VLOOKUP(Table1[[#This Row],[CBRE sub-markets]],Reference!$A$2:$D$31,3,FALSE)</f>
        <v>7</v>
      </c>
      <c r="H242" s="79" t="str">
        <f>VLOOKUP(Table1[[#This Row],[CBRE sub-markets]],Reference!$A$2:$D$31,4,FALSE)</f>
        <v>Kowloon</v>
      </c>
      <c r="I242" s="80" t="s">
        <v>2305</v>
      </c>
      <c r="J242" s="80"/>
      <c r="K242" s="81" t="str">
        <f>IF(ISNUMBER(Table1[[#This Row],[Qtr]]),CONCATENATE(Table1[[#This Row],[Year]]," Q",Table1[[#This Row],[Qtr]]),CONCATENATE(Table1[[#This Row],[Year]],Table1[[#This Row],[Qtr]]))</f>
        <v>2029-2033</v>
      </c>
      <c r="L242" s="80" t="s">
        <v>20</v>
      </c>
      <c r="M242" s="80" t="s">
        <v>85</v>
      </c>
      <c r="N242" s="80">
        <v>1</v>
      </c>
      <c r="O242" s="80" t="s">
        <v>1947</v>
      </c>
      <c r="P242" s="80">
        <v>15</v>
      </c>
      <c r="Q242" s="82"/>
      <c r="R242" s="82"/>
      <c r="S242" s="80" t="str">
        <f t="shared" si="21"/>
        <v>Unknown</v>
      </c>
      <c r="T242" s="82">
        <f>Table1[[#This Row],[Total GFA (sf)]]/10.76391</f>
        <v>66889.728000000003</v>
      </c>
      <c r="U242" s="82">
        <v>719995.01211647992</v>
      </c>
      <c r="V242" s="82">
        <v>22296.5</v>
      </c>
      <c r="W242" s="82">
        <f>Table1[[#This Row],[Office GFA (sm)]]*10.76391*0.7</f>
        <v>167998.26352049998</v>
      </c>
      <c r="X242" s="82">
        <f t="shared" si="24"/>
        <v>16722.375</v>
      </c>
      <c r="Y242" s="82">
        <f t="shared" si="22"/>
        <v>125998.69764037499</v>
      </c>
      <c r="Z242" s="82"/>
      <c r="AA242" s="82"/>
      <c r="AB242" s="82"/>
      <c r="AC242" s="82">
        <f t="shared" si="23"/>
        <v>0</v>
      </c>
      <c r="AD242" s="82">
        <f>IF(Table1[[#This Row],[For Sale or For Lease?]]="For Sale",Table1[[#This Row],[Office UFA (Net) (sf)]]-Table1[[#This Row],[Pre-leased space (Usable FA) (sf)]]-Table1[[#This Row],[Pre-sold (Usable FA) (sf)]]-Table1[[#This Row],[Self-use space (Usable FA) (sf)]],0)</f>
        <v>0</v>
      </c>
      <c r="AE242" s="82">
        <f>IF(Table1[[#This Row],[For Sale or For Lease?]]="Uncertain",Table1[[#This Row],[Office UFA (Net) (sf)]]-Table1[[#This Row],[Pre-leased space (Usable FA) (sf)]]-Table1[[#This Row],[Pre-sold (Usable FA) (sf)]]-Table1[[#This Row],[Self-use space (Usable FA) (sf)]],0)</f>
        <v>125998.69764037499</v>
      </c>
      <c r="AF242" s="86">
        <f>1-SUM(Table1[[#This Row],[Space available for lease (Usable FA) (sf)]:[Space available uncertain of use (Usable FA) (sf)]])/Table1[[#This Row],[Office UFA (Net) (sf)]]</f>
        <v>0</v>
      </c>
      <c r="AG242" s="79" t="s">
        <v>89</v>
      </c>
      <c r="AH242" s="84"/>
      <c r="AI242" s="79" t="s">
        <v>346</v>
      </c>
      <c r="AJ242" s="83">
        <v>43214</v>
      </c>
      <c r="AK242" s="83">
        <v>43214</v>
      </c>
      <c r="AL242" s="85" t="s">
        <v>30</v>
      </c>
      <c r="AM242" s="85" t="s">
        <v>1489</v>
      </c>
      <c r="AN242" s="79" t="s">
        <v>73</v>
      </c>
      <c r="AO242" s="77" t="s">
        <v>1068</v>
      </c>
      <c r="AP242" s="77" t="s">
        <v>1068</v>
      </c>
      <c r="AQ242" s="77" t="s">
        <v>1665</v>
      </c>
      <c r="AR242" s="79" t="s">
        <v>1944</v>
      </c>
      <c r="AS242" s="79"/>
      <c r="AT242" s="80">
        <v>22.311325900364402</v>
      </c>
      <c r="AU242" s="80">
        <v>114.225232666824</v>
      </c>
      <c r="AV242" s="77"/>
    </row>
    <row r="243" spans="1:48" ht="15" hidden="1" customHeight="1" x14ac:dyDescent="0.35">
      <c r="A243" s="77"/>
      <c r="B243" s="77" t="s">
        <v>1572</v>
      </c>
      <c r="C243" s="77" t="s">
        <v>1444</v>
      </c>
      <c r="D243" s="77"/>
      <c r="E243" s="79" t="s">
        <v>11</v>
      </c>
      <c r="F243" s="77" t="str">
        <f>VLOOKUP(Table1[[#This Row],[CBRE sub-markets]],Reference!$A$2:$B$31,2,FALSE)</f>
        <v>Kowloon Others</v>
      </c>
      <c r="G243" s="77">
        <f>VLOOKUP(Table1[[#This Row],[CBRE sub-markets]],Reference!$A$2:$D$31,3,FALSE)</f>
        <v>8</v>
      </c>
      <c r="H243" s="79" t="str">
        <f>VLOOKUP(Table1[[#This Row],[CBRE sub-markets]],Reference!$A$2:$D$31,4,FALSE)</f>
        <v>Kowloon</v>
      </c>
      <c r="I243" s="80" t="s">
        <v>2305</v>
      </c>
      <c r="J243" s="80"/>
      <c r="K243" s="81" t="str">
        <f>IF(ISNUMBER(Table1[[#This Row],[Qtr]]),CONCATENATE(Table1[[#This Row],[Year]]," Q",Table1[[#This Row],[Qtr]]),CONCATENATE(Table1[[#This Row],[Year]],Table1[[#This Row],[Qtr]]))</f>
        <v>2029-2033</v>
      </c>
      <c r="L243" s="80" t="s">
        <v>20</v>
      </c>
      <c r="M243" s="80" t="s">
        <v>85</v>
      </c>
      <c r="N243" s="80">
        <v>1</v>
      </c>
      <c r="O243" s="80" t="s">
        <v>482</v>
      </c>
      <c r="P243" s="80">
        <v>20</v>
      </c>
      <c r="Q243" s="82">
        <f>Table1[[#This Row],[Office GFA (sf)]]/20</f>
        <v>9945.0847450499987</v>
      </c>
      <c r="R243" s="82">
        <f>+Table1[[#This Row],[Floor Plate (GFA) (sf)]]*0.75</f>
        <v>7458.8135587874986</v>
      </c>
      <c r="S243" s="80" t="str">
        <f t="shared" si="21"/>
        <v>No</v>
      </c>
      <c r="T243" s="82">
        <v>24457.08</v>
      </c>
      <c r="U243" s="82">
        <f>+Table1[[#This Row],[Total GFA (sm)]]*10.7639</f>
        <v>263253.56341200002</v>
      </c>
      <c r="V243" s="82">
        <v>18478.59</v>
      </c>
      <c r="W243" s="82">
        <f>Table1[[#This Row],[Office GFA (sm)]]*10.7639</f>
        <v>198901.69490099998</v>
      </c>
      <c r="X243" s="82">
        <f t="shared" si="24"/>
        <v>13858.942500000001</v>
      </c>
      <c r="Y243" s="82">
        <f t="shared" si="22"/>
        <v>149176.27117574998</v>
      </c>
      <c r="Z243" s="82"/>
      <c r="AA243" s="82"/>
      <c r="AB243" s="82"/>
      <c r="AC243" s="82">
        <f t="shared" si="23"/>
        <v>0</v>
      </c>
      <c r="AD243" s="82">
        <f>IF(Table1[[#This Row],[For Sale or For Lease?]]="For Sale",Table1[[#This Row],[Office UFA (Net) (sf)]]-Table1[[#This Row],[Pre-leased space (Usable FA) (sf)]]-Table1[[#This Row],[Pre-sold (Usable FA) (sf)]]-Table1[[#This Row],[Self-use space (Usable FA) (sf)]],0)</f>
        <v>0</v>
      </c>
      <c r="AE243" s="82">
        <f>IF(Table1[[#This Row],[For Sale or For Lease?]]="Uncertain",Table1[[#This Row],[Office UFA (Net) (sf)]]-Table1[[#This Row],[Pre-leased space (Usable FA) (sf)]]-Table1[[#This Row],[Pre-sold (Usable FA) (sf)]]-Table1[[#This Row],[Self-use space (Usable FA) (sf)]],0)</f>
        <v>149176.27117574998</v>
      </c>
      <c r="AF243" s="86">
        <f>1-SUM(Table1[[#This Row],[Space available for lease (Usable FA) (sf)]:[Space available uncertain of use (Usable FA) (sf)]])/Table1[[#This Row],[Office UFA (Net) (sf)]]</f>
        <v>0</v>
      </c>
      <c r="AG243" s="79" t="s">
        <v>89</v>
      </c>
      <c r="AH243" s="84"/>
      <c r="AI243" s="79" t="s">
        <v>1231</v>
      </c>
      <c r="AJ243" s="83">
        <v>44409</v>
      </c>
      <c r="AK243" s="83">
        <v>44805</v>
      </c>
      <c r="AL243" s="85" t="s">
        <v>32</v>
      </c>
      <c r="AM243" s="85" t="s">
        <v>1445</v>
      </c>
      <c r="AN243" s="79" t="s">
        <v>73</v>
      </c>
      <c r="AO243" s="77" t="s">
        <v>1068</v>
      </c>
      <c r="AP243" s="77" t="s">
        <v>1068</v>
      </c>
      <c r="AQ243" s="77" t="s">
        <v>1573</v>
      </c>
      <c r="AR243" s="79" t="s">
        <v>1757</v>
      </c>
      <c r="AS243" s="79" t="s">
        <v>2138</v>
      </c>
      <c r="AT243" s="80">
        <v>22.28688</v>
      </c>
      <c r="AU243" s="80">
        <v>114.13751999999999</v>
      </c>
      <c r="AV243" s="77" t="s">
        <v>2105</v>
      </c>
    </row>
    <row r="244" spans="1:48" ht="15" hidden="1" customHeight="1" x14ac:dyDescent="0.35">
      <c r="A244" s="77"/>
      <c r="B244" s="77" t="s">
        <v>2260</v>
      </c>
      <c r="C244" s="77" t="s">
        <v>1415</v>
      </c>
      <c r="D244" s="77"/>
      <c r="E244" s="79" t="s">
        <v>47</v>
      </c>
      <c r="F244" s="77" t="str">
        <f>VLOOKUP(Table1[[#This Row],[CBRE sub-markets]],Reference!$A$2:$B$31,2,FALSE)</f>
        <v>Kowloon Others</v>
      </c>
      <c r="G244" s="77">
        <f>VLOOKUP(Table1[[#This Row],[CBRE sub-markets]],Reference!$A$2:$D$31,3,FALSE)</f>
        <v>8</v>
      </c>
      <c r="H244" s="79" t="str">
        <f>VLOOKUP(Table1[[#This Row],[CBRE sub-markets]],Reference!$A$2:$D$31,4,FALSE)</f>
        <v>Kowloon</v>
      </c>
      <c r="I244" s="80" t="s">
        <v>2305</v>
      </c>
      <c r="J244" s="80"/>
      <c r="K244" s="81" t="str">
        <f>IF(ISNUMBER(Table1[[#This Row],[Qtr]]),CONCATENATE(Table1[[#This Row],[Year]]," Q",Table1[[#This Row],[Qtr]]),CONCATENATE(Table1[[#This Row],[Year]],Table1[[#This Row],[Qtr]]))</f>
        <v>2029-2033</v>
      </c>
      <c r="L244" s="80" t="s">
        <v>21</v>
      </c>
      <c r="M244" s="80" t="s">
        <v>85</v>
      </c>
      <c r="N244" s="80">
        <v>1</v>
      </c>
      <c r="O244" s="80" t="s">
        <v>1057</v>
      </c>
      <c r="P244" s="80">
        <v>10</v>
      </c>
      <c r="Q244" s="82">
        <f>Table1[[#This Row],[Office GFA (sf)]]/10</f>
        <v>5012.7482299999992</v>
      </c>
      <c r="R244" s="82">
        <f>Table1[[#This Row],[Floor Plate (GFA) (sf)]]*0.75</f>
        <v>3759.5611724999994</v>
      </c>
      <c r="S244" s="80" t="str">
        <f t="shared" si="21"/>
        <v>No</v>
      </c>
      <c r="T244" s="82"/>
      <c r="U244" s="82"/>
      <c r="V244" s="82">
        <v>4657</v>
      </c>
      <c r="W244" s="82">
        <f>Table1[[#This Row],[Office GFA (sm)]]*10.7639</f>
        <v>50127.482299999996</v>
      </c>
      <c r="X244" s="82">
        <f t="shared" si="24"/>
        <v>3492.75</v>
      </c>
      <c r="Y244" s="82">
        <f t="shared" si="22"/>
        <v>37595.611724999995</v>
      </c>
      <c r="Z244" s="82"/>
      <c r="AA244" s="82"/>
      <c r="AB244" s="82"/>
      <c r="AC244" s="82">
        <f t="shared" si="23"/>
        <v>37595.611724999995</v>
      </c>
      <c r="AD244" s="82">
        <f>IF(Table1[[#This Row],[For Sale or For Lease?]]="For Sale",Table1[[#This Row],[Office UFA (Net) (sf)]]-Table1[[#This Row],[Pre-leased space (Usable FA) (sf)]]-Table1[[#This Row],[Pre-sold (Usable FA) (sf)]]-Table1[[#This Row],[Self-use space (Usable FA) (sf)]],0)</f>
        <v>0</v>
      </c>
      <c r="AE244" s="82">
        <f>IF(Table1[[#This Row],[For Sale or For Lease?]]="Uncertain",Table1[[#This Row],[Office UFA (Net) (sf)]]-Table1[[#This Row],[Pre-leased space (Usable FA) (sf)]]-Table1[[#This Row],[Pre-sold (Usable FA) (sf)]]-Table1[[#This Row],[Self-use space (Usable FA) (sf)]],0)</f>
        <v>0</v>
      </c>
      <c r="AF244" s="86">
        <f>1-SUM(Table1[[#This Row],[Space available for lease (Usable FA) (sf)]:[Space available uncertain of use (Usable FA) (sf)]])/Table1[[#This Row],[Office UFA (Net) (sf)]]</f>
        <v>0</v>
      </c>
      <c r="AG244" s="79" t="s">
        <v>89</v>
      </c>
      <c r="AH244" s="84"/>
      <c r="AI244" s="79" t="s">
        <v>1231</v>
      </c>
      <c r="AJ244" s="83">
        <v>42941</v>
      </c>
      <c r="AK244" s="83">
        <v>42941</v>
      </c>
      <c r="AL244" s="85" t="s">
        <v>30</v>
      </c>
      <c r="AM244" s="85" t="s">
        <v>1416</v>
      </c>
      <c r="AN244" s="79" t="s">
        <v>73</v>
      </c>
      <c r="AO244" s="77" t="s">
        <v>705</v>
      </c>
      <c r="AP244" s="77" t="s">
        <v>81</v>
      </c>
      <c r="AQ244" s="77" t="s">
        <v>1422</v>
      </c>
      <c r="AR244" s="79" t="s">
        <v>1758</v>
      </c>
      <c r="AS244" s="79" t="s">
        <v>1987</v>
      </c>
      <c r="AT244" s="80"/>
      <c r="AU244" s="80"/>
      <c r="AV244" s="77"/>
    </row>
    <row r="245" spans="1:48" ht="15" customHeight="1" x14ac:dyDescent="0.35">
      <c r="A245" s="77"/>
      <c r="B245" s="77" t="s">
        <v>1424</v>
      </c>
      <c r="C245" s="77" t="s">
        <v>1424</v>
      </c>
      <c r="D245" s="77"/>
      <c r="E245" s="79" t="s">
        <v>50</v>
      </c>
      <c r="F245" s="77" t="str">
        <f>VLOOKUP(Table1[[#This Row],[CBRE sub-markets]],Reference!$A$2:$B$31,2,FALSE)</f>
        <v>Kowloon East</v>
      </c>
      <c r="G245" s="77">
        <f>VLOOKUP(Table1[[#This Row],[CBRE sub-markets]],Reference!$A$2:$D$31,3,FALSE)</f>
        <v>7</v>
      </c>
      <c r="H245" s="79" t="str">
        <f>VLOOKUP(Table1[[#This Row],[CBRE sub-markets]],Reference!$A$2:$D$31,4,FALSE)</f>
        <v>Kowloon</v>
      </c>
      <c r="I245" s="80" t="s">
        <v>2305</v>
      </c>
      <c r="J245" s="80"/>
      <c r="K245" s="81" t="str">
        <f>IF(ISNUMBER(Table1[[#This Row],[Qtr]]),CONCATENATE(Table1[[#This Row],[Year]]," Q",Table1[[#This Row],[Qtr]]),CONCATENATE(Table1[[#This Row],[Year]],Table1[[#This Row],[Qtr]]))</f>
        <v>2029-2033</v>
      </c>
      <c r="L245" s="80" t="s">
        <v>20</v>
      </c>
      <c r="M245" s="80" t="s">
        <v>83</v>
      </c>
      <c r="N245" s="80" t="s">
        <v>1426</v>
      </c>
      <c r="O245" s="80"/>
      <c r="P245" s="80" t="s">
        <v>1427</v>
      </c>
      <c r="Q245" s="82"/>
      <c r="R245" s="82"/>
      <c r="S245" s="80" t="str">
        <f t="shared" si="21"/>
        <v>Unknown</v>
      </c>
      <c r="T245" s="82">
        <v>86650</v>
      </c>
      <c r="U245" s="82">
        <f>+Table1[[#This Row],[Total GFA (sm)]]*10.7639</f>
        <v>932691.93499999994</v>
      </c>
      <c r="V245" s="82">
        <v>65300</v>
      </c>
      <c r="W245" s="82">
        <f>V245*10.764</f>
        <v>702889.2</v>
      </c>
      <c r="X245" s="82">
        <f t="shared" si="24"/>
        <v>48975</v>
      </c>
      <c r="Y245" s="82">
        <f t="shared" si="22"/>
        <v>527166.89999999991</v>
      </c>
      <c r="Z245" s="82"/>
      <c r="AA245" s="82"/>
      <c r="AB245" s="82"/>
      <c r="AC245" s="82">
        <f t="shared" si="23"/>
        <v>0</v>
      </c>
      <c r="AD245" s="82">
        <f>IF(Table1[[#This Row],[For Sale or For Lease?]]="For Sale",Table1[[#This Row],[Office UFA (Net) (sf)]]-Table1[[#This Row],[Pre-leased space (Usable FA) (sf)]]-Table1[[#This Row],[Pre-sold (Usable FA) (sf)]]-Table1[[#This Row],[Self-use space (Usable FA) (sf)]],0)</f>
        <v>0</v>
      </c>
      <c r="AE245" s="82">
        <f>IF(Table1[[#This Row],[For Sale or For Lease?]]="Uncertain",Table1[[#This Row],[Office UFA (Net) (sf)]]-Table1[[#This Row],[Pre-leased space (Usable FA) (sf)]]-Table1[[#This Row],[Pre-sold (Usable FA) (sf)]]-Table1[[#This Row],[Self-use space (Usable FA) (sf)]],0)</f>
        <v>527166.89999999991</v>
      </c>
      <c r="AF245" s="86">
        <f>1-SUM(Table1[[#This Row],[Space available for lease (Usable FA) (sf)]:[Space available uncertain of use (Usable FA) (sf)]])/Table1[[#This Row],[Office UFA (Net) (sf)]]</f>
        <v>0</v>
      </c>
      <c r="AG245" s="79" t="s">
        <v>89</v>
      </c>
      <c r="AH245" s="84"/>
      <c r="AI245" s="79" t="s">
        <v>1425</v>
      </c>
      <c r="AJ245" s="83">
        <v>44256</v>
      </c>
      <c r="AK245" s="83">
        <v>44256</v>
      </c>
      <c r="AL245" s="85" t="s">
        <v>32</v>
      </c>
      <c r="AM245" s="85"/>
      <c r="AN245" s="79" t="s">
        <v>74</v>
      </c>
      <c r="AO245" s="77" t="s">
        <v>1068</v>
      </c>
      <c r="AP245" s="77" t="s">
        <v>1068</v>
      </c>
      <c r="AQ245" s="77" t="s">
        <v>1870</v>
      </c>
      <c r="AR245" s="79" t="s">
        <v>1835</v>
      </c>
      <c r="AS245" s="79" t="s">
        <v>2033</v>
      </c>
      <c r="AT245" s="80">
        <v>22.307780000000001</v>
      </c>
      <c r="AU245" s="80">
        <v>114.22198</v>
      </c>
      <c r="AV245" s="77"/>
    </row>
    <row r="246" spans="1:48" ht="15" hidden="1" customHeight="1" x14ac:dyDescent="0.35">
      <c r="A246" s="77"/>
      <c r="B246" s="77" t="s">
        <v>2173</v>
      </c>
      <c r="C246" s="77" t="s">
        <v>1264</v>
      </c>
      <c r="D246" s="77"/>
      <c r="E246" s="79" t="s">
        <v>8</v>
      </c>
      <c r="F246" s="77" t="str">
        <f>VLOOKUP(Table1[[#This Row],[CBRE sub-markets]],Reference!$A$2:$B$31,2,FALSE)</f>
        <v>Tsim Sha Tsui</v>
      </c>
      <c r="G246" s="77">
        <f>VLOOKUP(Table1[[#This Row],[CBRE sub-markets]],Reference!$A$2:$D$31,3,FALSE)</f>
        <v>6</v>
      </c>
      <c r="H246" s="79" t="str">
        <f>VLOOKUP(Table1[[#This Row],[CBRE sub-markets]],Reference!$A$2:$D$31,4,FALSE)</f>
        <v>Kowloon</v>
      </c>
      <c r="I246" s="80" t="s">
        <v>2305</v>
      </c>
      <c r="J246" s="80"/>
      <c r="K246" s="81" t="str">
        <f>IF(ISNUMBER(Table1[[#This Row],[Qtr]]),CONCATENATE(Table1[[#This Row],[Year]]," Q",Table1[[#This Row],[Qtr]]),CONCATENATE(Table1[[#This Row],[Year]],Table1[[#This Row],[Qtr]]))</f>
        <v>2029-2033</v>
      </c>
      <c r="L246" s="80" t="s">
        <v>20</v>
      </c>
      <c r="M246" s="80"/>
      <c r="N246" s="80"/>
      <c r="O246" s="80"/>
      <c r="P246" s="80"/>
      <c r="Q246" s="82"/>
      <c r="R246" s="82"/>
      <c r="S246" s="80" t="str">
        <f t="shared" si="21"/>
        <v>Unknown</v>
      </c>
      <c r="T246" s="82"/>
      <c r="U246" s="82"/>
      <c r="V246" s="82">
        <f>740350*0.25*0.7</f>
        <v>129561.24999999999</v>
      </c>
      <c r="W246" s="82">
        <f>V246*10.764</f>
        <v>1394597.2949999997</v>
      </c>
      <c r="X246" s="82">
        <f t="shared" si="24"/>
        <v>97170.937499999985</v>
      </c>
      <c r="Y246" s="82">
        <f t="shared" si="22"/>
        <v>1045947.9712499997</v>
      </c>
      <c r="Z246" s="82"/>
      <c r="AA246" s="82"/>
      <c r="AB246" s="82"/>
      <c r="AC246" s="82">
        <f t="shared" si="23"/>
        <v>0</v>
      </c>
      <c r="AD246" s="82">
        <f>IF(Table1[[#This Row],[For Sale or For Lease?]]="For Sale",Table1[[#This Row],[Office UFA (Net) (sf)]]-Table1[[#This Row],[Pre-leased space (Usable FA) (sf)]]-Table1[[#This Row],[Pre-sold (Usable FA) (sf)]]-Table1[[#This Row],[Self-use space (Usable FA) (sf)]],0)</f>
        <v>0</v>
      </c>
      <c r="AE246" s="82">
        <f>IF(Table1[[#This Row],[For Sale or For Lease?]]="Uncertain",Table1[[#This Row],[Office UFA (Net) (sf)]]-Table1[[#This Row],[Pre-leased space (Usable FA) (sf)]]-Table1[[#This Row],[Pre-sold (Usable FA) (sf)]]-Table1[[#This Row],[Self-use space (Usable FA) (sf)]],0)</f>
        <v>1045947.9712499997</v>
      </c>
      <c r="AF246" s="86">
        <f>1-SUM(Table1[[#This Row],[Space available for lease (Usable FA) (sf)]:[Space available uncertain of use (Usable FA) (sf)]])/Table1[[#This Row],[Office UFA (Net) (sf)]]</f>
        <v>0</v>
      </c>
      <c r="AG246" s="79" t="s">
        <v>89</v>
      </c>
      <c r="AH246" s="84"/>
      <c r="AI246" s="79"/>
      <c r="AJ246" s="83"/>
      <c r="AK246" s="83">
        <v>42433</v>
      </c>
      <c r="AL246" s="85" t="s">
        <v>29</v>
      </c>
      <c r="AM246" s="85"/>
      <c r="AN246" s="79" t="s">
        <v>74</v>
      </c>
      <c r="AO246" s="77" t="s">
        <v>1068</v>
      </c>
      <c r="AP246" s="77" t="s">
        <v>1068</v>
      </c>
      <c r="AQ246" s="77" t="s">
        <v>1112</v>
      </c>
      <c r="AR246" s="79" t="s">
        <v>1783</v>
      </c>
      <c r="AS246" s="79" t="s">
        <v>2023</v>
      </c>
      <c r="AT246" s="80">
        <v>22.300319999999999</v>
      </c>
      <c r="AU246" s="80">
        <v>114.155607</v>
      </c>
      <c r="AV246" s="77" t="s">
        <v>2172</v>
      </c>
    </row>
    <row r="247" spans="1:48" ht="15" hidden="1" customHeight="1" x14ac:dyDescent="0.35">
      <c r="A247" s="77"/>
      <c r="B247" s="77" t="s">
        <v>1259</v>
      </c>
      <c r="C247" s="77" t="s">
        <v>1259</v>
      </c>
      <c r="D247" s="77"/>
      <c r="E247" s="79" t="s">
        <v>8</v>
      </c>
      <c r="F247" s="77" t="str">
        <f>VLOOKUP(Table1[[#This Row],[CBRE sub-markets]],Reference!$A$2:$B$31,2,FALSE)</f>
        <v>Tsim Sha Tsui</v>
      </c>
      <c r="G247" s="77">
        <f>VLOOKUP(Table1[[#This Row],[CBRE sub-markets]],Reference!$A$2:$D$31,3,FALSE)</f>
        <v>6</v>
      </c>
      <c r="H247" s="79" t="str">
        <f>VLOOKUP(Table1[[#This Row],[CBRE sub-markets]],Reference!$A$2:$D$31,4,FALSE)</f>
        <v>Kowloon</v>
      </c>
      <c r="I247" s="80" t="s">
        <v>2305</v>
      </c>
      <c r="J247" s="80"/>
      <c r="K247" s="81" t="str">
        <f>IF(ISNUMBER(Table1[[#This Row],[Qtr]]),CONCATENATE(Table1[[#This Row],[Year]]," Q",Table1[[#This Row],[Qtr]]),CONCATENATE(Table1[[#This Row],[Year]],Table1[[#This Row],[Qtr]]))</f>
        <v>2029-2033</v>
      </c>
      <c r="L247" s="80"/>
      <c r="M247" s="80" t="s">
        <v>83</v>
      </c>
      <c r="N247" s="80"/>
      <c r="O247" s="80"/>
      <c r="P247" s="80"/>
      <c r="Q247" s="82"/>
      <c r="R247" s="82"/>
      <c r="S247" s="80" t="str">
        <f t="shared" si="21"/>
        <v>Unknown</v>
      </c>
      <c r="T247" s="82"/>
      <c r="U247" s="82"/>
      <c r="V247" s="82">
        <f>Table1[[#This Row],[Office GFA (sf)]]/10.764</f>
        <v>24525.083612040136</v>
      </c>
      <c r="W247" s="82">
        <f>293320*1.8*0.5</f>
        <v>263988</v>
      </c>
      <c r="X247" s="82">
        <f t="shared" si="24"/>
        <v>18393.812709030102</v>
      </c>
      <c r="Y247" s="82">
        <f t="shared" si="22"/>
        <v>197991</v>
      </c>
      <c r="Z247" s="82"/>
      <c r="AA247" s="82"/>
      <c r="AB247" s="82"/>
      <c r="AC247" s="82">
        <f t="shared" si="23"/>
        <v>0</v>
      </c>
      <c r="AD247" s="82">
        <f>IF(Table1[[#This Row],[For Sale or For Lease?]]="For Sale",Table1[[#This Row],[Office UFA (Net) (sf)]]-Table1[[#This Row],[Pre-leased space (Usable FA) (sf)]]-Table1[[#This Row],[Pre-sold (Usable FA) (sf)]]-Table1[[#This Row],[Self-use space (Usable FA) (sf)]],0)</f>
        <v>0</v>
      </c>
      <c r="AE247" s="82">
        <f>IF(Table1[[#This Row],[For Sale or For Lease?]]="Uncertain",Table1[[#This Row],[Office UFA (Net) (sf)]]-Table1[[#This Row],[Pre-leased space (Usable FA) (sf)]]-Table1[[#This Row],[Pre-sold (Usable FA) (sf)]]-Table1[[#This Row],[Self-use space (Usable FA) (sf)]],0)</f>
        <v>197991</v>
      </c>
      <c r="AF247" s="86">
        <f>1-SUM(Table1[[#This Row],[Space available for lease (Usable FA) (sf)]:[Space available uncertain of use (Usable FA) (sf)]])/Table1[[#This Row],[Office UFA (Net) (sf)]]</f>
        <v>0</v>
      </c>
      <c r="AG247" s="79" t="s">
        <v>89</v>
      </c>
      <c r="AH247" s="84"/>
      <c r="AI247" s="79"/>
      <c r="AJ247" s="83"/>
      <c r="AK247" s="83">
        <v>42433</v>
      </c>
      <c r="AL247" s="85" t="s">
        <v>29</v>
      </c>
      <c r="AM247" s="85"/>
      <c r="AN247" s="79" t="s">
        <v>74</v>
      </c>
      <c r="AO247" s="77" t="s">
        <v>1068</v>
      </c>
      <c r="AP247" s="77" t="s">
        <v>1068</v>
      </c>
      <c r="AQ247" s="77"/>
      <c r="AR247" s="79" t="s">
        <v>1786</v>
      </c>
      <c r="AS247" s="79" t="s">
        <v>2025</v>
      </c>
      <c r="AT247" s="80">
        <v>22.302095999999999</v>
      </c>
      <c r="AU247" s="80">
        <v>114.16244500000001</v>
      </c>
      <c r="AV247" s="77" t="s">
        <v>2166</v>
      </c>
    </row>
    <row r="248" spans="1:48" ht="15" hidden="1" customHeight="1" x14ac:dyDescent="0.35">
      <c r="A248" s="77"/>
      <c r="B248" s="77" t="s">
        <v>1260</v>
      </c>
      <c r="C248" s="77" t="s">
        <v>1260</v>
      </c>
      <c r="D248" s="77"/>
      <c r="E248" s="79" t="s">
        <v>8</v>
      </c>
      <c r="F248" s="77" t="str">
        <f>VLOOKUP(Table1[[#This Row],[CBRE sub-markets]],Reference!$A$2:$B$31,2,FALSE)</f>
        <v>Tsim Sha Tsui</v>
      </c>
      <c r="G248" s="77">
        <f>VLOOKUP(Table1[[#This Row],[CBRE sub-markets]],Reference!$A$2:$D$31,3,FALSE)</f>
        <v>6</v>
      </c>
      <c r="H248" s="79" t="str">
        <f>VLOOKUP(Table1[[#This Row],[CBRE sub-markets]],Reference!$A$2:$D$31,4,FALSE)</f>
        <v>Kowloon</v>
      </c>
      <c r="I248" s="80" t="s">
        <v>2305</v>
      </c>
      <c r="J248" s="80"/>
      <c r="K248" s="81" t="str">
        <f>IF(ISNUMBER(Table1[[#This Row],[Qtr]]),CONCATENATE(Table1[[#This Row],[Year]]," Q",Table1[[#This Row],[Qtr]]),CONCATENATE(Table1[[#This Row],[Year]],Table1[[#This Row],[Qtr]]))</f>
        <v>2029-2033</v>
      </c>
      <c r="L248" s="80"/>
      <c r="M248" s="80" t="s">
        <v>83</v>
      </c>
      <c r="N248" s="80"/>
      <c r="O248" s="80"/>
      <c r="P248" s="80"/>
      <c r="Q248" s="82"/>
      <c r="R248" s="82"/>
      <c r="S248" s="80" t="str">
        <f t="shared" si="21"/>
        <v>Unknown</v>
      </c>
      <c r="T248" s="82"/>
      <c r="U248" s="82"/>
      <c r="V248" s="82">
        <f>Table1[[#This Row],[Office GFA (sf)]]/10.764</f>
        <v>40835.284280936459</v>
      </c>
      <c r="W248" s="82">
        <f>488390*1.8*0.5</f>
        <v>439551</v>
      </c>
      <c r="X248" s="82">
        <f t="shared" si="24"/>
        <v>30626.463210702343</v>
      </c>
      <c r="Y248" s="82">
        <f t="shared" si="22"/>
        <v>329663.25</v>
      </c>
      <c r="Z248" s="82"/>
      <c r="AA248" s="82"/>
      <c r="AB248" s="82"/>
      <c r="AC248" s="82">
        <f t="shared" si="23"/>
        <v>0</v>
      </c>
      <c r="AD248" s="82">
        <f>IF(Table1[[#This Row],[For Sale or For Lease?]]="For Sale",Table1[[#This Row],[Office UFA (Net) (sf)]]-Table1[[#This Row],[Pre-leased space (Usable FA) (sf)]]-Table1[[#This Row],[Pre-sold (Usable FA) (sf)]]-Table1[[#This Row],[Self-use space (Usable FA) (sf)]],0)</f>
        <v>0</v>
      </c>
      <c r="AE248" s="82">
        <f>IF(Table1[[#This Row],[For Sale or For Lease?]]="Uncertain",Table1[[#This Row],[Office UFA (Net) (sf)]]-Table1[[#This Row],[Pre-leased space (Usable FA) (sf)]]-Table1[[#This Row],[Pre-sold (Usable FA) (sf)]]-Table1[[#This Row],[Self-use space (Usable FA) (sf)]],0)</f>
        <v>329663.25</v>
      </c>
      <c r="AF248" s="86">
        <f>1-SUM(Table1[[#This Row],[Space available for lease (Usable FA) (sf)]:[Space available uncertain of use (Usable FA) (sf)]])/Table1[[#This Row],[Office UFA (Net) (sf)]]</f>
        <v>0</v>
      </c>
      <c r="AG248" s="79" t="s">
        <v>89</v>
      </c>
      <c r="AH248" s="84"/>
      <c r="AI248" s="79"/>
      <c r="AJ248" s="83"/>
      <c r="AK248" s="83">
        <v>42433</v>
      </c>
      <c r="AL248" s="85" t="s">
        <v>29</v>
      </c>
      <c r="AM248" s="85"/>
      <c r="AN248" s="79" t="s">
        <v>74</v>
      </c>
      <c r="AO248" s="77" t="s">
        <v>1068</v>
      </c>
      <c r="AP248" s="77" t="s">
        <v>1068</v>
      </c>
      <c r="AQ248" s="77"/>
      <c r="AR248" s="79" t="s">
        <v>1785</v>
      </c>
      <c r="AS248" s="79" t="s">
        <v>2026</v>
      </c>
      <c r="AT248" s="80">
        <v>22.302251999999999</v>
      </c>
      <c r="AU248" s="80">
        <v>114.163676</v>
      </c>
      <c r="AV248" s="77" t="s">
        <v>2167</v>
      </c>
    </row>
    <row r="249" spans="1:48" ht="15" hidden="1" customHeight="1" x14ac:dyDescent="0.35">
      <c r="A249" s="77"/>
      <c r="B249" s="77" t="s">
        <v>1261</v>
      </c>
      <c r="C249" s="77" t="s">
        <v>1261</v>
      </c>
      <c r="D249" s="77"/>
      <c r="E249" s="79" t="s">
        <v>8</v>
      </c>
      <c r="F249" s="77" t="str">
        <f>VLOOKUP(Table1[[#This Row],[CBRE sub-markets]],Reference!$A$2:$B$31,2,FALSE)</f>
        <v>Tsim Sha Tsui</v>
      </c>
      <c r="G249" s="77">
        <f>VLOOKUP(Table1[[#This Row],[CBRE sub-markets]],Reference!$A$2:$D$31,3,FALSE)</f>
        <v>6</v>
      </c>
      <c r="H249" s="79" t="str">
        <f>VLOOKUP(Table1[[#This Row],[CBRE sub-markets]],Reference!$A$2:$D$31,4,FALSE)</f>
        <v>Kowloon</v>
      </c>
      <c r="I249" s="80" t="s">
        <v>2305</v>
      </c>
      <c r="J249" s="80"/>
      <c r="K249" s="81" t="str">
        <f>IF(ISNUMBER(Table1[[#This Row],[Qtr]]),CONCATENATE(Table1[[#This Row],[Year]]," Q",Table1[[#This Row],[Qtr]]),CONCATENATE(Table1[[#This Row],[Year]],Table1[[#This Row],[Qtr]]))</f>
        <v>2029-2033</v>
      </c>
      <c r="L249" s="80"/>
      <c r="M249" s="80" t="s">
        <v>83</v>
      </c>
      <c r="N249" s="80"/>
      <c r="O249" s="80"/>
      <c r="P249" s="80"/>
      <c r="Q249" s="82"/>
      <c r="R249" s="82"/>
      <c r="S249" s="80" t="str">
        <f t="shared" si="21"/>
        <v>Unknown</v>
      </c>
      <c r="T249" s="82"/>
      <c r="U249" s="82"/>
      <c r="V249" s="82">
        <f>Table1[[#This Row],[Office GFA (sf)]]/10.764</f>
        <v>10010.033444816054</v>
      </c>
      <c r="W249" s="82">
        <f>119720*1.8*0.5</f>
        <v>107748</v>
      </c>
      <c r="X249" s="82">
        <f t="shared" si="24"/>
        <v>7507.5250836120404</v>
      </c>
      <c r="Y249" s="82">
        <f t="shared" si="22"/>
        <v>80811</v>
      </c>
      <c r="Z249" s="82"/>
      <c r="AA249" s="82"/>
      <c r="AB249" s="82"/>
      <c r="AC249" s="82">
        <f t="shared" si="23"/>
        <v>0</v>
      </c>
      <c r="AD249" s="82">
        <f>IF(Table1[[#This Row],[For Sale or For Lease?]]="For Sale",Table1[[#This Row],[Office UFA (Net) (sf)]]-Table1[[#This Row],[Pre-leased space (Usable FA) (sf)]]-Table1[[#This Row],[Pre-sold (Usable FA) (sf)]]-Table1[[#This Row],[Self-use space (Usable FA) (sf)]],0)</f>
        <v>0</v>
      </c>
      <c r="AE249" s="82">
        <f>IF(Table1[[#This Row],[For Sale or For Lease?]]="Uncertain",Table1[[#This Row],[Office UFA (Net) (sf)]]-Table1[[#This Row],[Pre-leased space (Usable FA) (sf)]]-Table1[[#This Row],[Pre-sold (Usable FA) (sf)]]-Table1[[#This Row],[Self-use space (Usable FA) (sf)]],0)</f>
        <v>80811</v>
      </c>
      <c r="AF249" s="86">
        <f>1-SUM(Table1[[#This Row],[Space available for lease (Usable FA) (sf)]:[Space available uncertain of use (Usable FA) (sf)]])/Table1[[#This Row],[Office UFA (Net) (sf)]]</f>
        <v>0</v>
      </c>
      <c r="AG249" s="79" t="s">
        <v>89</v>
      </c>
      <c r="AH249" s="84"/>
      <c r="AI249" s="79"/>
      <c r="AJ249" s="83"/>
      <c r="AK249" s="83">
        <v>42433</v>
      </c>
      <c r="AL249" s="85" t="s">
        <v>29</v>
      </c>
      <c r="AM249" s="85"/>
      <c r="AN249" s="79" t="s">
        <v>74</v>
      </c>
      <c r="AO249" s="77" t="s">
        <v>1068</v>
      </c>
      <c r="AP249" s="77" t="s">
        <v>1068</v>
      </c>
      <c r="AQ249" s="77"/>
      <c r="AR249" s="79" t="s">
        <v>1788</v>
      </c>
      <c r="AS249" s="79" t="s">
        <v>2027</v>
      </c>
      <c r="AT249" s="80">
        <v>22.302131299999999</v>
      </c>
      <c r="AU249" s="80">
        <v>114.16621000000001</v>
      </c>
      <c r="AV249" s="77" t="s">
        <v>2168</v>
      </c>
    </row>
    <row r="250" spans="1:48" ht="15" hidden="1" customHeight="1" x14ac:dyDescent="0.35">
      <c r="A250" s="77"/>
      <c r="B250" s="77" t="s">
        <v>1262</v>
      </c>
      <c r="C250" s="77" t="s">
        <v>1262</v>
      </c>
      <c r="D250" s="77"/>
      <c r="E250" s="79" t="s">
        <v>8</v>
      </c>
      <c r="F250" s="77" t="str">
        <f>VLOOKUP(Table1[[#This Row],[CBRE sub-markets]],Reference!$A$2:$B$31,2,FALSE)</f>
        <v>Tsim Sha Tsui</v>
      </c>
      <c r="G250" s="77">
        <f>VLOOKUP(Table1[[#This Row],[CBRE sub-markets]],Reference!$A$2:$D$31,3,FALSE)</f>
        <v>6</v>
      </c>
      <c r="H250" s="79" t="str">
        <f>VLOOKUP(Table1[[#This Row],[CBRE sub-markets]],Reference!$A$2:$D$31,4,FALSE)</f>
        <v>Kowloon</v>
      </c>
      <c r="I250" s="80" t="s">
        <v>2305</v>
      </c>
      <c r="J250" s="80"/>
      <c r="K250" s="81" t="str">
        <f>IF(ISNUMBER(Table1[[#This Row],[Qtr]]),CONCATENATE(Table1[[#This Row],[Year]]," Q",Table1[[#This Row],[Qtr]]),CONCATENATE(Table1[[#This Row],[Year]],Table1[[#This Row],[Qtr]]))</f>
        <v>2029-2033</v>
      </c>
      <c r="L250" s="80"/>
      <c r="M250" s="80" t="s">
        <v>83</v>
      </c>
      <c r="N250" s="80"/>
      <c r="O250" s="80"/>
      <c r="P250" s="80"/>
      <c r="Q250" s="82"/>
      <c r="R250" s="82"/>
      <c r="S250" s="80" t="str">
        <f t="shared" si="21"/>
        <v>Unknown</v>
      </c>
      <c r="T250" s="82"/>
      <c r="U250" s="82"/>
      <c r="V250" s="82">
        <f>Table1[[#This Row],[Office GFA (sf)]]/10.764</f>
        <v>11100.334448160536</v>
      </c>
      <c r="W250" s="82">
        <f>132760*1.8*0.5</f>
        <v>119484</v>
      </c>
      <c r="X250" s="82">
        <f t="shared" si="24"/>
        <v>8325.2508361204018</v>
      </c>
      <c r="Y250" s="82">
        <f t="shared" si="22"/>
        <v>89613</v>
      </c>
      <c r="Z250" s="82"/>
      <c r="AA250" s="82"/>
      <c r="AB250" s="82"/>
      <c r="AC250" s="82">
        <f t="shared" si="23"/>
        <v>0</v>
      </c>
      <c r="AD250" s="82">
        <f>IF(Table1[[#This Row],[For Sale or For Lease?]]="For Sale",Table1[[#This Row],[Office UFA (Net) (sf)]]-Table1[[#This Row],[Pre-leased space (Usable FA) (sf)]]-Table1[[#This Row],[Pre-sold (Usable FA) (sf)]]-Table1[[#This Row],[Self-use space (Usable FA) (sf)]],0)</f>
        <v>0</v>
      </c>
      <c r="AE250" s="82">
        <f>IF(Table1[[#This Row],[For Sale or For Lease?]]="Uncertain",Table1[[#This Row],[Office UFA (Net) (sf)]]-Table1[[#This Row],[Pre-leased space (Usable FA) (sf)]]-Table1[[#This Row],[Pre-sold (Usable FA) (sf)]]-Table1[[#This Row],[Self-use space (Usable FA) (sf)]],0)</f>
        <v>89613</v>
      </c>
      <c r="AF250" s="86">
        <f>1-SUM(Table1[[#This Row],[Space available for lease (Usable FA) (sf)]:[Space available uncertain of use (Usable FA) (sf)]])/Table1[[#This Row],[Office UFA (Net) (sf)]]</f>
        <v>0</v>
      </c>
      <c r="AG250" s="79" t="s">
        <v>89</v>
      </c>
      <c r="AH250" s="84"/>
      <c r="AI250" s="79"/>
      <c r="AJ250" s="83"/>
      <c r="AK250" s="83">
        <v>42433</v>
      </c>
      <c r="AL250" s="85" t="s">
        <v>29</v>
      </c>
      <c r="AM250" s="85"/>
      <c r="AN250" s="79" t="s">
        <v>74</v>
      </c>
      <c r="AO250" s="77" t="s">
        <v>1068</v>
      </c>
      <c r="AP250" s="77" t="s">
        <v>1068</v>
      </c>
      <c r="AQ250" s="77"/>
      <c r="AR250" s="79" t="s">
        <v>1787</v>
      </c>
      <c r="AS250" s="79" t="s">
        <v>2028</v>
      </c>
      <c r="AT250" s="80">
        <v>22.301349999999999</v>
      </c>
      <c r="AU250" s="80">
        <v>114.16736</v>
      </c>
      <c r="AV250" s="77" t="s">
        <v>2169</v>
      </c>
    </row>
    <row r="251" spans="1:48" ht="15" hidden="1" customHeight="1" x14ac:dyDescent="0.35">
      <c r="A251" s="77"/>
      <c r="B251" s="77" t="s">
        <v>1263</v>
      </c>
      <c r="C251" s="77" t="s">
        <v>1263</v>
      </c>
      <c r="D251" s="77"/>
      <c r="E251" s="79" t="s">
        <v>8</v>
      </c>
      <c r="F251" s="77" t="str">
        <f>VLOOKUP(Table1[[#This Row],[CBRE sub-markets]],Reference!$A$2:$B$31,2,FALSE)</f>
        <v>Tsim Sha Tsui</v>
      </c>
      <c r="G251" s="77">
        <f>VLOOKUP(Table1[[#This Row],[CBRE sub-markets]],Reference!$A$2:$D$31,3,FALSE)</f>
        <v>6</v>
      </c>
      <c r="H251" s="79" t="str">
        <f>VLOOKUP(Table1[[#This Row],[CBRE sub-markets]],Reference!$A$2:$D$31,4,FALSE)</f>
        <v>Kowloon</v>
      </c>
      <c r="I251" s="80" t="s">
        <v>2305</v>
      </c>
      <c r="J251" s="80"/>
      <c r="K251" s="81" t="str">
        <f>IF(ISNUMBER(Table1[[#This Row],[Qtr]]),CONCATENATE(Table1[[#This Row],[Year]]," Q",Table1[[#This Row],[Qtr]]),CONCATENATE(Table1[[#This Row],[Year]],Table1[[#This Row],[Qtr]]))</f>
        <v>2029-2033</v>
      </c>
      <c r="L251" s="80"/>
      <c r="M251" s="80" t="s">
        <v>83</v>
      </c>
      <c r="N251" s="80"/>
      <c r="O251" s="80"/>
      <c r="P251" s="80"/>
      <c r="Q251" s="82"/>
      <c r="R251" s="82"/>
      <c r="S251" s="80" t="str">
        <f t="shared" si="21"/>
        <v>Unknown</v>
      </c>
      <c r="T251" s="82"/>
      <c r="U251" s="82"/>
      <c r="V251" s="82">
        <f>Table1[[#This Row],[Office GFA (sf)]]/10.764</f>
        <v>4087.7926421404686</v>
      </c>
      <c r="W251" s="82">
        <f>48890*1.8*0.5</f>
        <v>44001</v>
      </c>
      <c r="X251" s="82">
        <f t="shared" si="24"/>
        <v>3065.8444816053516</v>
      </c>
      <c r="Y251" s="82">
        <f t="shared" si="22"/>
        <v>33000.75</v>
      </c>
      <c r="Z251" s="82"/>
      <c r="AA251" s="82"/>
      <c r="AB251" s="82"/>
      <c r="AC251" s="82">
        <f t="shared" si="23"/>
        <v>0</v>
      </c>
      <c r="AD251" s="82">
        <f>IF(Table1[[#This Row],[For Sale or For Lease?]]="For Sale",Table1[[#This Row],[Office UFA (Net) (sf)]]-Table1[[#This Row],[Pre-leased space (Usable FA) (sf)]]-Table1[[#This Row],[Pre-sold (Usable FA) (sf)]]-Table1[[#This Row],[Self-use space (Usable FA) (sf)]],0)</f>
        <v>0</v>
      </c>
      <c r="AE251" s="82">
        <f>IF(Table1[[#This Row],[For Sale or For Lease?]]="Uncertain",Table1[[#This Row],[Office UFA (Net) (sf)]]-Table1[[#This Row],[Pre-leased space (Usable FA) (sf)]]-Table1[[#This Row],[Pre-sold (Usable FA) (sf)]]-Table1[[#This Row],[Self-use space (Usable FA) (sf)]],0)</f>
        <v>33000.75</v>
      </c>
      <c r="AF251" s="86">
        <f>1-SUM(Table1[[#This Row],[Space available for lease (Usable FA) (sf)]:[Space available uncertain of use (Usable FA) (sf)]])/Table1[[#This Row],[Office UFA (Net) (sf)]]</f>
        <v>0</v>
      </c>
      <c r="AG251" s="79" t="s">
        <v>89</v>
      </c>
      <c r="AH251" s="84"/>
      <c r="AI251" s="79"/>
      <c r="AJ251" s="83"/>
      <c r="AK251" s="83">
        <v>42433</v>
      </c>
      <c r="AL251" s="85" t="s">
        <v>29</v>
      </c>
      <c r="AM251" s="85"/>
      <c r="AN251" s="79" t="s">
        <v>74</v>
      </c>
      <c r="AO251" s="77" t="s">
        <v>1068</v>
      </c>
      <c r="AP251" s="77" t="s">
        <v>1068</v>
      </c>
      <c r="AQ251" s="77"/>
      <c r="AR251" s="79" t="s">
        <v>1789</v>
      </c>
      <c r="AS251" s="79" t="s">
        <v>2029</v>
      </c>
      <c r="AT251" s="80">
        <v>22.301023399999998</v>
      </c>
      <c r="AU251" s="80">
        <v>114.1629887</v>
      </c>
      <c r="AV251" s="77" t="s">
        <v>2170</v>
      </c>
    </row>
    <row r="252" spans="1:48" ht="15" customHeight="1" x14ac:dyDescent="0.35">
      <c r="A252" s="77"/>
      <c r="B252" s="77" t="s">
        <v>2263</v>
      </c>
      <c r="C252" s="77" t="s">
        <v>1257</v>
      </c>
      <c r="D252" s="77"/>
      <c r="E252" s="79" t="s">
        <v>8</v>
      </c>
      <c r="F252" s="77" t="str">
        <f>VLOOKUP(Table1[[#This Row],[CBRE sub-markets]],Reference!$A$2:$B$31,2,FALSE)</f>
        <v>Tsim Sha Tsui</v>
      </c>
      <c r="G252" s="77">
        <f>VLOOKUP(Table1[[#This Row],[CBRE sub-markets]],Reference!$A$2:$D$31,3,FALSE)</f>
        <v>6</v>
      </c>
      <c r="H252" s="79" t="str">
        <f>VLOOKUP(Table1[[#This Row],[CBRE sub-markets]],Reference!$A$2:$D$31,4,FALSE)</f>
        <v>Kowloon</v>
      </c>
      <c r="I252" s="80" t="s">
        <v>2305</v>
      </c>
      <c r="J252" s="80"/>
      <c r="K252" s="81" t="str">
        <f>IF(ISNUMBER(Table1[[#This Row],[Qtr]]),CONCATENATE(Table1[[#This Row],[Year]]," Q",Table1[[#This Row],[Qtr]]),CONCATENATE(Table1[[#This Row],[Year]],Table1[[#This Row],[Qtr]]))</f>
        <v>2029-2033</v>
      </c>
      <c r="L252" s="80" t="s">
        <v>20</v>
      </c>
      <c r="M252" s="80" t="s">
        <v>83</v>
      </c>
      <c r="N252" s="80"/>
      <c r="O252" s="80"/>
      <c r="P252" s="80"/>
      <c r="Q252" s="82"/>
      <c r="R252" s="82"/>
      <c r="S252" s="80" t="str">
        <f t="shared" si="21"/>
        <v>Unknown</v>
      </c>
      <c r="T252" s="82">
        <f>1453191/10.7639</f>
        <v>135005.99225187898</v>
      </c>
      <c r="U252" s="82">
        <f>+Table1[[#This Row],[Total GFA (sm)]]*10.7639</f>
        <v>1453191.0000000002</v>
      </c>
      <c r="V252" s="82">
        <v>60066</v>
      </c>
      <c r="W252" s="82">
        <f>+Table1[[#This Row],[Office GFA (sm)]]*10.7639</f>
        <v>646544.41739999992</v>
      </c>
      <c r="X252" s="82">
        <f t="shared" si="24"/>
        <v>45049.5</v>
      </c>
      <c r="Y252" s="82">
        <f t="shared" si="22"/>
        <v>484908.31304999994</v>
      </c>
      <c r="Z252" s="82"/>
      <c r="AA252" s="82"/>
      <c r="AB252" s="82"/>
      <c r="AC252" s="82">
        <f t="shared" si="23"/>
        <v>484908.31304999994</v>
      </c>
      <c r="AD252" s="82">
        <f>IF(Table1[[#This Row],[For Sale or For Lease?]]="For Sale",Table1[[#This Row],[Office UFA (Net) (sf)]]-Table1[[#This Row],[Pre-leased space (Usable FA) (sf)]]-Table1[[#This Row],[Pre-sold (Usable FA) (sf)]]-Table1[[#This Row],[Self-use space (Usable FA) (sf)]],0)</f>
        <v>0</v>
      </c>
      <c r="AE252" s="82">
        <f>IF(Table1[[#This Row],[For Sale or For Lease?]]="Uncertain",Table1[[#This Row],[Office UFA (Net) (sf)]]-Table1[[#This Row],[Pre-leased space (Usable FA) (sf)]]-Table1[[#This Row],[Pre-sold (Usable FA) (sf)]]-Table1[[#This Row],[Self-use space (Usable FA) (sf)]],0)</f>
        <v>0</v>
      </c>
      <c r="AF252" s="86">
        <f>1-SUM(Table1[[#This Row],[Space available for lease (Usable FA) (sf)]:[Space available uncertain of use (Usable FA) (sf)]])/Table1[[#This Row],[Office UFA (Net) (sf)]]</f>
        <v>0</v>
      </c>
      <c r="AG252" s="79" t="s">
        <v>89</v>
      </c>
      <c r="AH252" s="84"/>
      <c r="AI252" s="79"/>
      <c r="AJ252" s="83"/>
      <c r="AK252" s="83">
        <v>42433</v>
      </c>
      <c r="AL252" s="85" t="s">
        <v>29</v>
      </c>
      <c r="AM252" s="85"/>
      <c r="AN252" s="79" t="s">
        <v>74</v>
      </c>
      <c r="AO252" s="77" t="s">
        <v>705</v>
      </c>
      <c r="AP252" s="77" t="s">
        <v>81</v>
      </c>
      <c r="AQ252" s="77"/>
      <c r="AR252" s="79" t="s">
        <v>1766</v>
      </c>
      <c r="AS252" s="79" t="s">
        <v>2059</v>
      </c>
      <c r="AT252" s="80">
        <v>22.300819000000001</v>
      </c>
      <c r="AU252" s="80">
        <v>114.156355</v>
      </c>
      <c r="AV252" s="77" t="s">
        <v>2171</v>
      </c>
    </row>
    <row r="253" spans="1:48" ht="15" hidden="1" customHeight="1" x14ac:dyDescent="0.35">
      <c r="A253" s="77"/>
      <c r="B253" s="77" t="s">
        <v>1284</v>
      </c>
      <c r="C253" s="77" t="s">
        <v>1285</v>
      </c>
      <c r="D253" s="77"/>
      <c r="E253" s="79" t="s">
        <v>4</v>
      </c>
      <c r="F253" s="77" t="str">
        <f>VLOOKUP(Table1[[#This Row],[CBRE sub-markets]],Reference!$A$2:$B$31,2,FALSE)</f>
        <v>Wan Chai &amp; Causeway Bay</v>
      </c>
      <c r="G253" s="77">
        <f>VLOOKUP(Table1[[#This Row],[CBRE sub-markets]],Reference!$A$2:$D$31,3,FALSE)</f>
        <v>3</v>
      </c>
      <c r="H253" s="79" t="str">
        <f>VLOOKUP(Table1[[#This Row],[CBRE sub-markets]],Reference!$A$2:$D$31,4,FALSE)</f>
        <v>Hong Kong Island</v>
      </c>
      <c r="I253" s="80" t="s">
        <v>1923</v>
      </c>
      <c r="J253" s="80"/>
      <c r="K253" s="81" t="str">
        <f>IF(ISNUMBER(Table1[[#This Row],[Qtr]]),CONCATENATE(Table1[[#This Row],[Year]]," Q",Table1[[#This Row],[Qtr]]),CONCATENATE(Table1[[#This Row],[Year]],Table1[[#This Row],[Qtr]]))</f>
        <v>2030+</v>
      </c>
      <c r="L253" s="80" t="s">
        <v>20</v>
      </c>
      <c r="M253" s="80" t="s">
        <v>86</v>
      </c>
      <c r="N253" s="80"/>
      <c r="O253" s="80"/>
      <c r="P253" s="80"/>
      <c r="Q253" s="82"/>
      <c r="R253" s="82"/>
      <c r="S253" s="80" t="str">
        <f t="shared" si="21"/>
        <v>Unknown</v>
      </c>
      <c r="T253" s="82"/>
      <c r="U253" s="82"/>
      <c r="V253" s="82">
        <f>24000*15*0.42</f>
        <v>151200</v>
      </c>
      <c r="W253" s="82">
        <f>Table1[[#This Row],[Office GFA (sm)]]*10.764</f>
        <v>1627516.7999999998</v>
      </c>
      <c r="X253" s="82">
        <f t="shared" si="24"/>
        <v>113400</v>
      </c>
      <c r="Y253" s="82">
        <f t="shared" si="22"/>
        <v>1220637.5999999999</v>
      </c>
      <c r="Z253" s="82"/>
      <c r="AA253" s="82"/>
      <c r="AB253" s="82"/>
      <c r="AC253" s="82">
        <f t="shared" si="23"/>
        <v>0</v>
      </c>
      <c r="AD253" s="82">
        <f>IF(Table1[[#This Row],[For Sale or For Lease?]]="For Sale",Table1[[#This Row],[Office UFA (Net) (sf)]]-Table1[[#This Row],[Pre-leased space (Usable FA) (sf)]]-Table1[[#This Row],[Pre-sold (Usable FA) (sf)]]-Table1[[#This Row],[Self-use space (Usable FA) (sf)]],0)</f>
        <v>0</v>
      </c>
      <c r="AE253" s="82">
        <f>IF(Table1[[#This Row],[For Sale or For Lease?]]="Uncertain",Table1[[#This Row],[Office UFA (Net) (sf)]]-Table1[[#This Row],[Pre-leased space (Usable FA) (sf)]]-Table1[[#This Row],[Pre-sold (Usable FA) (sf)]]-Table1[[#This Row],[Self-use space (Usable FA) (sf)]],0)</f>
        <v>1220637.5999999999</v>
      </c>
      <c r="AF253" s="86">
        <f>1-SUM(Table1[[#This Row],[Space available for lease (Usable FA) (sf)]:[Space available uncertain of use (Usable FA) (sf)]])/Table1[[#This Row],[Office UFA (Net) (sf)]]</f>
        <v>0</v>
      </c>
      <c r="AG253" s="79" t="s">
        <v>89</v>
      </c>
      <c r="AH253" s="84"/>
      <c r="AI253" s="79" t="s">
        <v>1118</v>
      </c>
      <c r="AJ253" s="83">
        <v>41223</v>
      </c>
      <c r="AK253" s="83">
        <v>42431</v>
      </c>
      <c r="AL253" s="85" t="s">
        <v>30</v>
      </c>
      <c r="AM253" s="85"/>
      <c r="AN253" s="79" t="s">
        <v>74</v>
      </c>
      <c r="AO253" s="77" t="s">
        <v>1068</v>
      </c>
      <c r="AP253" s="77" t="s">
        <v>1068</v>
      </c>
      <c r="AQ253" s="77" t="s">
        <v>1119</v>
      </c>
      <c r="AR253" s="79" t="s">
        <v>1823</v>
      </c>
      <c r="AS253" s="79" t="s">
        <v>2020</v>
      </c>
      <c r="AT253" s="80">
        <v>22.28145</v>
      </c>
      <c r="AU253" s="80">
        <v>114.17726999999999</v>
      </c>
      <c r="AV253" s="77" t="s">
        <v>2099</v>
      </c>
    </row>
    <row r="254" spans="1:48" ht="15" hidden="1" customHeight="1" x14ac:dyDescent="0.35">
      <c r="A254" s="77"/>
      <c r="B254" s="77" t="s">
        <v>1382</v>
      </c>
      <c r="C254" s="77" t="s">
        <v>1382</v>
      </c>
      <c r="D254" s="77"/>
      <c r="E254" s="79" t="s">
        <v>567</v>
      </c>
      <c r="F254" s="77" t="str">
        <f>VLOOKUP(Table1[[#This Row],[CBRE sub-markets]],Reference!$A$2:$B$31,2,FALSE)</f>
        <v>Kowloon East</v>
      </c>
      <c r="G254" s="77">
        <f>VLOOKUP(Table1[[#This Row],[CBRE sub-markets]],Reference!$A$2:$D$31,3,FALSE)</f>
        <v>7</v>
      </c>
      <c r="H254" s="79" t="str">
        <f>VLOOKUP(Table1[[#This Row],[CBRE sub-markets]],Reference!$A$2:$D$31,4,FALSE)</f>
        <v>Kowloon</v>
      </c>
      <c r="I254" s="80" t="s">
        <v>1923</v>
      </c>
      <c r="J254" s="80"/>
      <c r="K254" s="81" t="str">
        <f>IF(ISNUMBER(Table1[[#This Row],[Qtr]]),CONCATENATE(Table1[[#This Row],[Year]]," Q",Table1[[#This Row],[Qtr]]),CONCATENATE(Table1[[#This Row],[Year]],Table1[[#This Row],[Qtr]]))</f>
        <v>2030+</v>
      </c>
      <c r="L254" s="80" t="s">
        <v>20</v>
      </c>
      <c r="M254" s="80" t="s">
        <v>86</v>
      </c>
      <c r="N254" s="80">
        <v>1</v>
      </c>
      <c r="O254" s="80">
        <v>30</v>
      </c>
      <c r="P254" s="80">
        <v>15</v>
      </c>
      <c r="Q254" s="82">
        <f>Table1[[#This Row],[Office GFA (sf)]]/Table1[[#This Row],[No. of Storeys]]</f>
        <v>11125.895367599998</v>
      </c>
      <c r="R254" s="82">
        <f>Table1[[#This Row],[Floor Plate (GFA) (sf)]]*0.75</f>
        <v>8344.4215256999996</v>
      </c>
      <c r="S254" s="80" t="str">
        <f t="shared" si="21"/>
        <v>No</v>
      </c>
      <c r="T254" s="82"/>
      <c r="U254" s="82"/>
      <c r="V254" s="82">
        <f>13949*0.342*6.5</f>
        <v>31008.627</v>
      </c>
      <c r="W254" s="82">
        <f>V254*10.764</f>
        <v>333776.86102799996</v>
      </c>
      <c r="X254" s="82">
        <f t="shared" si="24"/>
        <v>23256.470249999998</v>
      </c>
      <c r="Y254" s="82">
        <f t="shared" si="22"/>
        <v>250332.64577099995</v>
      </c>
      <c r="Z254" s="82"/>
      <c r="AA254" s="82"/>
      <c r="AB254" s="82"/>
      <c r="AC254" s="82">
        <f t="shared" si="23"/>
        <v>0</v>
      </c>
      <c r="AD254" s="82">
        <f>IF(Table1[[#This Row],[For Sale or For Lease?]]="For Sale",Table1[[#This Row],[Office UFA (Net) (sf)]]-Table1[[#This Row],[Pre-leased space (Usable FA) (sf)]]-Table1[[#This Row],[Pre-sold (Usable FA) (sf)]]-Table1[[#This Row],[Self-use space (Usable FA) (sf)]],0)</f>
        <v>0</v>
      </c>
      <c r="AE254" s="82">
        <f>IF(Table1[[#This Row],[For Sale or For Lease?]]="Uncertain",Table1[[#This Row],[Office UFA (Net) (sf)]]-Table1[[#This Row],[Pre-leased space (Usable FA) (sf)]]-Table1[[#This Row],[Pre-sold (Usable FA) (sf)]]-Table1[[#This Row],[Self-use space (Usable FA) (sf)]],0)</f>
        <v>250332.64577099995</v>
      </c>
      <c r="AF254" s="86">
        <f>1-SUM(Table1[[#This Row],[Space available for lease (Usable FA) (sf)]:[Space available uncertain of use (Usable FA) (sf)]])/Table1[[#This Row],[Office UFA (Net) (sf)]]</f>
        <v>0</v>
      </c>
      <c r="AG254" s="79" t="s">
        <v>89</v>
      </c>
      <c r="AH254" s="84"/>
      <c r="AI254" s="79" t="s">
        <v>1378</v>
      </c>
      <c r="AJ254" s="83">
        <v>42789</v>
      </c>
      <c r="AK254" s="83">
        <v>42789</v>
      </c>
      <c r="AL254" s="85" t="s">
        <v>29</v>
      </c>
      <c r="AM254" s="85"/>
      <c r="AN254" s="79" t="s">
        <v>74</v>
      </c>
      <c r="AO254" s="77" t="s">
        <v>1068</v>
      </c>
      <c r="AP254" s="77" t="s">
        <v>1068</v>
      </c>
      <c r="AQ254" s="77" t="s">
        <v>1381</v>
      </c>
      <c r="AR254" s="79" t="s">
        <v>1840</v>
      </c>
      <c r="AS254" s="79" t="s">
        <v>2005</v>
      </c>
      <c r="AT254" s="80"/>
      <c r="AU254" s="80"/>
      <c r="AV254" s="77"/>
    </row>
    <row r="255" spans="1:48" ht="15" hidden="1" customHeight="1" x14ac:dyDescent="0.35">
      <c r="A255" s="77"/>
      <c r="B255" s="77" t="s">
        <v>1499</v>
      </c>
      <c r="C255" s="77" t="s">
        <v>1498</v>
      </c>
      <c r="D255" s="77"/>
      <c r="E255" s="79" t="s">
        <v>3</v>
      </c>
      <c r="F255" s="77" t="str">
        <f>VLOOKUP(Table1[[#This Row],[CBRE sub-markets]],Reference!$A$2:$B$31,2,FALSE)</f>
        <v>Admiralty &amp; Sheung Wan</v>
      </c>
      <c r="G255" s="77">
        <f>VLOOKUP(Table1[[#This Row],[CBRE sub-markets]],Reference!$A$2:$D$31,3,FALSE)</f>
        <v>2</v>
      </c>
      <c r="H255" s="79" t="str">
        <f>VLOOKUP(Table1[[#This Row],[CBRE sub-markets]],Reference!$A$2:$D$31,4,FALSE)</f>
        <v>Hong Kong Island</v>
      </c>
      <c r="I255" s="80" t="s">
        <v>2306</v>
      </c>
      <c r="J255" s="80"/>
      <c r="K255" s="81" t="str">
        <f>IF(ISNUMBER(Table1[[#This Row],[Qtr]]),CONCATENATE(Table1[[#This Row],[Year]]," Q",Table1[[#This Row],[Qtr]]),CONCATENATE(Table1[[#This Row],[Year]],Table1[[#This Row],[Qtr]]))</f>
        <v>2033+</v>
      </c>
      <c r="L255" s="80" t="s">
        <v>20</v>
      </c>
      <c r="M255" s="80" t="s">
        <v>86</v>
      </c>
      <c r="N255" s="80">
        <v>1</v>
      </c>
      <c r="O255" s="80"/>
      <c r="P255" s="80"/>
      <c r="Q255" s="82">
        <f>3969*65%*10.7639</f>
        <v>27769.247414999998</v>
      </c>
      <c r="R255" s="82">
        <f>Table1[[#This Row],[Floor Plate (GFA) (sf)]]*0.8</f>
        <v>22215.397932</v>
      </c>
      <c r="S255" s="80" t="str">
        <f t="shared" si="21"/>
        <v>Yes</v>
      </c>
      <c r="T255" s="82"/>
      <c r="U255" s="82"/>
      <c r="V255" s="82">
        <f>3969*15</f>
        <v>59535</v>
      </c>
      <c r="W255" s="82">
        <f>Table1[[#This Row],[Office GFA (sm)]]*10.7639</f>
        <v>640828.78649999993</v>
      </c>
      <c r="X255" s="82">
        <f>Table1[[#This Row],[Office GFA (sm)]]*0.8</f>
        <v>47628</v>
      </c>
      <c r="Y255" s="82">
        <f t="shared" si="22"/>
        <v>480621.58987499995</v>
      </c>
      <c r="Z255" s="82"/>
      <c r="AA255" s="82"/>
      <c r="AB255" s="82"/>
      <c r="AC255" s="82">
        <f t="shared" si="23"/>
        <v>0</v>
      </c>
      <c r="AD255" s="82">
        <f>IF(Table1[[#This Row],[For Sale or For Lease?]]="For Sale",Table1[[#This Row],[Office UFA (Net) (sf)]]-Table1[[#This Row],[Pre-leased space (Usable FA) (sf)]]-Table1[[#This Row],[Pre-sold (Usable FA) (sf)]]-Table1[[#This Row],[Self-use space (Usable FA) (sf)]],0)</f>
        <v>0</v>
      </c>
      <c r="AE255" s="82">
        <f>IF(Table1[[#This Row],[For Sale or For Lease?]]="Uncertain",Table1[[#This Row],[Office UFA (Net) (sf)]]-Table1[[#This Row],[Pre-leased space (Usable FA) (sf)]]-Table1[[#This Row],[Pre-sold (Usable FA) (sf)]]-Table1[[#This Row],[Self-use space (Usable FA) (sf)]],0)</f>
        <v>480621.58987499995</v>
      </c>
      <c r="AF255" s="86">
        <f>1-SUM(Table1[[#This Row],[Space available for lease (Usable FA) (sf)]:[Space available uncertain of use (Usable FA) (sf)]])/Table1[[#This Row],[Office UFA (Net) (sf)]]</f>
        <v>0</v>
      </c>
      <c r="AG255" s="79" t="s">
        <v>89</v>
      </c>
      <c r="AH255" s="84"/>
      <c r="AI255" s="79"/>
      <c r="AJ255" s="83"/>
      <c r="AK255" s="83"/>
      <c r="AL255" s="85" t="s">
        <v>30</v>
      </c>
      <c r="AM255" s="85"/>
      <c r="AN255" s="79" t="s">
        <v>74</v>
      </c>
      <c r="AO255" s="77" t="s">
        <v>1068</v>
      </c>
      <c r="AP255" s="77" t="s">
        <v>1068</v>
      </c>
      <c r="AQ255" s="77"/>
      <c r="AR255" s="79" t="s">
        <v>1822</v>
      </c>
      <c r="AS255" s="79" t="s">
        <v>1996</v>
      </c>
      <c r="AT255" s="80">
        <v>22.278310000000001</v>
      </c>
      <c r="AU255" s="80">
        <v>114.16329</v>
      </c>
      <c r="AV255" s="77"/>
    </row>
    <row r="256" spans="1:48" ht="15" hidden="1" customHeight="1" x14ac:dyDescent="0.35">
      <c r="A256" s="77"/>
      <c r="B256" s="77" t="s">
        <v>1562</v>
      </c>
      <c r="C256" s="77" t="s">
        <v>1562</v>
      </c>
      <c r="D256" s="77"/>
      <c r="E256" s="79" t="s">
        <v>360</v>
      </c>
      <c r="F256" s="77" t="str">
        <f>VLOOKUP(Table1[[#This Row],[CBRE sub-markets]],Reference!$A$2:$B$31,2,FALSE)</f>
        <v>Hong Kong East</v>
      </c>
      <c r="G256" s="77">
        <f>VLOOKUP(Table1[[#This Row],[CBRE sub-markets]],Reference!$A$2:$D$31,3,FALSE)</f>
        <v>4</v>
      </c>
      <c r="H256" s="79" t="str">
        <f>VLOOKUP(Table1[[#This Row],[CBRE sub-markets]],Reference!$A$2:$D$31,4,FALSE)</f>
        <v>Hong Kong Island</v>
      </c>
      <c r="I256" s="80" t="s">
        <v>2306</v>
      </c>
      <c r="J256" s="80"/>
      <c r="K256" s="81" t="str">
        <f>IF(ISNUMBER(Table1[[#This Row],[Qtr]]),CONCATENATE(Table1[[#This Row],[Year]]," Q",Table1[[#This Row],[Qtr]]),CONCATENATE(Table1[[#This Row],[Year]],Table1[[#This Row],[Qtr]]))</f>
        <v>2033+</v>
      </c>
      <c r="L256" s="80" t="s">
        <v>20</v>
      </c>
      <c r="M256" s="80" t="s">
        <v>86</v>
      </c>
      <c r="N256" s="80">
        <v>1</v>
      </c>
      <c r="O256" s="80" t="s">
        <v>1564</v>
      </c>
      <c r="P256" s="80">
        <v>25</v>
      </c>
      <c r="Q256" s="82">
        <f>+Table1[[#This Row],[Office GFA (sf)]]/25</f>
        <v>12928.735567999998</v>
      </c>
      <c r="R256" s="82">
        <f>Table1[[#This Row],[Floor Plate (GFA) (sf)]]*0.75</f>
        <v>9696.5516759999991</v>
      </c>
      <c r="S256" s="80" t="str">
        <f t="shared" si="21"/>
        <v>No</v>
      </c>
      <c r="T256" s="82">
        <f>32528</f>
        <v>32528</v>
      </c>
      <c r="U256" s="82">
        <f>+Table1[[#This Row],[Total GFA (sm)]]*10.7639</f>
        <v>350128.13919999998</v>
      </c>
      <c r="V256" s="82">
        <v>30028</v>
      </c>
      <c r="W256" s="82">
        <f>+Table1[[#This Row],[Office GFA (sm)]]*10.7639</f>
        <v>323218.38919999998</v>
      </c>
      <c r="X256" s="82">
        <f>V256*0.75</f>
        <v>22521</v>
      </c>
      <c r="Y256" s="82">
        <f t="shared" si="22"/>
        <v>242413.79189999998</v>
      </c>
      <c r="Z256" s="82"/>
      <c r="AA256" s="82"/>
      <c r="AB256" s="82"/>
      <c r="AC256" s="82">
        <f t="shared" si="23"/>
        <v>242413.79189999998</v>
      </c>
      <c r="AD256" s="82">
        <f>IF(Table1[[#This Row],[For Sale or For Lease?]]="For Sale",Table1[[#This Row],[Office UFA (Net) (sf)]]-Table1[[#This Row],[Pre-leased space (Usable FA) (sf)]]-Table1[[#This Row],[Pre-sold (Usable FA) (sf)]]-Table1[[#This Row],[Self-use space (Usable FA) (sf)]],0)</f>
        <v>0</v>
      </c>
      <c r="AE256" s="82">
        <f>IF(Table1[[#This Row],[For Sale or For Lease?]]="Uncertain",Table1[[#This Row],[Office UFA (Net) (sf)]]-Table1[[#This Row],[Pre-leased space (Usable FA) (sf)]]-Table1[[#This Row],[Pre-sold (Usable FA) (sf)]]-Table1[[#This Row],[Self-use space (Usable FA) (sf)]],0)</f>
        <v>0</v>
      </c>
      <c r="AF256" s="86">
        <f>1-SUM(Table1[[#This Row],[Space available for lease (Usable FA) (sf)]:[Space available uncertain of use (Usable FA) (sf)]])/Table1[[#This Row],[Office UFA (Net) (sf)]]</f>
        <v>0</v>
      </c>
      <c r="AG256" s="79" t="s">
        <v>89</v>
      </c>
      <c r="AH256" s="84"/>
      <c r="AI256" s="79" t="s">
        <v>1231</v>
      </c>
      <c r="AJ256" s="83">
        <v>43384</v>
      </c>
      <c r="AK256" s="83">
        <v>43384</v>
      </c>
      <c r="AL256" s="85" t="s">
        <v>30</v>
      </c>
      <c r="AM256" s="85" t="s">
        <v>1543</v>
      </c>
      <c r="AN256" s="79" t="s">
        <v>73</v>
      </c>
      <c r="AO256" s="77" t="s">
        <v>705</v>
      </c>
      <c r="AP256" s="77" t="s">
        <v>81</v>
      </c>
      <c r="AQ256" s="77" t="s">
        <v>1544</v>
      </c>
      <c r="AR256" s="79" t="s">
        <v>1831</v>
      </c>
      <c r="AS256" s="79" t="s">
        <v>2032</v>
      </c>
      <c r="AT256" s="80">
        <v>22.286180000000002</v>
      </c>
      <c r="AU256" s="80">
        <v>114.2119</v>
      </c>
      <c r="AV256" s="77"/>
    </row>
    <row r="257" spans="1:48" ht="15" hidden="1" customHeight="1" x14ac:dyDescent="0.35">
      <c r="A257" s="77"/>
      <c r="B257" s="77" t="s">
        <v>1563</v>
      </c>
      <c r="C257" s="77" t="s">
        <v>1563</v>
      </c>
      <c r="D257" s="77"/>
      <c r="E257" s="79" t="s">
        <v>360</v>
      </c>
      <c r="F257" s="77" t="str">
        <f>VLOOKUP(Table1[[#This Row],[CBRE sub-markets]],Reference!$A$2:$B$31,2,FALSE)</f>
        <v>Hong Kong East</v>
      </c>
      <c r="G257" s="77">
        <f>VLOOKUP(Table1[[#This Row],[CBRE sub-markets]],Reference!$A$2:$D$31,3,FALSE)</f>
        <v>4</v>
      </c>
      <c r="H257" s="79" t="str">
        <f>VLOOKUP(Table1[[#This Row],[CBRE sub-markets]],Reference!$A$2:$D$31,4,FALSE)</f>
        <v>Hong Kong Island</v>
      </c>
      <c r="I257" s="80" t="s">
        <v>2306</v>
      </c>
      <c r="J257" s="80"/>
      <c r="K257" s="81" t="str">
        <f>IF(ISNUMBER(Table1[[#This Row],[Qtr]]),CONCATENATE(Table1[[#This Row],[Year]]," Q",Table1[[#This Row],[Qtr]]),CONCATENATE(Table1[[#This Row],[Year]],Table1[[#This Row],[Qtr]]))</f>
        <v>2033+</v>
      </c>
      <c r="L257" s="80" t="s">
        <v>20</v>
      </c>
      <c r="M257" s="80" t="s">
        <v>86</v>
      </c>
      <c r="N257" s="80">
        <v>2</v>
      </c>
      <c r="O257" s="80" t="s">
        <v>1690</v>
      </c>
      <c r="P257" s="80"/>
      <c r="Q257" s="82">
        <f>Table1[[#This Row],[Total GFA (sf)]]/32</f>
        <v>20569.308342187498</v>
      </c>
      <c r="R257" s="82">
        <f>Table1[[#This Row],[Floor Plate (GFA) (sf)]]*0.75</f>
        <v>15426.981256640624</v>
      </c>
      <c r="S257" s="80" t="str">
        <f t="shared" si="21"/>
        <v>Yes</v>
      </c>
      <c r="T257" s="82">
        <f>4076.7*15</f>
        <v>61150.5</v>
      </c>
      <c r="U257" s="82">
        <f>+Table1[[#This Row],[Total GFA (sm)]]*10.7639</f>
        <v>658217.86694999994</v>
      </c>
      <c r="V257" s="82">
        <v>55000</v>
      </c>
      <c r="W257" s="82">
        <f>+Table1[[#This Row],[Office GFA (sm)]]*10.7639</f>
        <v>592014.5</v>
      </c>
      <c r="X257" s="82">
        <f>V257*0.75</f>
        <v>41250</v>
      </c>
      <c r="Y257" s="82">
        <f t="shared" si="22"/>
        <v>444010.875</v>
      </c>
      <c r="Z257" s="82"/>
      <c r="AA257" s="82"/>
      <c r="AB257" s="82"/>
      <c r="AC257" s="82">
        <f t="shared" si="23"/>
        <v>444010.875</v>
      </c>
      <c r="AD257" s="82">
        <f>IF(Table1[[#This Row],[For Sale or For Lease?]]="For Sale",Table1[[#This Row],[Office UFA (Net) (sf)]]-Table1[[#This Row],[Pre-leased space (Usable FA) (sf)]]-Table1[[#This Row],[Pre-sold (Usable FA) (sf)]]-Table1[[#This Row],[Self-use space (Usable FA) (sf)]],0)</f>
        <v>0</v>
      </c>
      <c r="AE257" s="82">
        <f>IF(Table1[[#This Row],[For Sale or For Lease?]]="Uncertain",Table1[[#This Row],[Office UFA (Net) (sf)]]-Table1[[#This Row],[Pre-leased space (Usable FA) (sf)]]-Table1[[#This Row],[Pre-sold (Usable FA) (sf)]]-Table1[[#This Row],[Self-use space (Usable FA) (sf)]],0)</f>
        <v>0</v>
      </c>
      <c r="AF257" s="86">
        <f>1-SUM(Table1[[#This Row],[Space available for lease (Usable FA) (sf)]:[Space available uncertain of use (Usable FA) (sf)]])/Table1[[#This Row],[Office UFA (Net) (sf)]]</f>
        <v>0</v>
      </c>
      <c r="AG257" s="79" t="s">
        <v>89</v>
      </c>
      <c r="AH257" s="84"/>
      <c r="AI257" s="79" t="s">
        <v>1231</v>
      </c>
      <c r="AJ257" s="83">
        <v>43384</v>
      </c>
      <c r="AK257" s="83">
        <v>43384</v>
      </c>
      <c r="AL257" s="85" t="s">
        <v>30</v>
      </c>
      <c r="AM257" s="85" t="s">
        <v>1543</v>
      </c>
      <c r="AN257" s="79" t="s">
        <v>73</v>
      </c>
      <c r="AO257" s="77" t="s">
        <v>705</v>
      </c>
      <c r="AP257" s="77" t="s">
        <v>81</v>
      </c>
      <c r="AQ257" s="77" t="s">
        <v>1689</v>
      </c>
      <c r="AR257" s="79" t="s">
        <v>1829</v>
      </c>
      <c r="AS257" s="79" t="s">
        <v>2032</v>
      </c>
      <c r="AT257" s="80">
        <v>22.286200000000001</v>
      </c>
      <c r="AU257" s="80">
        <v>114.21142</v>
      </c>
      <c r="AV257" s="77"/>
    </row>
    <row r="258" spans="1:48" ht="15" hidden="1" customHeight="1" x14ac:dyDescent="0.35">
      <c r="A258" s="77"/>
      <c r="B258" s="77" t="s">
        <v>2062</v>
      </c>
      <c r="C258" s="77" t="s">
        <v>2061</v>
      </c>
      <c r="D258" s="77"/>
      <c r="E258" s="79" t="s">
        <v>5</v>
      </c>
      <c r="F258" s="77" t="str">
        <f>VLOOKUP(Table1[[#This Row],[CBRE sub-markets]],Reference!$A$2:$B$31,2,FALSE)</f>
        <v>Wan Chai &amp; Causeway Bay</v>
      </c>
      <c r="G258" s="77">
        <f>VLOOKUP(Table1[[#This Row],[CBRE sub-markets]],Reference!$A$2:$D$31,3,FALSE)</f>
        <v>3</v>
      </c>
      <c r="H258" s="79" t="str">
        <f>VLOOKUP(Table1[[#This Row],[CBRE sub-markets]],Reference!$A$2:$D$31,4,FALSE)</f>
        <v>Hong Kong Island</v>
      </c>
      <c r="I258" s="80" t="s">
        <v>2321</v>
      </c>
      <c r="J258" s="80"/>
      <c r="K258" s="81" t="str">
        <f>IF(ISNUMBER(Table1[[#This Row],[Qtr]]),CONCATENATE(Table1[[#This Row],[Year]]," Q",Table1[[#This Row],[Qtr]]),CONCATENATE(Table1[[#This Row],[Year]],Table1[[#This Row],[Qtr]]))</f>
        <v>2034+</v>
      </c>
      <c r="L258" s="80" t="s">
        <v>20</v>
      </c>
      <c r="M258" s="80" t="s">
        <v>85</v>
      </c>
      <c r="N258" s="80"/>
      <c r="O258" s="80"/>
      <c r="P258" s="80"/>
      <c r="Q258" s="82"/>
      <c r="R258" s="82"/>
      <c r="S258" s="80" t="str">
        <f t="shared" si="21"/>
        <v>Unknown</v>
      </c>
      <c r="T258" s="82">
        <f>Table1[[#This Row],[Total GFA (sf)]]/10.76391</f>
        <v>18150.932142687929</v>
      </c>
      <c r="U258" s="82">
        <f>13025*15</f>
        <v>195375</v>
      </c>
      <c r="V258" s="82">
        <f>Table1[[#This Row],[Total GFA (sm)]]</f>
        <v>18150.932142687929</v>
      </c>
      <c r="W258" s="82">
        <f>Table1[[#This Row],[Total GFA (sf)]]</f>
        <v>195375</v>
      </c>
      <c r="X258" s="82">
        <f>Table1[[#This Row],[Office GFA (sm)]]*0.75</f>
        <v>13613.199107015946</v>
      </c>
      <c r="Y258" s="82">
        <f t="shared" si="22"/>
        <v>146531.25</v>
      </c>
      <c r="Z258" s="82"/>
      <c r="AA258" s="82"/>
      <c r="AB258" s="82"/>
      <c r="AC258" s="82">
        <f t="shared" si="23"/>
        <v>146531.25</v>
      </c>
      <c r="AD258" s="82">
        <f>IF(Table1[[#This Row],[For Sale or For Lease?]]="For Sale",Table1[[#This Row],[Office UFA (Net) (sf)]]-Table1[[#This Row],[Pre-leased space (Usable FA) (sf)]]-Table1[[#This Row],[Pre-sold (Usable FA) (sf)]]-Table1[[#This Row],[Self-use space (Usable FA) (sf)]],0)</f>
        <v>0</v>
      </c>
      <c r="AE258" s="82">
        <f>IF(Table1[[#This Row],[For Sale or For Lease?]]="Uncertain",Table1[[#This Row],[Office UFA (Net) (sf)]]-Table1[[#This Row],[Pre-leased space (Usable FA) (sf)]]-Table1[[#This Row],[Pre-sold (Usable FA) (sf)]]-Table1[[#This Row],[Self-use space (Usable FA) (sf)]],0)</f>
        <v>0</v>
      </c>
      <c r="AF258" s="86">
        <f>1-SUM(Table1[[#This Row],[Space available for lease (Usable FA) (sf)]:[Space available uncertain of use (Usable FA) (sf)]])/Table1[[#This Row],[Office UFA (Net) (sf)]]</f>
        <v>0</v>
      </c>
      <c r="AG258" s="79" t="s">
        <v>89</v>
      </c>
      <c r="AH258" s="84"/>
      <c r="AI258" s="79" t="s">
        <v>2063</v>
      </c>
      <c r="AJ258" s="83">
        <v>44784</v>
      </c>
      <c r="AK258" s="83">
        <v>44805</v>
      </c>
      <c r="AL258" s="85" t="s">
        <v>30</v>
      </c>
      <c r="AM258" s="85" t="s">
        <v>2064</v>
      </c>
      <c r="AN258" s="79" t="s">
        <v>73</v>
      </c>
      <c r="AO258" s="77" t="s">
        <v>705</v>
      </c>
      <c r="AP258" s="77" t="s">
        <v>81</v>
      </c>
      <c r="AQ258" s="77"/>
      <c r="AR258" s="79" t="s">
        <v>1828</v>
      </c>
      <c r="AS258" s="79"/>
      <c r="AT258" s="80">
        <v>22.27805</v>
      </c>
      <c r="AU258" s="80">
        <v>114.18677</v>
      </c>
      <c r="AV258" s="77" t="s">
        <v>2095</v>
      </c>
    </row>
    <row r="259" spans="1:48" ht="15" hidden="1" customHeight="1" x14ac:dyDescent="0.35">
      <c r="A259" s="77"/>
      <c r="B259" s="77" t="s">
        <v>2065</v>
      </c>
      <c r="C259" s="77" t="s">
        <v>2065</v>
      </c>
      <c r="D259" s="77"/>
      <c r="E259" s="79" t="s">
        <v>5</v>
      </c>
      <c r="F259" s="77" t="str">
        <f>VLOOKUP(Table1[[#This Row],[CBRE sub-markets]],Reference!$A$2:$B$31,2,FALSE)</f>
        <v>Wan Chai &amp; Causeway Bay</v>
      </c>
      <c r="G259" s="77">
        <f>VLOOKUP(Table1[[#This Row],[CBRE sub-markets]],Reference!$A$2:$D$31,3,FALSE)</f>
        <v>3</v>
      </c>
      <c r="H259" s="79" t="str">
        <f>VLOOKUP(Table1[[#This Row],[CBRE sub-markets]],Reference!$A$2:$D$31,4,FALSE)</f>
        <v>Hong Kong Island</v>
      </c>
      <c r="I259" s="80" t="s">
        <v>2321</v>
      </c>
      <c r="J259" s="80"/>
      <c r="K259" s="81" t="str">
        <f>IF(ISNUMBER(Table1[[#This Row],[Qtr]]),CONCATENATE(Table1[[#This Row],[Year]]," Q",Table1[[#This Row],[Qtr]]),CONCATENATE(Table1[[#This Row],[Year]],Table1[[#This Row],[Qtr]]))</f>
        <v>2034+</v>
      </c>
      <c r="L259" s="80" t="s">
        <v>20</v>
      </c>
      <c r="M259" s="80" t="s">
        <v>85</v>
      </c>
      <c r="N259" s="80"/>
      <c r="O259" s="80"/>
      <c r="P259" s="80"/>
      <c r="Q259" s="82"/>
      <c r="R259" s="82"/>
      <c r="S259" s="80" t="str">
        <f t="shared" si="21"/>
        <v>Unknown</v>
      </c>
      <c r="T259" s="82">
        <f>19831/(10.76391)*15</f>
        <v>27635.403863465974</v>
      </c>
      <c r="U259" s="82">
        <f>Table1[[#This Row],[Total GFA (sm)]]*10.76391</f>
        <v>297465</v>
      </c>
      <c r="V259" s="82">
        <f>Table1[[#This Row],[Total GFA (sm)]]</f>
        <v>27635.403863465974</v>
      </c>
      <c r="W259" s="82">
        <f>Table1[[#This Row],[Total GFA (sf)]]</f>
        <v>297465</v>
      </c>
      <c r="X259" s="82">
        <f>Table1[[#This Row],[Office GFA (sm)]]*0.75</f>
        <v>20726.552897599482</v>
      </c>
      <c r="Y259" s="82">
        <f t="shared" si="22"/>
        <v>223098.75</v>
      </c>
      <c r="Z259" s="82"/>
      <c r="AA259" s="82"/>
      <c r="AB259" s="82"/>
      <c r="AC259" s="82">
        <f t="shared" si="23"/>
        <v>223098.75</v>
      </c>
      <c r="AD259" s="82">
        <f>IF(Table1[[#This Row],[For Sale or For Lease?]]="For Sale",Table1[[#This Row],[Office UFA (Net) (sf)]]-Table1[[#This Row],[Pre-leased space (Usable FA) (sf)]]-Table1[[#This Row],[Pre-sold (Usable FA) (sf)]]-Table1[[#This Row],[Self-use space (Usable FA) (sf)]],0)</f>
        <v>0</v>
      </c>
      <c r="AE259" s="82">
        <f>IF(Table1[[#This Row],[For Sale or For Lease?]]="Uncertain",Table1[[#This Row],[Office UFA (Net) (sf)]]-Table1[[#This Row],[Pre-leased space (Usable FA) (sf)]]-Table1[[#This Row],[Pre-sold (Usable FA) (sf)]]-Table1[[#This Row],[Self-use space (Usable FA) (sf)]],0)</f>
        <v>0</v>
      </c>
      <c r="AF259" s="86">
        <f>1-SUM(Table1[[#This Row],[Space available for lease (Usable FA) (sf)]:[Space available uncertain of use (Usable FA) (sf)]])/Table1[[#This Row],[Office UFA (Net) (sf)]]</f>
        <v>0</v>
      </c>
      <c r="AG259" s="79" t="s">
        <v>89</v>
      </c>
      <c r="AH259" s="84"/>
      <c r="AI259" s="79"/>
      <c r="AJ259" s="83"/>
      <c r="AK259" s="83">
        <v>44805</v>
      </c>
      <c r="AL259" s="85" t="s">
        <v>30</v>
      </c>
      <c r="AM259" s="85" t="s">
        <v>1225</v>
      </c>
      <c r="AN259" s="79" t="s">
        <v>73</v>
      </c>
      <c r="AO259" s="77" t="s">
        <v>705</v>
      </c>
      <c r="AP259" s="77" t="s">
        <v>81</v>
      </c>
      <c r="AQ259" s="77"/>
      <c r="AR259" s="79" t="s">
        <v>1829</v>
      </c>
      <c r="AS259" s="79"/>
      <c r="AT259" s="80">
        <v>22.279199999999999</v>
      </c>
      <c r="AU259" s="80">
        <v>114.1832</v>
      </c>
      <c r="AV259" s="77" t="s">
        <v>2097</v>
      </c>
    </row>
    <row r="260" spans="1:48" ht="15" hidden="1" customHeight="1" x14ac:dyDescent="0.35">
      <c r="A260" s="77"/>
      <c r="B260" s="77" t="s">
        <v>766</v>
      </c>
      <c r="C260" s="77" t="s">
        <v>1309</v>
      </c>
      <c r="D260" s="77"/>
      <c r="E260" s="79" t="s">
        <v>5</v>
      </c>
      <c r="F260" s="77" t="str">
        <f>VLOOKUP(Table1[[#This Row],[CBRE sub-markets]],Reference!$A$2:$B$31,2,FALSE)</f>
        <v>Wan Chai &amp; Causeway Bay</v>
      </c>
      <c r="G260" s="77">
        <f>VLOOKUP(Table1[[#This Row],[CBRE sub-markets]],Reference!$A$2:$D$31,3,FALSE)</f>
        <v>3</v>
      </c>
      <c r="H260" s="79" t="str">
        <f>VLOOKUP(Table1[[#This Row],[CBRE sub-markets]],Reference!$A$2:$D$31,4,FALSE)</f>
        <v>Hong Kong Island</v>
      </c>
      <c r="I260" s="80" t="s">
        <v>2321</v>
      </c>
      <c r="J260" s="80"/>
      <c r="K260" s="81" t="str">
        <f>IF(ISNUMBER(Table1[[#This Row],[Qtr]]),CONCATENATE(Table1[[#This Row],[Year]]," Q",Table1[[#This Row],[Qtr]]),CONCATENATE(Table1[[#This Row],[Year]],Table1[[#This Row],[Qtr]]))</f>
        <v>2034+</v>
      </c>
      <c r="L260" s="80" t="s">
        <v>20</v>
      </c>
      <c r="M260" s="80" t="s">
        <v>85</v>
      </c>
      <c r="N260" s="80">
        <v>1</v>
      </c>
      <c r="O260" s="80" t="s">
        <v>633</v>
      </c>
      <c r="P260" s="80"/>
      <c r="Q260" s="82">
        <f>Table1[[#This Row],[Office GFA (sf)]]/42</f>
        <v>10792.806514285714</v>
      </c>
      <c r="R260" s="82">
        <f>Table1[[#This Row],[Office UFA (Net) (sf)]]/42</f>
        <v>8094.604885714285</v>
      </c>
      <c r="S260" s="80" t="str">
        <f t="shared" si="21"/>
        <v>No</v>
      </c>
      <c r="T260" s="82"/>
      <c r="U260" s="82"/>
      <c r="V260" s="82">
        <v>42112.4</v>
      </c>
      <c r="W260" s="82">
        <f>V260*10.764</f>
        <v>453297.87359999999</v>
      </c>
      <c r="X260" s="82">
        <f>V260*0.75</f>
        <v>31584.300000000003</v>
      </c>
      <c r="Y260" s="82">
        <f t="shared" si="22"/>
        <v>339973.40519999998</v>
      </c>
      <c r="Z260" s="82"/>
      <c r="AA260" s="82"/>
      <c r="AB260" s="82"/>
      <c r="AC260" s="82">
        <f t="shared" si="23"/>
        <v>339973.40519999998</v>
      </c>
      <c r="AD260" s="82">
        <f>IF(Table1[[#This Row],[For Sale or For Lease?]]="For Sale",Table1[[#This Row],[Office UFA (Net) (sf)]]-Table1[[#This Row],[Pre-leased space (Usable FA) (sf)]]-Table1[[#This Row],[Pre-sold (Usable FA) (sf)]]-Table1[[#This Row],[Self-use space (Usable FA) (sf)]],0)</f>
        <v>0</v>
      </c>
      <c r="AE260" s="82">
        <f>IF(Table1[[#This Row],[For Sale or For Lease?]]="Uncertain",Table1[[#This Row],[Office UFA (Net) (sf)]]-Table1[[#This Row],[Pre-leased space (Usable FA) (sf)]]-Table1[[#This Row],[Pre-sold (Usable FA) (sf)]]-Table1[[#This Row],[Self-use space (Usable FA) (sf)]],0)</f>
        <v>0</v>
      </c>
      <c r="AF260" s="86">
        <f>1-SUM(Table1[[#This Row],[Space available for lease (Usable FA) (sf)]:[Space available uncertain of use (Usable FA) (sf)]])/Table1[[#This Row],[Office UFA (Net) (sf)]]</f>
        <v>0</v>
      </c>
      <c r="AG260" s="79" t="s">
        <v>89</v>
      </c>
      <c r="AH260" s="84" t="s">
        <v>138</v>
      </c>
      <c r="AI260" s="79" t="s">
        <v>92</v>
      </c>
      <c r="AJ260" s="83">
        <v>39904</v>
      </c>
      <c r="AK260" s="83">
        <v>42436</v>
      </c>
      <c r="AL260" s="85" t="s">
        <v>30</v>
      </c>
      <c r="AM260" s="85" t="s">
        <v>1267</v>
      </c>
      <c r="AN260" s="79" t="s">
        <v>73</v>
      </c>
      <c r="AO260" s="77" t="s">
        <v>705</v>
      </c>
      <c r="AP260" s="77" t="s">
        <v>81</v>
      </c>
      <c r="AQ260" s="77" t="s">
        <v>662</v>
      </c>
      <c r="AR260" s="79" t="s">
        <v>1825</v>
      </c>
      <c r="AS260" s="79" t="s">
        <v>2015</v>
      </c>
      <c r="AT260" s="80"/>
      <c r="AU260" s="80"/>
      <c r="AV260" s="77"/>
    </row>
    <row r="261" spans="1:48" ht="15" hidden="1" customHeight="1" x14ac:dyDescent="0.35">
      <c r="A261" s="77"/>
      <c r="B261" s="77" t="s">
        <v>487</v>
      </c>
      <c r="C261" s="77" t="s">
        <v>1308</v>
      </c>
      <c r="D261" s="77"/>
      <c r="E261" s="79" t="s">
        <v>5</v>
      </c>
      <c r="F261" s="77" t="str">
        <f>VLOOKUP(Table1[[#This Row],[CBRE sub-markets]],Reference!$A$2:$B$31,2,FALSE)</f>
        <v>Wan Chai &amp; Causeway Bay</v>
      </c>
      <c r="G261" s="77">
        <f>VLOOKUP(Table1[[#This Row],[CBRE sub-markets]],Reference!$A$2:$D$31,3,FALSE)</f>
        <v>3</v>
      </c>
      <c r="H261" s="79" t="str">
        <f>VLOOKUP(Table1[[#This Row],[CBRE sub-markets]],Reference!$A$2:$D$31,4,FALSE)</f>
        <v>Hong Kong Island</v>
      </c>
      <c r="I261" s="80" t="s">
        <v>2321</v>
      </c>
      <c r="J261" s="80"/>
      <c r="K261" s="81" t="str">
        <f>IF(ISNUMBER(Table1[[#This Row],[Qtr]]),CONCATENATE(Table1[[#This Row],[Year]]," Q",Table1[[#This Row],[Qtr]]),CONCATENATE(Table1[[#This Row],[Year]],Table1[[#This Row],[Qtr]]))</f>
        <v>2034+</v>
      </c>
      <c r="L261" s="80" t="s">
        <v>20</v>
      </c>
      <c r="M261" s="80" t="s">
        <v>85</v>
      </c>
      <c r="N261" s="80">
        <v>1</v>
      </c>
      <c r="O261" s="80" t="s">
        <v>143</v>
      </c>
      <c r="P261" s="80"/>
      <c r="Q261" s="82">
        <f>Table1[[#This Row],[Office GFA (sf)]]/30</f>
        <v>5490.2140799999997</v>
      </c>
      <c r="R261" s="82">
        <f>Table1[[#This Row],[Office UFA (Net) (sf)]]/30</f>
        <v>4117.6605599999994</v>
      </c>
      <c r="S261" s="80" t="str">
        <f t="shared" si="21"/>
        <v>No</v>
      </c>
      <c r="T261" s="82"/>
      <c r="U261" s="82"/>
      <c r="V261" s="82">
        <v>15301.6</v>
      </c>
      <c r="W261" s="82">
        <f>V261*10.764</f>
        <v>164706.42239999998</v>
      </c>
      <c r="X261" s="82">
        <f>V261*0.75</f>
        <v>11476.2</v>
      </c>
      <c r="Y261" s="82">
        <f t="shared" si="22"/>
        <v>123529.81679999999</v>
      </c>
      <c r="Z261" s="82"/>
      <c r="AA261" s="82"/>
      <c r="AB261" s="82"/>
      <c r="AC261" s="82">
        <f t="shared" si="23"/>
        <v>123529.81679999999</v>
      </c>
      <c r="AD261" s="82">
        <f>IF(Table1[[#This Row],[For Sale or For Lease?]]="For Sale",Table1[[#This Row],[Office UFA (Net) (sf)]]-Table1[[#This Row],[Pre-leased space (Usable FA) (sf)]]-Table1[[#This Row],[Pre-sold (Usable FA) (sf)]]-Table1[[#This Row],[Self-use space (Usable FA) (sf)]],0)</f>
        <v>0</v>
      </c>
      <c r="AE261" s="82">
        <f>IF(Table1[[#This Row],[For Sale or For Lease?]]="Uncertain",Table1[[#This Row],[Office UFA (Net) (sf)]]-Table1[[#This Row],[Pre-leased space (Usable FA) (sf)]]-Table1[[#This Row],[Pre-sold (Usable FA) (sf)]]-Table1[[#This Row],[Self-use space (Usable FA) (sf)]],0)</f>
        <v>0</v>
      </c>
      <c r="AF261" s="86">
        <f>1-SUM(Table1[[#This Row],[Space available for lease (Usable FA) (sf)]:[Space available uncertain of use (Usable FA) (sf)]])/Table1[[#This Row],[Office UFA (Net) (sf)]]</f>
        <v>0</v>
      </c>
      <c r="AG261" s="79" t="s">
        <v>89</v>
      </c>
      <c r="AH261" s="84" t="s">
        <v>138</v>
      </c>
      <c r="AI261" s="79" t="s">
        <v>92</v>
      </c>
      <c r="AJ261" s="83">
        <v>39904</v>
      </c>
      <c r="AK261" s="83">
        <v>42436</v>
      </c>
      <c r="AL261" s="85" t="s">
        <v>30</v>
      </c>
      <c r="AM261" s="85" t="s">
        <v>1267</v>
      </c>
      <c r="AN261" s="79" t="s">
        <v>73</v>
      </c>
      <c r="AO261" s="77" t="s">
        <v>705</v>
      </c>
      <c r="AP261" s="77" t="s">
        <v>81</v>
      </c>
      <c r="AQ261" s="77" t="s">
        <v>686</v>
      </c>
      <c r="AR261" s="79" t="s">
        <v>1827</v>
      </c>
      <c r="AS261" s="79" t="s">
        <v>2017</v>
      </c>
      <c r="AT261" s="80"/>
      <c r="AU261" s="80"/>
      <c r="AV261" s="77"/>
    </row>
    <row r="262" spans="1:48" ht="15" hidden="1" customHeight="1" x14ac:dyDescent="0.35">
      <c r="A262" s="77"/>
      <c r="B262" s="77" t="s">
        <v>767</v>
      </c>
      <c r="C262" s="77" t="s">
        <v>1307</v>
      </c>
      <c r="D262" s="77"/>
      <c r="E262" s="79" t="s">
        <v>1</v>
      </c>
      <c r="F262" s="77" t="str">
        <f>VLOOKUP(Table1[[#This Row],[CBRE sub-markets]],Reference!$A$2:$B$31,2,FALSE)</f>
        <v>Central</v>
      </c>
      <c r="G262" s="77">
        <f>VLOOKUP(Table1[[#This Row],[CBRE sub-markets]],Reference!$A$2:$D$31,3,FALSE)</f>
        <v>1</v>
      </c>
      <c r="H262" s="79" t="str">
        <f>VLOOKUP(Table1[[#This Row],[CBRE sub-markets]],Reference!$A$2:$D$31,4,FALSE)</f>
        <v>Hong Kong Island</v>
      </c>
      <c r="I262" s="80" t="s">
        <v>2321</v>
      </c>
      <c r="J262" s="80"/>
      <c r="K262" s="81" t="str">
        <f>IF(ISNUMBER(Table1[[#This Row],[Qtr]]),CONCATENATE(Table1[[#This Row],[Year]]," Q",Table1[[#This Row],[Qtr]]),CONCATENATE(Table1[[#This Row],[Year]],Table1[[#This Row],[Qtr]]))</f>
        <v>2034+</v>
      </c>
      <c r="L262" s="80" t="s">
        <v>20</v>
      </c>
      <c r="M262" s="80" t="s">
        <v>85</v>
      </c>
      <c r="N262" s="80">
        <v>1</v>
      </c>
      <c r="O262" s="80" t="s">
        <v>191</v>
      </c>
      <c r="P262" s="80"/>
      <c r="Q262" s="82">
        <f>Table1[[#This Row],[Office GFA (sf)]]/26</f>
        <v>7087.8869999999988</v>
      </c>
      <c r="R262" s="82">
        <f>Table1[[#This Row],[Office UFA (Net) (sf)]]/26</f>
        <v>5315.91525</v>
      </c>
      <c r="S262" s="80" t="str">
        <f t="shared" si="21"/>
        <v>No</v>
      </c>
      <c r="T262" s="82"/>
      <c r="U262" s="82"/>
      <c r="V262" s="82">
        <v>17120.5</v>
      </c>
      <c r="W262" s="82">
        <f>V262*10.764</f>
        <v>184285.06199999998</v>
      </c>
      <c r="X262" s="82">
        <f>V262*0.75</f>
        <v>12840.375</v>
      </c>
      <c r="Y262" s="82">
        <f t="shared" si="22"/>
        <v>138213.7965</v>
      </c>
      <c r="Z262" s="82"/>
      <c r="AA262" s="82"/>
      <c r="AB262" s="82"/>
      <c r="AC262" s="82">
        <f t="shared" si="23"/>
        <v>0</v>
      </c>
      <c r="AD262" s="82">
        <f>IF(Table1[[#This Row],[For Sale or For Lease?]]="For Sale",Table1[[#This Row],[Office UFA (Net) (sf)]]-Table1[[#This Row],[Pre-leased space (Usable FA) (sf)]]-Table1[[#This Row],[Pre-sold (Usable FA) (sf)]]-Table1[[#This Row],[Self-use space (Usable FA) (sf)]],0)</f>
        <v>0</v>
      </c>
      <c r="AE262" s="82">
        <f>IF(Table1[[#This Row],[For Sale or For Lease?]]="Uncertain",Table1[[#This Row],[Office UFA (Net) (sf)]]-Table1[[#This Row],[Pre-leased space (Usable FA) (sf)]]-Table1[[#This Row],[Pre-sold (Usable FA) (sf)]]-Table1[[#This Row],[Self-use space (Usable FA) (sf)]],0)</f>
        <v>138213.7965</v>
      </c>
      <c r="AF262" s="86">
        <f>1-SUM(Table1[[#This Row],[Space available for lease (Usable FA) (sf)]:[Space available uncertain of use (Usable FA) (sf)]])/Table1[[#This Row],[Office UFA (Net) (sf)]]</f>
        <v>0</v>
      </c>
      <c r="AG262" s="79" t="s">
        <v>89</v>
      </c>
      <c r="AH262" s="84" t="s">
        <v>138</v>
      </c>
      <c r="AI262" s="79" t="s">
        <v>92</v>
      </c>
      <c r="AJ262" s="83">
        <v>40634</v>
      </c>
      <c r="AK262" s="83">
        <v>42436</v>
      </c>
      <c r="AL262" s="85" t="s">
        <v>30</v>
      </c>
      <c r="AM262" s="85" t="s">
        <v>205</v>
      </c>
      <c r="AN262" s="79" t="s">
        <v>73</v>
      </c>
      <c r="AO262" s="77" t="s">
        <v>1068</v>
      </c>
      <c r="AP262" s="77" t="s">
        <v>1068</v>
      </c>
      <c r="AQ262" s="77" t="s">
        <v>565</v>
      </c>
      <c r="AR262" s="79" t="s">
        <v>1819</v>
      </c>
      <c r="AS262" s="79" t="s">
        <v>1989</v>
      </c>
      <c r="AT262" s="80"/>
      <c r="AU262" s="80"/>
      <c r="AV262" s="77"/>
    </row>
    <row r="263" spans="1:48" ht="15" customHeight="1" x14ac:dyDescent="0.35">
      <c r="A263" s="77"/>
      <c r="B263" s="77" t="s">
        <v>1434</v>
      </c>
      <c r="C263" s="77" t="s">
        <v>1435</v>
      </c>
      <c r="D263" s="77"/>
      <c r="E263" s="79" t="s">
        <v>6</v>
      </c>
      <c r="F263" s="77" t="str">
        <f>VLOOKUP(Table1[[#This Row],[CBRE sub-markets]],Reference!$A$2:$B$31,2,FALSE)</f>
        <v>Hong Kong East</v>
      </c>
      <c r="G263" s="77">
        <f>VLOOKUP(Table1[[#This Row],[CBRE sub-markets]],Reference!$A$2:$D$31,3,FALSE)</f>
        <v>4</v>
      </c>
      <c r="H263" s="79" t="str">
        <f>VLOOKUP(Table1[[#This Row],[CBRE sub-markets]],Reference!$A$2:$D$31,4,FALSE)</f>
        <v>Hong Kong Island</v>
      </c>
      <c r="I263" s="80" t="s">
        <v>2321</v>
      </c>
      <c r="J263" s="80"/>
      <c r="K263" s="81" t="str">
        <f>IF(ISNUMBER(Table1[[#This Row],[Qtr]]),CONCATENATE(Table1[[#This Row],[Year]]," Q",Table1[[#This Row],[Qtr]]),CONCATENATE(Table1[[#This Row],[Year]],Table1[[#This Row],[Qtr]]))</f>
        <v>2034+</v>
      </c>
      <c r="L263" s="80" t="s">
        <v>20</v>
      </c>
      <c r="M263" s="80" t="s">
        <v>83</v>
      </c>
      <c r="N263" s="80">
        <v>1</v>
      </c>
      <c r="O263" s="80">
        <v>32</v>
      </c>
      <c r="P263" s="80">
        <v>29</v>
      </c>
      <c r="Q263" s="82">
        <f>Table1[[#This Row],[Office GFA (sf)]]/Table1[[#This Row],[No. of Storeys for Office]]</f>
        <v>23714.0625</v>
      </c>
      <c r="R263" s="82">
        <f>Table1[[#This Row],[Floor Plate (GFA) (sf)]]*0.8</f>
        <v>18971.25</v>
      </c>
      <c r="S263" s="80" t="str">
        <f t="shared" si="21"/>
        <v>Yes</v>
      </c>
      <c r="T263" s="82"/>
      <c r="U263" s="82"/>
      <c r="V263" s="82">
        <f>Table1[[#This Row],[Office GFA (sf)]]/10.764</f>
        <v>63889.614687848385</v>
      </c>
      <c r="W263" s="82">
        <f>(50590*15)*Table1[[#This Row],[No. of Storeys for Office]]/Table1[[#This Row],[No. of Storeys]]</f>
        <v>687707.8125</v>
      </c>
      <c r="X263" s="82">
        <f>V263*0.87</f>
        <v>55583.964778428097</v>
      </c>
      <c r="Y263" s="82">
        <f>W263*0.8</f>
        <v>550166.25</v>
      </c>
      <c r="Z263" s="82"/>
      <c r="AA263" s="82"/>
      <c r="AB263" s="82"/>
      <c r="AC263" s="82">
        <f t="shared" si="23"/>
        <v>550166.25</v>
      </c>
      <c r="AD263" s="82">
        <f>IF(Table1[[#This Row],[For Sale or For Lease?]]="For Sale",Table1[[#This Row],[Office UFA (Net) (sf)]]-Table1[[#This Row],[Pre-leased space (Usable FA) (sf)]]-Table1[[#This Row],[Pre-sold (Usable FA) (sf)]]-Table1[[#This Row],[Self-use space (Usable FA) (sf)]],0)</f>
        <v>0</v>
      </c>
      <c r="AE263" s="82">
        <f>IF(Table1[[#This Row],[For Sale or For Lease?]]="Uncertain",Table1[[#This Row],[Office UFA (Net) (sf)]]-Table1[[#This Row],[Pre-leased space (Usable FA) (sf)]]-Table1[[#This Row],[Pre-sold (Usable FA) (sf)]]-Table1[[#This Row],[Self-use space (Usable FA) (sf)]],0)</f>
        <v>0</v>
      </c>
      <c r="AF263" s="86">
        <f>1-SUM(Table1[[#This Row],[Space available for lease (Usable FA) (sf)]:[Space available uncertain of use (Usable FA) (sf)]])/Table1[[#This Row],[Office UFA (Net) (sf)]]</f>
        <v>0</v>
      </c>
      <c r="AG263" s="79" t="s">
        <v>89</v>
      </c>
      <c r="AH263" s="84"/>
      <c r="AI263" s="79"/>
      <c r="AJ263" s="83">
        <v>43014</v>
      </c>
      <c r="AK263" s="83">
        <v>43014</v>
      </c>
      <c r="AL263" s="85" t="s">
        <v>30</v>
      </c>
      <c r="AM263" s="85"/>
      <c r="AN263" s="79" t="s">
        <v>74</v>
      </c>
      <c r="AO263" s="77" t="s">
        <v>705</v>
      </c>
      <c r="AP263" s="77" t="s">
        <v>81</v>
      </c>
      <c r="AQ263" s="77" t="s">
        <v>1436</v>
      </c>
      <c r="AR263" s="79" t="s">
        <v>1828</v>
      </c>
      <c r="AS263" s="79" t="s">
        <v>2022</v>
      </c>
      <c r="AT263" s="80">
        <v>22.29241</v>
      </c>
      <c r="AU263" s="80">
        <v>114.20527</v>
      </c>
      <c r="AV263" s="77"/>
    </row>
    <row r="264" spans="1:48" ht="15" customHeight="1" x14ac:dyDescent="0.35">
      <c r="A264" s="77"/>
      <c r="B264" s="77" t="s">
        <v>1325</v>
      </c>
      <c r="C264" s="77" t="s">
        <v>1560</v>
      </c>
      <c r="D264" s="77"/>
      <c r="E264" s="79" t="s">
        <v>360</v>
      </c>
      <c r="F264" s="77" t="str">
        <f>VLOOKUP(Table1[[#This Row],[CBRE sub-markets]],Reference!$A$2:$B$31,2,FALSE)</f>
        <v>Hong Kong East</v>
      </c>
      <c r="G264" s="77">
        <f>VLOOKUP(Table1[[#This Row],[CBRE sub-markets]],Reference!$A$2:$D$31,3,FALSE)</f>
        <v>4</v>
      </c>
      <c r="H264" s="79" t="str">
        <f>VLOOKUP(Table1[[#This Row],[CBRE sub-markets]],Reference!$A$2:$D$31,4,FALSE)</f>
        <v>Hong Kong Island</v>
      </c>
      <c r="I264" s="80" t="s">
        <v>2321</v>
      </c>
      <c r="J264" s="80"/>
      <c r="K264" s="81" t="str">
        <f>IF(ISNUMBER(Table1[[#This Row],[Qtr]]),CONCATENATE(Table1[[#This Row],[Year]]," Q",Table1[[#This Row],[Qtr]]),CONCATENATE(Table1[[#This Row],[Year]],Table1[[#This Row],[Qtr]]))</f>
        <v>2034+</v>
      </c>
      <c r="L264" s="80" t="s">
        <v>20</v>
      </c>
      <c r="M264" s="80" t="s">
        <v>83</v>
      </c>
      <c r="N264" s="80">
        <v>1</v>
      </c>
      <c r="O264" s="80"/>
      <c r="P264" s="80"/>
      <c r="Q264" s="82">
        <v>19600</v>
      </c>
      <c r="R264" s="82">
        <f>Table1[[#This Row],[Floor Plate (GFA) (sf)]]*0.75</f>
        <v>14700</v>
      </c>
      <c r="S264" s="80" t="str">
        <f t="shared" ref="S264:S283" si="25">IF(AND(ISNUMBER(R264),R264&gt;=15000),"Yes",IF(R264="","Unknown","No"))</f>
        <v>No</v>
      </c>
      <c r="T264" s="82"/>
      <c r="U264" s="82"/>
      <c r="V264" s="82">
        <f>Table1[[#This Row],[Office GFA (sf)]]/10.764</f>
        <v>27313.266443701228</v>
      </c>
      <c r="W264" s="82">
        <f>19600*15</f>
        <v>294000</v>
      </c>
      <c r="X264" s="82">
        <f t="shared" ref="X264:X278" si="26">V264*0.75</f>
        <v>20484.949832775921</v>
      </c>
      <c r="Y264" s="82">
        <f t="shared" ref="Y264:Y278" si="27">W264*0.75</f>
        <v>220500</v>
      </c>
      <c r="Z264" s="82"/>
      <c r="AA264" s="82"/>
      <c r="AB264" s="82"/>
      <c r="AC264" s="82">
        <f t="shared" ref="AC264:AC283" si="28">IF(AO264="For Lease",Y264-Z264-AA264-AB264,0)</f>
        <v>220500</v>
      </c>
      <c r="AD264" s="82">
        <f>IF(Table1[[#This Row],[For Sale or For Lease?]]="For Sale",Table1[[#This Row],[Office UFA (Net) (sf)]]-Table1[[#This Row],[Pre-leased space (Usable FA) (sf)]]-Table1[[#This Row],[Pre-sold (Usable FA) (sf)]]-Table1[[#This Row],[Self-use space (Usable FA) (sf)]],0)</f>
        <v>0</v>
      </c>
      <c r="AE264" s="82">
        <f>IF(Table1[[#This Row],[For Sale or For Lease?]]="Uncertain",Table1[[#This Row],[Office UFA (Net) (sf)]]-Table1[[#This Row],[Pre-leased space (Usable FA) (sf)]]-Table1[[#This Row],[Pre-sold (Usable FA) (sf)]]-Table1[[#This Row],[Self-use space (Usable FA) (sf)]],0)</f>
        <v>0</v>
      </c>
      <c r="AF264" s="86">
        <f>1-SUM(Table1[[#This Row],[Space available for lease (Usable FA) (sf)]:[Space available uncertain of use (Usable FA) (sf)]])/Table1[[#This Row],[Office UFA (Net) (sf)]]</f>
        <v>0</v>
      </c>
      <c r="AG264" s="79" t="s">
        <v>89</v>
      </c>
      <c r="AH264" s="84"/>
      <c r="AI264" s="79"/>
      <c r="AJ264" s="83"/>
      <c r="AK264" s="83">
        <v>42465</v>
      </c>
      <c r="AL264" s="85" t="s">
        <v>30</v>
      </c>
      <c r="AM264" s="85" t="s">
        <v>99</v>
      </c>
      <c r="AN264" s="79" t="s">
        <v>73</v>
      </c>
      <c r="AO264" s="77" t="s">
        <v>705</v>
      </c>
      <c r="AP264" s="77" t="s">
        <v>81</v>
      </c>
      <c r="AQ264" s="77" t="s">
        <v>1326</v>
      </c>
      <c r="AR264" s="79" t="s">
        <v>1832</v>
      </c>
      <c r="AS264" s="79" t="s">
        <v>2013</v>
      </c>
      <c r="AT264" s="80">
        <v>22.286660000000001</v>
      </c>
      <c r="AU264" s="80">
        <v>114.21138000000001</v>
      </c>
      <c r="AV264" s="77"/>
    </row>
    <row r="265" spans="1:48" ht="15" customHeight="1" x14ac:dyDescent="0.35">
      <c r="A265" s="77"/>
      <c r="B265" s="77" t="s">
        <v>650</v>
      </c>
      <c r="C265" s="77" t="s">
        <v>624</v>
      </c>
      <c r="D265" s="77" t="s">
        <v>625</v>
      </c>
      <c r="E265" s="79" t="s">
        <v>2</v>
      </c>
      <c r="F265" s="77" t="str">
        <f>VLOOKUP(Table1[[#This Row],[CBRE sub-markets]],Reference!$A$2:$B$31,2,FALSE)</f>
        <v>Admiralty &amp; Sheung Wan</v>
      </c>
      <c r="G265" s="77">
        <f>VLOOKUP(Table1[[#This Row],[CBRE sub-markets]],Reference!$A$2:$D$31,3,FALSE)</f>
        <v>2</v>
      </c>
      <c r="H265" s="79" t="str">
        <f>VLOOKUP(Table1[[#This Row],[CBRE sub-markets]],Reference!$A$2:$D$31,4,FALSE)</f>
        <v>Hong Kong Island</v>
      </c>
      <c r="I265" s="80" t="s">
        <v>2321</v>
      </c>
      <c r="J265" s="80"/>
      <c r="K265" s="81" t="str">
        <f>IF(ISNUMBER(Table1[[#This Row],[Qtr]]),CONCATENATE(Table1[[#This Row],[Year]]," Q",Table1[[#This Row],[Qtr]]),CONCATENATE(Table1[[#This Row],[Year]],Table1[[#This Row],[Qtr]]))</f>
        <v>2034+</v>
      </c>
      <c r="L265" s="80" t="s">
        <v>20</v>
      </c>
      <c r="M265" s="80" t="s">
        <v>83</v>
      </c>
      <c r="N265" s="80">
        <v>1</v>
      </c>
      <c r="O265" s="80">
        <v>35</v>
      </c>
      <c r="P265" s="80">
        <v>35</v>
      </c>
      <c r="Q265" s="82">
        <f>Table1[[#This Row],[Office GFA (sf)]]/Table1[[#This Row],[No. of Storeys for Office]]</f>
        <v>20588.764114285714</v>
      </c>
      <c r="R265" s="82">
        <f>Table1[[#This Row],[Office UFA (Net) (sf)]]/Table1[[#This Row],[No. of Storeys for Office]]</f>
        <v>15441.573085714284</v>
      </c>
      <c r="S265" s="80" t="str">
        <f t="shared" si="25"/>
        <v>Yes</v>
      </c>
      <c r="T265" s="82"/>
      <c r="U265" s="82"/>
      <c r="V265" s="82">
        <f>6086*11</f>
        <v>66946</v>
      </c>
      <c r="W265" s="82">
        <f>Table1[[#This Row],[Office GFA (sm)]]*10.764</f>
        <v>720606.74399999995</v>
      </c>
      <c r="X265" s="82">
        <f t="shared" si="26"/>
        <v>50209.5</v>
      </c>
      <c r="Y265" s="82">
        <f t="shared" si="27"/>
        <v>540455.05799999996</v>
      </c>
      <c r="Z265" s="82"/>
      <c r="AA265" s="82"/>
      <c r="AB265" s="82"/>
      <c r="AC265" s="82">
        <f t="shared" si="28"/>
        <v>0</v>
      </c>
      <c r="AD265" s="82">
        <f>IF(Table1[[#This Row],[For Sale or For Lease?]]="For Sale",Table1[[#This Row],[Office UFA (Net) (sf)]]-Table1[[#This Row],[Pre-leased space (Usable FA) (sf)]]-Table1[[#This Row],[Pre-sold (Usable FA) (sf)]]-Table1[[#This Row],[Self-use space (Usable FA) (sf)]],0)</f>
        <v>0</v>
      </c>
      <c r="AE265" s="82">
        <f>IF(Table1[[#This Row],[For Sale or For Lease?]]="Uncertain",Table1[[#This Row],[Office UFA (Net) (sf)]]-Table1[[#This Row],[Pre-leased space (Usable FA) (sf)]]-Table1[[#This Row],[Pre-sold (Usable FA) (sf)]]-Table1[[#This Row],[Self-use space (Usable FA) (sf)]],0)</f>
        <v>540455.05799999996</v>
      </c>
      <c r="AF265" s="86">
        <f>1-SUM(Table1[[#This Row],[Space available for lease (Usable FA) (sf)]:[Space available uncertain of use (Usable FA) (sf)]])/Table1[[#This Row],[Office UFA (Net) (sf)]]</f>
        <v>0</v>
      </c>
      <c r="AG265" s="79" t="s">
        <v>89</v>
      </c>
      <c r="AH265" s="84"/>
      <c r="AI265" s="79" t="s">
        <v>1280</v>
      </c>
      <c r="AJ265" s="83"/>
      <c r="AK265" s="83">
        <v>42431</v>
      </c>
      <c r="AL265" s="85" t="s">
        <v>29</v>
      </c>
      <c r="AM265" s="85"/>
      <c r="AN265" s="79" t="s">
        <v>74</v>
      </c>
      <c r="AO265" s="77" t="s">
        <v>1068</v>
      </c>
      <c r="AP265" s="77" t="s">
        <v>1068</v>
      </c>
      <c r="AQ265" s="77" t="s">
        <v>651</v>
      </c>
      <c r="AR265" s="79" t="s">
        <v>1820</v>
      </c>
      <c r="AS265" s="79" t="s">
        <v>2040</v>
      </c>
      <c r="AT265" s="80">
        <v>22.288499999999999</v>
      </c>
      <c r="AU265" s="80">
        <v>114.15003</v>
      </c>
      <c r="AV265" s="77"/>
    </row>
    <row r="266" spans="1:48" ht="15" customHeight="1" x14ac:dyDescent="0.35">
      <c r="A266" s="77"/>
      <c r="B266" s="77" t="s">
        <v>1276</v>
      </c>
      <c r="C266" s="77" t="s">
        <v>1277</v>
      </c>
      <c r="D266" s="77"/>
      <c r="E266" s="79" t="s">
        <v>2</v>
      </c>
      <c r="F266" s="77" t="str">
        <f>VLOOKUP(Table1[[#This Row],[CBRE sub-markets]],Reference!$A$2:$B$31,2,FALSE)</f>
        <v>Admiralty &amp; Sheung Wan</v>
      </c>
      <c r="G266" s="77">
        <f>VLOOKUP(Table1[[#This Row],[CBRE sub-markets]],Reference!$A$2:$D$31,3,FALSE)</f>
        <v>2</v>
      </c>
      <c r="H266" s="79" t="str">
        <f>VLOOKUP(Table1[[#This Row],[CBRE sub-markets]],Reference!$A$2:$D$31,4,FALSE)</f>
        <v>Hong Kong Island</v>
      </c>
      <c r="I266" s="80" t="s">
        <v>2321</v>
      </c>
      <c r="J266" s="80"/>
      <c r="K266" s="81" t="str">
        <f>IF(ISNUMBER(Table1[[#This Row],[Qtr]]),CONCATENATE(Table1[[#This Row],[Year]]," Q",Table1[[#This Row],[Qtr]]),CONCATENATE(Table1[[#This Row],[Year]],Table1[[#This Row],[Qtr]]))</f>
        <v>2034+</v>
      </c>
      <c r="L266" s="80" t="s">
        <v>20</v>
      </c>
      <c r="M266" s="80" t="s">
        <v>83</v>
      </c>
      <c r="N266" s="80">
        <v>1</v>
      </c>
      <c r="O266" s="80">
        <v>30</v>
      </c>
      <c r="P266" s="80">
        <v>30</v>
      </c>
      <c r="Q266" s="82">
        <f>Table1[[#This Row],[Office GFA (sf)]]/Table1[[#This Row],[No. of Storeys]]</f>
        <v>23551.631999999998</v>
      </c>
      <c r="R266" s="82">
        <f>Table1[[#This Row],[Office UFA (Net) (sf)]]/Table1[[#This Row],[No. of Storeys]]</f>
        <v>17663.723999999998</v>
      </c>
      <c r="S266" s="80" t="str">
        <f t="shared" si="25"/>
        <v>Yes</v>
      </c>
      <c r="T266" s="82"/>
      <c r="U266" s="82"/>
      <c r="V266" s="82">
        <f>4376*15</f>
        <v>65640</v>
      </c>
      <c r="W266" s="82">
        <f>Table1[[#This Row],[Office GFA (sm)]]*10.764</f>
        <v>706548.96</v>
      </c>
      <c r="X266" s="82">
        <f t="shared" si="26"/>
        <v>49230</v>
      </c>
      <c r="Y266" s="82">
        <f t="shared" si="27"/>
        <v>529911.72</v>
      </c>
      <c r="Z266" s="82"/>
      <c r="AA266" s="82"/>
      <c r="AB266" s="82"/>
      <c r="AC266" s="82">
        <f t="shared" si="28"/>
        <v>529911.72</v>
      </c>
      <c r="AD266" s="82">
        <f>IF(Table1[[#This Row],[For Sale or For Lease?]]="For Sale",Table1[[#This Row],[Office UFA (Net) (sf)]]-Table1[[#This Row],[Pre-leased space (Usable FA) (sf)]]-Table1[[#This Row],[Pre-sold (Usable FA) (sf)]]-Table1[[#This Row],[Self-use space (Usable FA) (sf)]],0)</f>
        <v>0</v>
      </c>
      <c r="AE266" s="82">
        <f>IF(Table1[[#This Row],[For Sale or For Lease?]]="Uncertain",Table1[[#This Row],[Office UFA (Net) (sf)]]-Table1[[#This Row],[Pre-leased space (Usable FA) (sf)]]-Table1[[#This Row],[Pre-sold (Usable FA) (sf)]]-Table1[[#This Row],[Self-use space (Usable FA) (sf)]],0)</f>
        <v>0</v>
      </c>
      <c r="AF266" s="86">
        <f>1-SUM(Table1[[#This Row],[Space available for lease (Usable FA) (sf)]:[Space available uncertain of use (Usable FA) (sf)]])/Table1[[#This Row],[Office UFA (Net) (sf)]]</f>
        <v>0</v>
      </c>
      <c r="AG266" s="79" t="s">
        <v>89</v>
      </c>
      <c r="AH266" s="84"/>
      <c r="AI266" s="79" t="s">
        <v>568</v>
      </c>
      <c r="AJ266" s="83">
        <v>40614</v>
      </c>
      <c r="AK266" s="83">
        <v>42431</v>
      </c>
      <c r="AL266" s="85" t="s">
        <v>30</v>
      </c>
      <c r="AM266" s="85"/>
      <c r="AN266" s="79" t="s">
        <v>74</v>
      </c>
      <c r="AO266" s="77" t="s">
        <v>705</v>
      </c>
      <c r="AP266" s="77" t="s">
        <v>81</v>
      </c>
      <c r="AQ266" s="77" t="s">
        <v>674</v>
      </c>
      <c r="AR266" s="79" t="s">
        <v>1821</v>
      </c>
      <c r="AS266" s="79" t="s">
        <v>2018</v>
      </c>
      <c r="AT266" s="80">
        <v>22.287420000000001</v>
      </c>
      <c r="AU266" s="80">
        <v>114.15333</v>
      </c>
      <c r="AV266" s="77"/>
    </row>
    <row r="267" spans="1:48" ht="15" customHeight="1" x14ac:dyDescent="0.35">
      <c r="A267" s="77"/>
      <c r="B267" s="77" t="s">
        <v>1281</v>
      </c>
      <c r="C267" s="77" t="s">
        <v>1282</v>
      </c>
      <c r="D267" s="77" t="s">
        <v>431</v>
      </c>
      <c r="E267" s="79" t="s">
        <v>4</v>
      </c>
      <c r="F267" s="77" t="str">
        <f>VLOOKUP(Table1[[#This Row],[CBRE sub-markets]],Reference!$A$2:$B$31,2,FALSE)</f>
        <v>Wan Chai &amp; Causeway Bay</v>
      </c>
      <c r="G267" s="77">
        <f>VLOOKUP(Table1[[#This Row],[CBRE sub-markets]],Reference!$A$2:$D$31,3,FALSE)</f>
        <v>3</v>
      </c>
      <c r="H267" s="79" t="str">
        <f>VLOOKUP(Table1[[#This Row],[CBRE sub-markets]],Reference!$A$2:$D$31,4,FALSE)</f>
        <v>Hong Kong Island</v>
      </c>
      <c r="I267" s="80" t="s">
        <v>2321</v>
      </c>
      <c r="J267" s="80"/>
      <c r="K267" s="81" t="str">
        <f>IF(ISNUMBER(Table1[[#This Row],[Qtr]]),CONCATENATE(Table1[[#This Row],[Year]]," Q",Table1[[#This Row],[Qtr]]),CONCATENATE(Table1[[#This Row],[Year]],Table1[[#This Row],[Qtr]]))</f>
        <v>2034+</v>
      </c>
      <c r="L267" s="80" t="s">
        <v>20</v>
      </c>
      <c r="M267" s="80" t="s">
        <v>83</v>
      </c>
      <c r="N267" s="80">
        <v>2</v>
      </c>
      <c r="O267" s="80">
        <v>30</v>
      </c>
      <c r="P267" s="80">
        <v>30</v>
      </c>
      <c r="Q267" s="82">
        <f>Table1[[#This Row],[Office GFA (sf)]]/Table1[[#This Row],[No. of Storeys]]/Table1[[#This Row],[No. of Blocks]]</f>
        <v>4253.9327999999996</v>
      </c>
      <c r="R267" s="82">
        <f>Table1[[#This Row],[Office UFA (Net) (sf)]]/Table1[[#This Row],[No. of Storeys]]/Table1[[#This Row],[No. of Blocks]]</f>
        <v>3190.4495999999999</v>
      </c>
      <c r="S267" s="80" t="str">
        <f t="shared" si="25"/>
        <v>No</v>
      </c>
      <c r="T267" s="82"/>
      <c r="U267" s="82"/>
      <c r="V267" s="82">
        <f>1976*12</f>
        <v>23712</v>
      </c>
      <c r="W267" s="82">
        <f>Table1[[#This Row],[Office GFA (sm)]]*10.764</f>
        <v>255235.96799999999</v>
      </c>
      <c r="X267" s="82">
        <f t="shared" si="26"/>
        <v>17784</v>
      </c>
      <c r="Y267" s="82">
        <f t="shared" si="27"/>
        <v>191426.976</v>
      </c>
      <c r="Z267" s="82"/>
      <c r="AA267" s="82"/>
      <c r="AB267" s="82"/>
      <c r="AC267" s="82">
        <f t="shared" si="28"/>
        <v>0</v>
      </c>
      <c r="AD267" s="82">
        <f>IF(Table1[[#This Row],[For Sale or For Lease?]]="For Sale",Table1[[#This Row],[Office UFA (Net) (sf)]]-Table1[[#This Row],[Pre-leased space (Usable FA) (sf)]]-Table1[[#This Row],[Pre-sold (Usable FA) (sf)]]-Table1[[#This Row],[Self-use space (Usable FA) (sf)]],0)</f>
        <v>0</v>
      </c>
      <c r="AE267" s="82">
        <f>IF(Table1[[#This Row],[For Sale or For Lease?]]="Uncertain",Table1[[#This Row],[Office UFA (Net) (sf)]]-Table1[[#This Row],[Pre-leased space (Usable FA) (sf)]]-Table1[[#This Row],[Pre-sold (Usable FA) (sf)]]-Table1[[#This Row],[Self-use space (Usable FA) (sf)]],0)</f>
        <v>191426.976</v>
      </c>
      <c r="AF267" s="86">
        <f>1-SUM(Table1[[#This Row],[Space available for lease (Usable FA) (sf)]:[Space available uncertain of use (Usable FA) (sf)]])/Table1[[#This Row],[Office UFA (Net) (sf)]]</f>
        <v>0</v>
      </c>
      <c r="AG267" s="79" t="s">
        <v>432</v>
      </c>
      <c r="AH267" s="84"/>
      <c r="AI267" s="79" t="s">
        <v>801</v>
      </c>
      <c r="AJ267" s="83">
        <v>41671</v>
      </c>
      <c r="AK267" s="83">
        <v>42431</v>
      </c>
      <c r="AL267" s="85" t="s">
        <v>32</v>
      </c>
      <c r="AM267" s="85"/>
      <c r="AN267" s="79" t="s">
        <v>74</v>
      </c>
      <c r="AO267" s="77" t="s">
        <v>1068</v>
      </c>
      <c r="AP267" s="77" t="s">
        <v>1068</v>
      </c>
      <c r="AQ267" s="77" t="s">
        <v>1283</v>
      </c>
      <c r="AR267" s="79" t="s">
        <v>1826</v>
      </c>
      <c r="AS267" s="79" t="s">
        <v>2041</v>
      </c>
      <c r="AT267" s="80">
        <v>22.279150000000001</v>
      </c>
      <c r="AU267" s="80">
        <v>114.17532</v>
      </c>
      <c r="AV267" s="77" t="s">
        <v>2277</v>
      </c>
    </row>
    <row r="268" spans="1:48" ht="15" customHeight="1" x14ac:dyDescent="0.35">
      <c r="A268" s="77"/>
      <c r="B268" s="77" t="s">
        <v>2066</v>
      </c>
      <c r="C268" s="77" t="s">
        <v>2068</v>
      </c>
      <c r="D268" s="77"/>
      <c r="E268" s="79" t="s">
        <v>4</v>
      </c>
      <c r="F268" s="77" t="str">
        <f>VLOOKUP(Table1[[#This Row],[CBRE sub-markets]],Reference!$A$2:$B$31,2,FALSE)</f>
        <v>Wan Chai &amp; Causeway Bay</v>
      </c>
      <c r="G268" s="77">
        <f>VLOOKUP(Table1[[#This Row],[CBRE sub-markets]],Reference!$A$2:$D$31,3,FALSE)</f>
        <v>3</v>
      </c>
      <c r="H268" s="79" t="str">
        <f>VLOOKUP(Table1[[#This Row],[CBRE sub-markets]],Reference!$A$2:$D$31,4,FALSE)</f>
        <v>Hong Kong Island</v>
      </c>
      <c r="I268" s="80" t="s">
        <v>2321</v>
      </c>
      <c r="J268" s="80"/>
      <c r="K268" s="81" t="str">
        <f>IF(ISNUMBER(Table1[[#This Row],[Qtr]]),CONCATENATE(Table1[[#This Row],[Year]]," Q",Table1[[#This Row],[Qtr]]),CONCATENATE(Table1[[#This Row],[Year]],Table1[[#This Row],[Qtr]]))</f>
        <v>2034+</v>
      </c>
      <c r="L268" s="80" t="s">
        <v>20</v>
      </c>
      <c r="M268" s="80" t="s">
        <v>83</v>
      </c>
      <c r="N268" s="80">
        <v>1</v>
      </c>
      <c r="O268" s="80">
        <v>35</v>
      </c>
      <c r="P268" s="80">
        <v>27</v>
      </c>
      <c r="Q268" s="82">
        <f>Table1[[#This Row],[Office GFA (sf)]]/Table1[[#This Row],[No. of Blocks]]/Table1[[#This Row],[No. of Storeys for Office]]</f>
        <v>35879.999999999993</v>
      </c>
      <c r="R268" s="82">
        <f>Table1[[#This Row],[Office UFA (Net) (sf)]]/Table1[[#This Row],[No. of Blocks]]/Table1[[#This Row],[No. of Storeys for Office]]</f>
        <v>26909.999999999996</v>
      </c>
      <c r="S268" s="80" t="str">
        <f t="shared" si="25"/>
        <v>Yes</v>
      </c>
      <c r="T268" s="82">
        <v>231660</v>
      </c>
      <c r="U268" s="82">
        <f>Table1[[#This Row],[Total GFA (sm)]]*10.7639</f>
        <v>2493565.074</v>
      </c>
      <c r="V268" s="82">
        <v>90000</v>
      </c>
      <c r="W268" s="82">
        <f>Table1[[#This Row],[Office GFA (sm)]]*10.764</f>
        <v>968759.99999999988</v>
      </c>
      <c r="X268" s="82">
        <f t="shared" si="26"/>
        <v>67500</v>
      </c>
      <c r="Y268" s="82">
        <f t="shared" si="27"/>
        <v>726569.99999999988</v>
      </c>
      <c r="Z268" s="82"/>
      <c r="AA268" s="82"/>
      <c r="AB268" s="82"/>
      <c r="AC268" s="82">
        <f t="shared" si="28"/>
        <v>0</v>
      </c>
      <c r="AD268" s="82">
        <f>IF(Table1[[#This Row],[For Sale or For Lease?]]="For Sale",Table1[[#This Row],[Office UFA (Net) (sf)]]-Table1[[#This Row],[Pre-leased space (Usable FA) (sf)]]-Table1[[#This Row],[Pre-sold (Usable FA) (sf)]]-Table1[[#This Row],[Self-use space (Usable FA) (sf)]],0)</f>
        <v>0</v>
      </c>
      <c r="AE268" s="82">
        <f>IF(Table1[[#This Row],[For Sale or For Lease?]]="Uncertain",Table1[[#This Row],[Office UFA (Net) (sf)]]-Table1[[#This Row],[Pre-leased space (Usable FA) (sf)]]-Table1[[#This Row],[Pre-sold (Usable FA) (sf)]]-Table1[[#This Row],[Self-use space (Usable FA) (sf)]],0)</f>
        <v>726569.99999999988</v>
      </c>
      <c r="AF268" s="86">
        <f>1-SUM(Table1[[#This Row],[Space available for lease (Usable FA) (sf)]:[Space available uncertain of use (Usable FA) (sf)]])/Table1[[#This Row],[Office UFA (Net) (sf)]]</f>
        <v>0</v>
      </c>
      <c r="AG268" s="79" t="s">
        <v>89</v>
      </c>
      <c r="AH268" s="84"/>
      <c r="AI268" s="79" t="s">
        <v>612</v>
      </c>
      <c r="AJ268" s="83">
        <v>42424</v>
      </c>
      <c r="AK268" s="83">
        <v>42431</v>
      </c>
      <c r="AL268" s="85" t="s">
        <v>30</v>
      </c>
      <c r="AM268" s="85"/>
      <c r="AN268" s="79" t="s">
        <v>74</v>
      </c>
      <c r="AO268" s="77" t="s">
        <v>1068</v>
      </c>
      <c r="AP268" s="77" t="s">
        <v>1068</v>
      </c>
      <c r="AQ268" s="77" t="s">
        <v>2067</v>
      </c>
      <c r="AR268" s="79" t="s">
        <v>1824</v>
      </c>
      <c r="AS268" s="79" t="s">
        <v>2057</v>
      </c>
      <c r="AT268" s="80">
        <v>22.28004</v>
      </c>
      <c r="AU268" s="80">
        <v>114.17238999999999</v>
      </c>
      <c r="AV268" s="77" t="s">
        <v>2276</v>
      </c>
    </row>
    <row r="269" spans="1:48" ht="15" customHeight="1" x14ac:dyDescent="0.35">
      <c r="A269" s="77"/>
      <c r="B269" s="77" t="s">
        <v>1438</v>
      </c>
      <c r="C269" s="77" t="s">
        <v>1439</v>
      </c>
      <c r="D269" s="77"/>
      <c r="E269" s="79" t="s">
        <v>567</v>
      </c>
      <c r="F269" s="77" t="str">
        <f>VLOOKUP(Table1[[#This Row],[CBRE sub-markets]],Reference!$A$2:$B$31,2,FALSE)</f>
        <v>Kowloon East</v>
      </c>
      <c r="G269" s="77">
        <f>VLOOKUP(Table1[[#This Row],[CBRE sub-markets]],Reference!$A$2:$D$31,3,FALSE)</f>
        <v>7</v>
      </c>
      <c r="H269" s="79" t="str">
        <f>VLOOKUP(Table1[[#This Row],[CBRE sub-markets]],Reference!$A$2:$D$31,4,FALSE)</f>
        <v>Kowloon</v>
      </c>
      <c r="I269" s="80" t="s">
        <v>2321</v>
      </c>
      <c r="J269" s="80"/>
      <c r="K269" s="81" t="str">
        <f>IF(ISNUMBER(Table1[[#This Row],[Qtr]]),CONCATENATE(Table1[[#This Row],[Year]]," Q",Table1[[#This Row],[Qtr]]),CONCATENATE(Table1[[#This Row],[Year]],Table1[[#This Row],[Qtr]]))</f>
        <v>2034+</v>
      </c>
      <c r="L269" s="80" t="s">
        <v>20</v>
      </c>
      <c r="M269" s="80" t="s">
        <v>83</v>
      </c>
      <c r="N269" s="80">
        <v>2</v>
      </c>
      <c r="O269" s="80">
        <v>10</v>
      </c>
      <c r="P269" s="80">
        <v>8</v>
      </c>
      <c r="Q269" s="82">
        <f>Table1[[#This Row],[Office GFA (sf)]]/Table1[[#This Row],[No. of Storeys for Office]]/Table1[[#This Row],[No. of Blocks]]</f>
        <v>26544.023999999998</v>
      </c>
      <c r="R269" s="82">
        <f>Table1[[#This Row],[Floor Plate (GFA) (sf)]]*0.75</f>
        <v>19908.017999999996</v>
      </c>
      <c r="S269" s="80" t="str">
        <f t="shared" si="25"/>
        <v>Yes</v>
      </c>
      <c r="T269" s="82"/>
      <c r="U269" s="82"/>
      <c r="V269" s="82">
        <f>19728*2</f>
        <v>39456</v>
      </c>
      <c r="W269" s="82">
        <f>V269*10.764</f>
        <v>424704.38399999996</v>
      </c>
      <c r="X269" s="82">
        <f t="shared" si="26"/>
        <v>29592</v>
      </c>
      <c r="Y269" s="82">
        <f t="shared" si="27"/>
        <v>318528.28799999994</v>
      </c>
      <c r="Z269" s="82"/>
      <c r="AA269" s="82"/>
      <c r="AB269" s="82"/>
      <c r="AC269" s="82">
        <f t="shared" si="28"/>
        <v>318528.28799999994</v>
      </c>
      <c r="AD269" s="82">
        <f>IF(Table1[[#This Row],[For Sale or For Lease?]]="For Sale",Table1[[#This Row],[Office UFA (Net) (sf)]]-Table1[[#This Row],[Pre-leased space (Usable FA) (sf)]]-Table1[[#This Row],[Pre-sold (Usable FA) (sf)]]-Table1[[#This Row],[Self-use space (Usable FA) (sf)]],0)</f>
        <v>0</v>
      </c>
      <c r="AE269" s="82">
        <f>IF(Table1[[#This Row],[For Sale or For Lease?]]="Uncertain",Table1[[#This Row],[Office UFA (Net) (sf)]]-Table1[[#This Row],[Pre-leased space (Usable FA) (sf)]]-Table1[[#This Row],[Pre-sold (Usable FA) (sf)]]-Table1[[#This Row],[Self-use space (Usable FA) (sf)]],0)</f>
        <v>0</v>
      </c>
      <c r="AF269" s="86">
        <f>1-SUM(Table1[[#This Row],[Space available for lease (Usable FA) (sf)]:[Space available uncertain of use (Usable FA) (sf)]])/Table1[[#This Row],[Office UFA (Net) (sf)]]</f>
        <v>0</v>
      </c>
      <c r="AG269" s="79" t="s">
        <v>89</v>
      </c>
      <c r="AH269" s="84"/>
      <c r="AI269" s="79"/>
      <c r="AJ269" s="83"/>
      <c r="AK269" s="83">
        <v>42433</v>
      </c>
      <c r="AL269" s="85" t="s">
        <v>29</v>
      </c>
      <c r="AM269" s="85"/>
      <c r="AN269" s="79" t="s">
        <v>74</v>
      </c>
      <c r="AO269" s="77" t="s">
        <v>705</v>
      </c>
      <c r="AP269" s="77" t="s">
        <v>81</v>
      </c>
      <c r="AQ269" s="77" t="s">
        <v>1295</v>
      </c>
      <c r="AR269" s="79" t="s">
        <v>1799</v>
      </c>
      <c r="AS269" s="79" t="s">
        <v>2046</v>
      </c>
      <c r="AT269" s="80">
        <v>22.330249999999999</v>
      </c>
      <c r="AU269" s="80">
        <v>114.19571000000001</v>
      </c>
      <c r="AV269" s="77"/>
    </row>
    <row r="270" spans="1:48" ht="15" customHeight="1" x14ac:dyDescent="0.35">
      <c r="A270" s="77"/>
      <c r="B270" s="77" t="s">
        <v>1296</v>
      </c>
      <c r="C270" s="77" t="s">
        <v>1297</v>
      </c>
      <c r="D270" s="77" t="s">
        <v>1649</v>
      </c>
      <c r="E270" s="79" t="s">
        <v>567</v>
      </c>
      <c r="F270" s="77" t="str">
        <f>VLOOKUP(Table1[[#This Row],[CBRE sub-markets]],Reference!$A$2:$B$31,2,FALSE)</f>
        <v>Kowloon East</v>
      </c>
      <c r="G270" s="77">
        <f>VLOOKUP(Table1[[#This Row],[CBRE sub-markets]],Reference!$A$2:$D$31,3,FALSE)</f>
        <v>7</v>
      </c>
      <c r="H270" s="79" t="str">
        <f>VLOOKUP(Table1[[#This Row],[CBRE sub-markets]],Reference!$A$2:$D$31,4,FALSE)</f>
        <v>Kowloon</v>
      </c>
      <c r="I270" s="80" t="s">
        <v>2321</v>
      </c>
      <c r="J270" s="80"/>
      <c r="K270" s="81" t="str">
        <f>IF(ISNUMBER(Table1[[#This Row],[Qtr]]),CONCATENATE(Table1[[#This Row],[Year]]," Q",Table1[[#This Row],[Qtr]]),CONCATENATE(Table1[[#This Row],[Year]],Table1[[#This Row],[Qtr]]))</f>
        <v>2034+</v>
      </c>
      <c r="L270" s="80" t="s">
        <v>20</v>
      </c>
      <c r="M270" s="80" t="s">
        <v>83</v>
      </c>
      <c r="N270" s="80">
        <v>1</v>
      </c>
      <c r="O270" s="80">
        <v>30</v>
      </c>
      <c r="P270" s="80">
        <v>22</v>
      </c>
      <c r="Q270" s="82">
        <f>Table1[[#This Row],[Office GFA (sf)]]/Table1[[#This Row],[No. of Storeys]]</f>
        <v>43760.467919999996</v>
      </c>
      <c r="R270" s="82">
        <f>Table1[[#This Row],[Floor Plate (GFA) (sf)]]*0.75</f>
        <v>32820.350939999997</v>
      </c>
      <c r="S270" s="80" t="str">
        <f t="shared" si="25"/>
        <v>Yes</v>
      </c>
      <c r="T270" s="82">
        <v>130680</v>
      </c>
      <c r="U270" s="82">
        <f>+Table1[[#This Row],[Total GFA (sm)]]*10.7639</f>
        <v>1406626.452</v>
      </c>
      <c r="V270" s="82">
        <f>19994*6.1</f>
        <v>121963.4</v>
      </c>
      <c r="W270" s="82">
        <f>V270*10.764</f>
        <v>1312814.0375999999</v>
      </c>
      <c r="X270" s="82">
        <f t="shared" si="26"/>
        <v>91472.549999999988</v>
      </c>
      <c r="Y270" s="82">
        <f t="shared" si="27"/>
        <v>984610.52819999994</v>
      </c>
      <c r="Z270" s="82"/>
      <c r="AA270" s="82"/>
      <c r="AB270" s="82"/>
      <c r="AC270" s="82">
        <f t="shared" si="28"/>
        <v>0</v>
      </c>
      <c r="AD270" s="82">
        <f>IF(Table1[[#This Row],[For Sale or For Lease?]]="For Sale",Table1[[#This Row],[Office UFA (Net) (sf)]]-Table1[[#This Row],[Pre-leased space (Usable FA) (sf)]]-Table1[[#This Row],[Pre-sold (Usable FA) (sf)]]-Table1[[#This Row],[Self-use space (Usable FA) (sf)]],0)</f>
        <v>0</v>
      </c>
      <c r="AE270" s="82">
        <f>IF(Table1[[#This Row],[For Sale or For Lease?]]="Uncertain",Table1[[#This Row],[Office UFA (Net) (sf)]]-Table1[[#This Row],[Pre-leased space (Usable FA) (sf)]]-Table1[[#This Row],[Pre-sold (Usable FA) (sf)]]-Table1[[#This Row],[Self-use space (Usable FA) (sf)]],0)</f>
        <v>984610.52819999994</v>
      </c>
      <c r="AF270" s="86">
        <f>1-SUM(Table1[[#This Row],[Space available for lease (Usable FA) (sf)]:[Space available uncertain of use (Usable FA) (sf)]])/Table1[[#This Row],[Office UFA (Net) (sf)]]</f>
        <v>0</v>
      </c>
      <c r="AG270" s="79" t="s">
        <v>89</v>
      </c>
      <c r="AH270" s="84"/>
      <c r="AI270" s="79"/>
      <c r="AJ270" s="83"/>
      <c r="AK270" s="83">
        <v>43889</v>
      </c>
      <c r="AL270" s="85" t="s">
        <v>29</v>
      </c>
      <c r="AM270" s="85"/>
      <c r="AN270" s="79" t="s">
        <v>74</v>
      </c>
      <c r="AO270" s="77" t="s">
        <v>1068</v>
      </c>
      <c r="AP270" s="77" t="s">
        <v>1068</v>
      </c>
      <c r="AQ270" s="77" t="s">
        <v>1906</v>
      </c>
      <c r="AR270" s="79" t="s">
        <v>1761</v>
      </c>
      <c r="AS270" s="79" t="s">
        <v>2000</v>
      </c>
      <c r="AT270" s="80">
        <v>22.32912</v>
      </c>
      <c r="AU270" s="80">
        <v>114.19533</v>
      </c>
      <c r="AV270" s="77"/>
    </row>
    <row r="271" spans="1:48" ht="15" customHeight="1" x14ac:dyDescent="0.35">
      <c r="A271" s="77"/>
      <c r="B271" s="77" t="s">
        <v>1353</v>
      </c>
      <c r="C271" s="77" t="s">
        <v>1353</v>
      </c>
      <c r="D271" s="77"/>
      <c r="E271" s="79" t="s">
        <v>567</v>
      </c>
      <c r="F271" s="77" t="str">
        <f>VLOOKUP(Table1[[#This Row],[CBRE sub-markets]],Reference!$A$2:$B$31,2,FALSE)</f>
        <v>Kowloon East</v>
      </c>
      <c r="G271" s="77">
        <f>VLOOKUP(Table1[[#This Row],[CBRE sub-markets]],Reference!$A$2:$D$31,3,FALSE)</f>
        <v>7</v>
      </c>
      <c r="H271" s="79" t="str">
        <f>VLOOKUP(Table1[[#This Row],[CBRE sub-markets]],Reference!$A$2:$D$31,4,FALSE)</f>
        <v>Kowloon</v>
      </c>
      <c r="I271" s="80" t="s">
        <v>2321</v>
      </c>
      <c r="J271" s="80"/>
      <c r="K271" s="81" t="str">
        <f>IF(ISNUMBER(Table1[[#This Row],[Qtr]]),CONCATENATE(Table1[[#This Row],[Year]]," Q",Table1[[#This Row],[Qtr]]),CONCATENATE(Table1[[#This Row],[Year]],Table1[[#This Row],[Qtr]]))</f>
        <v>2034+</v>
      </c>
      <c r="L271" s="80" t="s">
        <v>20</v>
      </c>
      <c r="M271" s="80" t="s">
        <v>83</v>
      </c>
      <c r="N271" s="80">
        <v>1</v>
      </c>
      <c r="O271" s="80">
        <v>35</v>
      </c>
      <c r="P271" s="80">
        <v>35</v>
      </c>
      <c r="Q271" s="82">
        <f>Table1[[#This Row],[Office GFA (sf)]]/Table1[[#This Row],[No. of Storeys]]</f>
        <v>31071.535049999999</v>
      </c>
      <c r="R271" s="82">
        <f>Table1[[#This Row],[Floor Plate (GFA) (sf)]]*0.75</f>
        <v>23303.651287499997</v>
      </c>
      <c r="S271" s="80" t="str">
        <f t="shared" si="25"/>
        <v>Yes</v>
      </c>
      <c r="T271" s="82"/>
      <c r="U271" s="82"/>
      <c r="V271" s="82">
        <f>13471*7.5</f>
        <v>101032.5</v>
      </c>
      <c r="W271" s="82">
        <f>+Table1[[#This Row],[Office GFA (sm)]]*10.7639</f>
        <v>1087503.7267499999</v>
      </c>
      <c r="X271" s="82">
        <f t="shared" si="26"/>
        <v>75774.375</v>
      </c>
      <c r="Y271" s="82">
        <f t="shared" si="27"/>
        <v>815627.79506249994</v>
      </c>
      <c r="Z271" s="82"/>
      <c r="AA271" s="82"/>
      <c r="AB271" s="82"/>
      <c r="AC271" s="82">
        <f t="shared" si="28"/>
        <v>0</v>
      </c>
      <c r="AD271" s="82">
        <f>IF(Table1[[#This Row],[For Sale or For Lease?]]="For Sale",Table1[[#This Row],[Office UFA (Net) (sf)]]-Table1[[#This Row],[Pre-leased space (Usable FA) (sf)]]-Table1[[#This Row],[Pre-sold (Usable FA) (sf)]]-Table1[[#This Row],[Self-use space (Usable FA) (sf)]],0)</f>
        <v>0</v>
      </c>
      <c r="AE271" s="82">
        <f>IF(Table1[[#This Row],[For Sale or For Lease?]]="Uncertain",Table1[[#This Row],[Office UFA (Net) (sf)]]-Table1[[#This Row],[Pre-leased space (Usable FA) (sf)]]-Table1[[#This Row],[Pre-sold (Usable FA) (sf)]]-Table1[[#This Row],[Self-use space (Usable FA) (sf)]],0)</f>
        <v>815627.79506249994</v>
      </c>
      <c r="AF271" s="86">
        <f>1-SUM(Table1[[#This Row],[Space available for lease (Usable FA) (sf)]:[Space available uncertain of use (Usable FA) (sf)]])/Table1[[#This Row],[Office UFA (Net) (sf)]]</f>
        <v>0</v>
      </c>
      <c r="AG271" s="79" t="s">
        <v>89</v>
      </c>
      <c r="AH271" s="84"/>
      <c r="AI271" s="79" t="s">
        <v>1351</v>
      </c>
      <c r="AJ271" s="83">
        <v>42670</v>
      </c>
      <c r="AK271" s="83">
        <v>42670</v>
      </c>
      <c r="AL271" s="85" t="s">
        <v>29</v>
      </c>
      <c r="AM271" s="85"/>
      <c r="AN271" s="79" t="s">
        <v>74</v>
      </c>
      <c r="AO271" s="77" t="s">
        <v>1068</v>
      </c>
      <c r="AP271" s="77" t="s">
        <v>1068</v>
      </c>
      <c r="AQ271" s="77" t="s">
        <v>1348</v>
      </c>
      <c r="AR271" s="79" t="s">
        <v>1834</v>
      </c>
      <c r="AS271" s="79" t="s">
        <v>2008</v>
      </c>
      <c r="AT271" s="80">
        <v>22.32199</v>
      </c>
      <c r="AU271" s="80">
        <v>114.20366</v>
      </c>
      <c r="AV271" s="77"/>
    </row>
    <row r="272" spans="1:48" ht="15" customHeight="1" x14ac:dyDescent="0.35">
      <c r="A272" s="77"/>
      <c r="B272" s="77" t="s">
        <v>1352</v>
      </c>
      <c r="C272" s="77" t="s">
        <v>1352</v>
      </c>
      <c r="D272" s="77"/>
      <c r="E272" s="79" t="s">
        <v>567</v>
      </c>
      <c r="F272" s="77" t="str">
        <f>VLOOKUP(Table1[[#This Row],[CBRE sub-markets]],Reference!$A$2:$B$31,2,FALSE)</f>
        <v>Kowloon East</v>
      </c>
      <c r="G272" s="77">
        <f>VLOOKUP(Table1[[#This Row],[CBRE sub-markets]],Reference!$A$2:$D$31,3,FALSE)</f>
        <v>7</v>
      </c>
      <c r="H272" s="79" t="str">
        <f>VLOOKUP(Table1[[#This Row],[CBRE sub-markets]],Reference!$A$2:$D$31,4,FALSE)</f>
        <v>Kowloon</v>
      </c>
      <c r="I272" s="80" t="s">
        <v>2321</v>
      </c>
      <c r="J272" s="80"/>
      <c r="K272" s="81" t="str">
        <f>IF(ISNUMBER(Table1[[#This Row],[Qtr]]),CONCATENATE(Table1[[#This Row],[Year]]," Q",Table1[[#This Row],[Qtr]]),CONCATENATE(Table1[[#This Row],[Year]],Table1[[#This Row],[Qtr]]))</f>
        <v>2034+</v>
      </c>
      <c r="L272" s="80" t="s">
        <v>20</v>
      </c>
      <c r="M272" s="80" t="s">
        <v>83</v>
      </c>
      <c r="N272" s="80">
        <v>1</v>
      </c>
      <c r="O272" s="80">
        <v>30</v>
      </c>
      <c r="P272" s="80">
        <v>30</v>
      </c>
      <c r="Q272" s="82">
        <f>Table1[[#This Row],[Office GFA (sf)]]/Table1[[#This Row],[No. of Storeys]]</f>
        <v>20841.780773333332</v>
      </c>
      <c r="R272" s="82">
        <f>Table1[[#This Row],[Floor Plate (GFA) (sf)]]*0.75</f>
        <v>15631.335579999999</v>
      </c>
      <c r="S272" s="80" t="str">
        <f t="shared" si="25"/>
        <v>Yes</v>
      </c>
      <c r="T272" s="82"/>
      <c r="U272" s="82"/>
      <c r="V272" s="82">
        <f>10960*5.3</f>
        <v>58088</v>
      </c>
      <c r="W272" s="82">
        <f>Table1[[#This Row],[Office GFA (sm)]]*10.7639</f>
        <v>625253.42319999996</v>
      </c>
      <c r="X272" s="82">
        <f t="shared" si="26"/>
        <v>43566</v>
      </c>
      <c r="Y272" s="82">
        <f t="shared" si="27"/>
        <v>468940.06739999994</v>
      </c>
      <c r="Z272" s="82"/>
      <c r="AA272" s="82"/>
      <c r="AB272" s="82"/>
      <c r="AC272" s="82">
        <f t="shared" si="28"/>
        <v>0</v>
      </c>
      <c r="AD272" s="82">
        <f>IF(Table1[[#This Row],[For Sale or For Lease?]]="For Sale",Table1[[#This Row],[Office UFA (Net) (sf)]]-Table1[[#This Row],[Pre-leased space (Usable FA) (sf)]]-Table1[[#This Row],[Pre-sold (Usable FA) (sf)]]-Table1[[#This Row],[Self-use space (Usable FA) (sf)]],0)</f>
        <v>0</v>
      </c>
      <c r="AE272" s="82">
        <f>IF(Table1[[#This Row],[For Sale or For Lease?]]="Uncertain",Table1[[#This Row],[Office UFA (Net) (sf)]]-Table1[[#This Row],[Pre-leased space (Usable FA) (sf)]]-Table1[[#This Row],[Pre-sold (Usable FA) (sf)]]-Table1[[#This Row],[Self-use space (Usable FA) (sf)]],0)</f>
        <v>468940.06739999994</v>
      </c>
      <c r="AF272" s="86">
        <f>1-SUM(Table1[[#This Row],[Space available for lease (Usable FA) (sf)]:[Space available uncertain of use (Usable FA) (sf)]])/Table1[[#This Row],[Office UFA (Net) (sf)]]</f>
        <v>0</v>
      </c>
      <c r="AG272" s="79" t="s">
        <v>89</v>
      </c>
      <c r="AH272" s="84"/>
      <c r="AI272" s="79" t="s">
        <v>1351</v>
      </c>
      <c r="AJ272" s="83">
        <v>42670</v>
      </c>
      <c r="AK272" s="83">
        <v>42670</v>
      </c>
      <c r="AL272" s="85" t="s">
        <v>29</v>
      </c>
      <c r="AM272" s="85"/>
      <c r="AN272" s="79" t="s">
        <v>74</v>
      </c>
      <c r="AO272" s="77" t="s">
        <v>1068</v>
      </c>
      <c r="AP272" s="77" t="s">
        <v>1068</v>
      </c>
      <c r="AQ272" s="77" t="s">
        <v>1348</v>
      </c>
      <c r="AR272" s="79" t="s">
        <v>1836</v>
      </c>
      <c r="AS272" s="79" t="s">
        <v>2009</v>
      </c>
      <c r="AT272" s="80">
        <v>22.321536999999999</v>
      </c>
      <c r="AU272" s="80">
        <v>114.2024852</v>
      </c>
      <c r="AV272" s="77" t="s">
        <v>2161</v>
      </c>
    </row>
    <row r="273" spans="1:48" ht="15" customHeight="1" x14ac:dyDescent="0.35">
      <c r="A273" s="77"/>
      <c r="B273" s="77" t="s">
        <v>1350</v>
      </c>
      <c r="C273" s="77" t="s">
        <v>1350</v>
      </c>
      <c r="D273" s="77"/>
      <c r="E273" s="79" t="s">
        <v>567</v>
      </c>
      <c r="F273" s="77" t="str">
        <f>VLOOKUP(Table1[[#This Row],[CBRE sub-markets]],Reference!$A$2:$B$31,2,FALSE)</f>
        <v>Kowloon East</v>
      </c>
      <c r="G273" s="77">
        <f>VLOOKUP(Table1[[#This Row],[CBRE sub-markets]],Reference!$A$2:$D$31,3,FALSE)</f>
        <v>7</v>
      </c>
      <c r="H273" s="79" t="str">
        <f>VLOOKUP(Table1[[#This Row],[CBRE sub-markets]],Reference!$A$2:$D$31,4,FALSE)</f>
        <v>Kowloon</v>
      </c>
      <c r="I273" s="80" t="s">
        <v>2321</v>
      </c>
      <c r="J273" s="80"/>
      <c r="K273" s="81" t="str">
        <f>IF(ISNUMBER(Table1[[#This Row],[Qtr]]),CONCATENATE(Table1[[#This Row],[Year]]," Q",Table1[[#This Row],[Qtr]]),CONCATENATE(Table1[[#This Row],[Year]],Table1[[#This Row],[Qtr]]))</f>
        <v>2034+</v>
      </c>
      <c r="L273" s="80" t="s">
        <v>20</v>
      </c>
      <c r="M273" s="80" t="s">
        <v>83</v>
      </c>
      <c r="N273" s="80">
        <v>1</v>
      </c>
      <c r="O273" s="80">
        <v>30</v>
      </c>
      <c r="P273" s="80">
        <v>30</v>
      </c>
      <c r="Q273" s="82">
        <f>Table1[[#This Row],[Office GFA (sf)]]/Table1[[#This Row],[No. of Storeys]]</f>
        <v>11923.172029999998</v>
      </c>
      <c r="R273" s="82">
        <f>Table1[[#This Row],[Floor Plate (GFA) (sf)]]*0.75</f>
        <v>8942.3790224999975</v>
      </c>
      <c r="S273" s="80" t="str">
        <f t="shared" si="25"/>
        <v>No</v>
      </c>
      <c r="T273" s="82"/>
      <c r="U273" s="82"/>
      <c r="V273" s="82">
        <f>6270*5.3</f>
        <v>33231</v>
      </c>
      <c r="W273" s="82">
        <f>Table1[[#This Row],[Office GFA (sm)]]*10.7639</f>
        <v>357695.16089999996</v>
      </c>
      <c r="X273" s="82">
        <f t="shared" si="26"/>
        <v>24923.25</v>
      </c>
      <c r="Y273" s="82">
        <f t="shared" si="27"/>
        <v>268271.37067499995</v>
      </c>
      <c r="Z273" s="82"/>
      <c r="AA273" s="82"/>
      <c r="AB273" s="82"/>
      <c r="AC273" s="82">
        <f t="shared" si="28"/>
        <v>0</v>
      </c>
      <c r="AD273" s="82">
        <f>IF(Table1[[#This Row],[For Sale or For Lease?]]="For Sale",Table1[[#This Row],[Office UFA (Net) (sf)]]-Table1[[#This Row],[Pre-leased space (Usable FA) (sf)]]-Table1[[#This Row],[Pre-sold (Usable FA) (sf)]]-Table1[[#This Row],[Self-use space (Usable FA) (sf)]],0)</f>
        <v>0</v>
      </c>
      <c r="AE273" s="82">
        <f>IF(Table1[[#This Row],[For Sale or For Lease?]]="Uncertain",Table1[[#This Row],[Office UFA (Net) (sf)]]-Table1[[#This Row],[Pre-leased space (Usable FA) (sf)]]-Table1[[#This Row],[Pre-sold (Usable FA) (sf)]]-Table1[[#This Row],[Self-use space (Usable FA) (sf)]],0)</f>
        <v>268271.37067499995</v>
      </c>
      <c r="AF273" s="86">
        <f>1-SUM(Table1[[#This Row],[Space available for lease (Usable FA) (sf)]:[Space available uncertain of use (Usable FA) (sf)]])/Table1[[#This Row],[Office UFA (Net) (sf)]]</f>
        <v>0</v>
      </c>
      <c r="AG273" s="79" t="s">
        <v>89</v>
      </c>
      <c r="AH273" s="84"/>
      <c r="AI273" s="79" t="s">
        <v>1351</v>
      </c>
      <c r="AJ273" s="83">
        <v>42670</v>
      </c>
      <c r="AK273" s="83">
        <v>42670</v>
      </c>
      <c r="AL273" s="85" t="s">
        <v>29</v>
      </c>
      <c r="AM273" s="85"/>
      <c r="AN273" s="79" t="s">
        <v>74</v>
      </c>
      <c r="AO273" s="77" t="s">
        <v>1068</v>
      </c>
      <c r="AP273" s="77" t="s">
        <v>1068</v>
      </c>
      <c r="AQ273" s="77" t="s">
        <v>1348</v>
      </c>
      <c r="AR273" s="79" t="s">
        <v>1838</v>
      </c>
      <c r="AS273" s="79" t="s">
        <v>2010</v>
      </c>
      <c r="AT273" s="80">
        <v>22.320756800000002</v>
      </c>
      <c r="AU273" s="80">
        <v>114.2033713</v>
      </c>
      <c r="AV273" s="77" t="s">
        <v>2160</v>
      </c>
    </row>
    <row r="274" spans="1:48" ht="15" customHeight="1" x14ac:dyDescent="0.35">
      <c r="A274" s="77"/>
      <c r="B274" s="77" t="s">
        <v>1349</v>
      </c>
      <c r="C274" s="77" t="s">
        <v>1349</v>
      </c>
      <c r="D274" s="77"/>
      <c r="E274" s="79" t="s">
        <v>567</v>
      </c>
      <c r="F274" s="77" t="str">
        <f>VLOOKUP(Table1[[#This Row],[CBRE sub-markets]],Reference!$A$2:$B$31,2,FALSE)</f>
        <v>Kowloon East</v>
      </c>
      <c r="G274" s="77">
        <f>VLOOKUP(Table1[[#This Row],[CBRE sub-markets]],Reference!$A$2:$D$31,3,FALSE)</f>
        <v>7</v>
      </c>
      <c r="H274" s="79" t="str">
        <f>VLOOKUP(Table1[[#This Row],[CBRE sub-markets]],Reference!$A$2:$D$31,4,FALSE)</f>
        <v>Kowloon</v>
      </c>
      <c r="I274" s="80" t="s">
        <v>2321</v>
      </c>
      <c r="J274" s="80"/>
      <c r="K274" s="81" t="str">
        <f>IF(ISNUMBER(Table1[[#This Row],[Qtr]]),CONCATENATE(Table1[[#This Row],[Year]]," Q",Table1[[#This Row],[Qtr]]),CONCATENATE(Table1[[#This Row],[Year]],Table1[[#This Row],[Qtr]]))</f>
        <v>2034+</v>
      </c>
      <c r="L274" s="80" t="s">
        <v>20</v>
      </c>
      <c r="M274" s="80" t="s">
        <v>83</v>
      </c>
      <c r="N274" s="80">
        <v>1</v>
      </c>
      <c r="O274" s="80">
        <v>30</v>
      </c>
      <c r="P274" s="80">
        <v>30</v>
      </c>
      <c r="Q274" s="82">
        <f>Table1[[#This Row],[Office GFA (sf)]]/Table1[[#This Row],[No. of Storeys]]</f>
        <v>16658.211640000001</v>
      </c>
      <c r="R274" s="82">
        <f>Table1[[#This Row],[Floor Plate (GFA) (sf)]]*0.75</f>
        <v>12493.658730000001</v>
      </c>
      <c r="S274" s="80" t="str">
        <f t="shared" si="25"/>
        <v>No</v>
      </c>
      <c r="T274" s="82"/>
      <c r="U274" s="82"/>
      <c r="V274" s="82">
        <f>8760*5.3</f>
        <v>46428</v>
      </c>
      <c r="W274" s="82">
        <f>Table1[[#This Row],[Office GFA (sm)]]*10.7639</f>
        <v>499746.3492</v>
      </c>
      <c r="X274" s="82">
        <f t="shared" si="26"/>
        <v>34821</v>
      </c>
      <c r="Y274" s="82">
        <f t="shared" si="27"/>
        <v>374809.76189999998</v>
      </c>
      <c r="Z274" s="82"/>
      <c r="AA274" s="82"/>
      <c r="AB274" s="82"/>
      <c r="AC274" s="82">
        <f t="shared" si="28"/>
        <v>0</v>
      </c>
      <c r="AD274" s="82">
        <f>IF(Table1[[#This Row],[For Sale or For Lease?]]="For Sale",Table1[[#This Row],[Office UFA (Net) (sf)]]-Table1[[#This Row],[Pre-leased space (Usable FA) (sf)]]-Table1[[#This Row],[Pre-sold (Usable FA) (sf)]]-Table1[[#This Row],[Self-use space (Usable FA) (sf)]],0)</f>
        <v>0</v>
      </c>
      <c r="AE274" s="82">
        <f>IF(Table1[[#This Row],[For Sale or For Lease?]]="Uncertain",Table1[[#This Row],[Office UFA (Net) (sf)]]-Table1[[#This Row],[Pre-leased space (Usable FA) (sf)]]-Table1[[#This Row],[Pre-sold (Usable FA) (sf)]]-Table1[[#This Row],[Self-use space (Usable FA) (sf)]],0)</f>
        <v>374809.76189999998</v>
      </c>
      <c r="AF274" s="86">
        <f>1-SUM(Table1[[#This Row],[Space available for lease (Usable FA) (sf)]:[Space available uncertain of use (Usable FA) (sf)]])/Table1[[#This Row],[Office UFA (Net) (sf)]]</f>
        <v>0</v>
      </c>
      <c r="AG274" s="79" t="s">
        <v>89</v>
      </c>
      <c r="AH274" s="84"/>
      <c r="AI274" s="79" t="s">
        <v>1351</v>
      </c>
      <c r="AJ274" s="83">
        <v>42670</v>
      </c>
      <c r="AK274" s="83">
        <v>42670</v>
      </c>
      <c r="AL274" s="85" t="s">
        <v>29</v>
      </c>
      <c r="AM274" s="85"/>
      <c r="AN274" s="79" t="s">
        <v>74</v>
      </c>
      <c r="AO274" s="77" t="s">
        <v>1068</v>
      </c>
      <c r="AP274" s="77" t="s">
        <v>1068</v>
      </c>
      <c r="AQ274" s="77" t="s">
        <v>1348</v>
      </c>
      <c r="AR274" s="79" t="s">
        <v>1837</v>
      </c>
      <c r="AS274" s="79" t="s">
        <v>2011</v>
      </c>
      <c r="AT274" s="80">
        <v>22.3200769</v>
      </c>
      <c r="AU274" s="80">
        <v>114.2040847</v>
      </c>
      <c r="AV274" s="77" t="s">
        <v>2159</v>
      </c>
    </row>
    <row r="275" spans="1:48" ht="15" customHeight="1" x14ac:dyDescent="0.35">
      <c r="A275" s="77"/>
      <c r="B275" s="77" t="s">
        <v>1347</v>
      </c>
      <c r="C275" s="77" t="s">
        <v>1347</v>
      </c>
      <c r="D275" s="77"/>
      <c r="E275" s="79" t="s">
        <v>567</v>
      </c>
      <c r="F275" s="77" t="str">
        <f>VLOOKUP(Table1[[#This Row],[CBRE sub-markets]],Reference!$A$2:$B$31,2,FALSE)</f>
        <v>Kowloon East</v>
      </c>
      <c r="G275" s="77">
        <f>VLOOKUP(Table1[[#This Row],[CBRE sub-markets]],Reference!$A$2:$D$31,3,FALSE)</f>
        <v>7</v>
      </c>
      <c r="H275" s="79" t="str">
        <f>VLOOKUP(Table1[[#This Row],[CBRE sub-markets]],Reference!$A$2:$D$31,4,FALSE)</f>
        <v>Kowloon</v>
      </c>
      <c r="I275" s="80" t="s">
        <v>2321</v>
      </c>
      <c r="J275" s="80"/>
      <c r="K275" s="81" t="str">
        <f>IF(ISNUMBER(Table1[[#This Row],[Qtr]]),CONCATENATE(Table1[[#This Row],[Year]]," Q",Table1[[#This Row],[Qtr]]),CONCATENATE(Table1[[#This Row],[Year]],Table1[[#This Row],[Qtr]]))</f>
        <v>2034+</v>
      </c>
      <c r="L275" s="80" t="s">
        <v>20</v>
      </c>
      <c r="M275" s="80" t="s">
        <v>83</v>
      </c>
      <c r="N275" s="80">
        <v>1</v>
      </c>
      <c r="O275" s="80">
        <v>30</v>
      </c>
      <c r="P275" s="80">
        <v>30</v>
      </c>
      <c r="Q275" s="82">
        <f>Table1[[#This Row],[Office GFA (sf)]]/Table1[[#This Row],[No. of Storeys]]</f>
        <v>11733.009796666667</v>
      </c>
      <c r="R275" s="82">
        <f>Table1[[#This Row],[Floor Plate (GFA) (sf)]]*0.75</f>
        <v>8799.7573475000008</v>
      </c>
      <c r="S275" s="80" t="str">
        <f t="shared" si="25"/>
        <v>No</v>
      </c>
      <c r="T275" s="82"/>
      <c r="U275" s="82"/>
      <c r="V275" s="82">
        <f>6170*5.3</f>
        <v>32701</v>
      </c>
      <c r="W275" s="82">
        <f>Table1[[#This Row],[Office GFA (sm)]]*10.7639</f>
        <v>351990.29389999999</v>
      </c>
      <c r="X275" s="82">
        <f t="shared" si="26"/>
        <v>24525.75</v>
      </c>
      <c r="Y275" s="82">
        <f t="shared" si="27"/>
        <v>263992.72042500001</v>
      </c>
      <c r="Z275" s="82"/>
      <c r="AA275" s="82"/>
      <c r="AB275" s="82"/>
      <c r="AC275" s="82">
        <f t="shared" si="28"/>
        <v>0</v>
      </c>
      <c r="AD275" s="82">
        <f>IF(Table1[[#This Row],[For Sale or For Lease?]]="For Sale",Table1[[#This Row],[Office UFA (Net) (sf)]]-Table1[[#This Row],[Pre-leased space (Usable FA) (sf)]]-Table1[[#This Row],[Pre-sold (Usable FA) (sf)]]-Table1[[#This Row],[Self-use space (Usable FA) (sf)]],0)</f>
        <v>0</v>
      </c>
      <c r="AE275" s="82">
        <f>IF(Table1[[#This Row],[For Sale or For Lease?]]="Uncertain",Table1[[#This Row],[Office UFA (Net) (sf)]]-Table1[[#This Row],[Pre-leased space (Usable FA) (sf)]]-Table1[[#This Row],[Pre-sold (Usable FA) (sf)]]-Table1[[#This Row],[Self-use space (Usable FA) (sf)]],0)</f>
        <v>263992.72042500001</v>
      </c>
      <c r="AF275" s="86">
        <f>1-SUM(Table1[[#This Row],[Space available for lease (Usable FA) (sf)]:[Space available uncertain of use (Usable FA) (sf)]])/Table1[[#This Row],[Office UFA (Net) (sf)]]</f>
        <v>0</v>
      </c>
      <c r="AG275" s="79" t="s">
        <v>89</v>
      </c>
      <c r="AH275" s="84"/>
      <c r="AI275" s="79" t="s">
        <v>1351</v>
      </c>
      <c r="AJ275" s="83">
        <v>42670</v>
      </c>
      <c r="AK275" s="83">
        <v>42670</v>
      </c>
      <c r="AL275" s="85" t="s">
        <v>29</v>
      </c>
      <c r="AM275" s="85"/>
      <c r="AN275" s="79" t="s">
        <v>74</v>
      </c>
      <c r="AO275" s="77" t="s">
        <v>1068</v>
      </c>
      <c r="AP275" s="77" t="s">
        <v>1068</v>
      </c>
      <c r="AQ275" s="77" t="s">
        <v>1348</v>
      </c>
      <c r="AR275" s="79" t="s">
        <v>1839</v>
      </c>
      <c r="AS275" s="79" t="s">
        <v>2012</v>
      </c>
      <c r="AT275" s="80">
        <v>22.319246499999998</v>
      </c>
      <c r="AU275" s="80">
        <v>114.20488159999999</v>
      </c>
      <c r="AV275" s="77" t="s">
        <v>2158</v>
      </c>
    </row>
    <row r="276" spans="1:48" ht="15" customHeight="1" x14ac:dyDescent="0.35">
      <c r="A276" s="77"/>
      <c r="B276" s="77" t="s">
        <v>1440</v>
      </c>
      <c r="C276" s="77" t="s">
        <v>1440</v>
      </c>
      <c r="D276" s="77"/>
      <c r="E276" s="79" t="s">
        <v>567</v>
      </c>
      <c r="F276" s="77" t="str">
        <f>VLOOKUP(Table1[[#This Row],[CBRE sub-markets]],Reference!$A$2:$B$31,2,FALSE)</f>
        <v>Kowloon East</v>
      </c>
      <c r="G276" s="77">
        <f>VLOOKUP(Table1[[#This Row],[CBRE sub-markets]],Reference!$A$2:$D$31,3,FALSE)</f>
        <v>7</v>
      </c>
      <c r="H276" s="79" t="str">
        <f>VLOOKUP(Table1[[#This Row],[CBRE sub-markets]],Reference!$A$2:$D$31,4,FALSE)</f>
        <v>Kowloon</v>
      </c>
      <c r="I276" s="80" t="s">
        <v>2321</v>
      </c>
      <c r="J276" s="80"/>
      <c r="K276" s="81" t="str">
        <f>IF(ISNUMBER(Table1[[#This Row],[Qtr]]),CONCATENATE(Table1[[#This Row],[Year]]," Q",Table1[[#This Row],[Qtr]]),CONCATENATE(Table1[[#This Row],[Year]],Table1[[#This Row],[Qtr]]))</f>
        <v>2034+</v>
      </c>
      <c r="L276" s="80" t="s">
        <v>20</v>
      </c>
      <c r="M276" s="80" t="s">
        <v>83</v>
      </c>
      <c r="N276" s="80">
        <v>1</v>
      </c>
      <c r="O276" s="80">
        <v>25</v>
      </c>
      <c r="P276" s="80">
        <v>15</v>
      </c>
      <c r="Q276" s="82">
        <f>Table1[[#This Row],[Office GFA (sf)]]/Table1[[#This Row],[No. of Storeys for Office]]</f>
        <v>59262.278399999996</v>
      </c>
      <c r="R276" s="82">
        <f>Table1[[#This Row],[Floor Plate (GFA) (sf)]]*0.75</f>
        <v>44446.708799999993</v>
      </c>
      <c r="S276" s="80" t="str">
        <f t="shared" si="25"/>
        <v>Yes</v>
      </c>
      <c r="T276" s="82">
        <v>229400</v>
      </c>
      <c r="U276" s="82">
        <f>+Table1[[#This Row],[Total GFA (sm)]]*10.7639</f>
        <v>2469238.6599999997</v>
      </c>
      <c r="V276" s="82">
        <f>Table1[[#This Row],[Total GFA (sm)]]*0.6*0.6</f>
        <v>82584</v>
      </c>
      <c r="W276" s="82">
        <f>V276*10.764</f>
        <v>888934.17599999998</v>
      </c>
      <c r="X276" s="82">
        <f t="shared" si="26"/>
        <v>61938</v>
      </c>
      <c r="Y276" s="82">
        <f t="shared" si="27"/>
        <v>666700.63199999998</v>
      </c>
      <c r="Z276" s="82"/>
      <c r="AA276" s="82"/>
      <c r="AB276" s="82"/>
      <c r="AC276" s="82">
        <f t="shared" si="28"/>
        <v>0</v>
      </c>
      <c r="AD276" s="82">
        <f>IF(Table1[[#This Row],[For Sale or For Lease?]]="For Sale",Table1[[#This Row],[Office UFA (Net) (sf)]]-Table1[[#This Row],[Pre-leased space (Usable FA) (sf)]]-Table1[[#This Row],[Pre-sold (Usable FA) (sf)]]-Table1[[#This Row],[Self-use space (Usable FA) (sf)]],0)</f>
        <v>0</v>
      </c>
      <c r="AE276" s="82">
        <f>IF(Table1[[#This Row],[For Sale or For Lease?]]="Uncertain",Table1[[#This Row],[Office UFA (Net) (sf)]]-Table1[[#This Row],[Pre-leased space (Usable FA) (sf)]]-Table1[[#This Row],[Pre-sold (Usable FA) (sf)]]-Table1[[#This Row],[Self-use space (Usable FA) (sf)]],0)</f>
        <v>666700.63199999998</v>
      </c>
      <c r="AF276" s="86">
        <f>1-SUM(Table1[[#This Row],[Space available for lease (Usable FA) (sf)]:[Space available uncertain of use (Usable FA) (sf)]])/Table1[[#This Row],[Office UFA (Net) (sf)]]</f>
        <v>0</v>
      </c>
      <c r="AG276" s="79" t="s">
        <v>89</v>
      </c>
      <c r="AH276" s="84"/>
      <c r="AI276" s="79" t="s">
        <v>1441</v>
      </c>
      <c r="AJ276" s="83">
        <v>42309</v>
      </c>
      <c r="AK276" s="83">
        <v>43026</v>
      </c>
      <c r="AL276" s="85" t="s">
        <v>29</v>
      </c>
      <c r="AM276" s="85"/>
      <c r="AN276" s="79" t="s">
        <v>74</v>
      </c>
      <c r="AO276" s="77" t="s">
        <v>1068</v>
      </c>
      <c r="AP276" s="77" t="s">
        <v>1068</v>
      </c>
      <c r="AQ276" s="77" t="s">
        <v>1691</v>
      </c>
      <c r="AR276" s="79" t="s">
        <v>1791</v>
      </c>
      <c r="AS276" s="79" t="s">
        <v>2045</v>
      </c>
      <c r="AT276" s="80">
        <v>22.307749999999999</v>
      </c>
      <c r="AU276" s="80">
        <v>114.21339999999999</v>
      </c>
      <c r="AV276" s="77"/>
    </row>
    <row r="277" spans="1:48" ht="15" customHeight="1" x14ac:dyDescent="0.35">
      <c r="A277" s="77"/>
      <c r="B277" s="77" t="s">
        <v>1252</v>
      </c>
      <c r="C277" s="77" t="s">
        <v>1252</v>
      </c>
      <c r="D277" s="77"/>
      <c r="E277" s="79" t="s">
        <v>171</v>
      </c>
      <c r="F277" s="77" t="str">
        <f>VLOOKUP(Table1[[#This Row],[CBRE sub-markets]],Reference!$A$2:$B$31,2,FALSE)</f>
        <v>Kowloon East</v>
      </c>
      <c r="G277" s="77">
        <f>VLOOKUP(Table1[[#This Row],[CBRE sub-markets]],Reference!$A$2:$D$31,3,FALSE)</f>
        <v>7</v>
      </c>
      <c r="H277" s="79" t="str">
        <f>VLOOKUP(Table1[[#This Row],[CBRE sub-markets]],Reference!$A$2:$D$31,4,FALSE)</f>
        <v>Kowloon</v>
      </c>
      <c r="I277" s="80" t="s">
        <v>2321</v>
      </c>
      <c r="J277" s="80"/>
      <c r="K277" s="81" t="str">
        <f>IF(ISNUMBER(Table1[[#This Row],[Qtr]]),CONCATENATE(Table1[[#This Row],[Year]]," Q",Table1[[#This Row],[Qtr]]),CONCATENATE(Table1[[#This Row],[Year]],Table1[[#This Row],[Qtr]]))</f>
        <v>2034+</v>
      </c>
      <c r="L277" s="80" t="s">
        <v>20</v>
      </c>
      <c r="M277" s="80" t="s">
        <v>83</v>
      </c>
      <c r="N277" s="80">
        <v>1</v>
      </c>
      <c r="O277" s="80">
        <v>20</v>
      </c>
      <c r="P277" s="80">
        <v>20</v>
      </c>
      <c r="Q277" s="82">
        <f>Table1[[#This Row],[Office GFA (sf)]]/Table1[[#This Row],[No. of Storeys]]</f>
        <v>6200.0064000000002</v>
      </c>
      <c r="R277" s="82">
        <f>Table1[[#This Row],[Office UFA (Net) (sf)]]/Table1[[#This Row],[No. of Storeys for Office]]</f>
        <v>4650.0047999999997</v>
      </c>
      <c r="S277" s="80" t="str">
        <f t="shared" si="25"/>
        <v>No</v>
      </c>
      <c r="T277" s="82"/>
      <c r="U277" s="82"/>
      <c r="V277" s="82">
        <f>960*12</f>
        <v>11520</v>
      </c>
      <c r="W277" s="82">
        <f>V277*10.7639</f>
        <v>124000.128</v>
      </c>
      <c r="X277" s="82">
        <f t="shared" si="26"/>
        <v>8640</v>
      </c>
      <c r="Y277" s="82">
        <f t="shared" si="27"/>
        <v>93000.09599999999</v>
      </c>
      <c r="Z277" s="82"/>
      <c r="AA277" s="82"/>
      <c r="AB277" s="82"/>
      <c r="AC277" s="82">
        <f t="shared" si="28"/>
        <v>0</v>
      </c>
      <c r="AD277" s="82">
        <f>IF(Table1[[#This Row],[For Sale or For Lease?]]="For Sale",Table1[[#This Row],[Office UFA (Net) (sf)]]-Table1[[#This Row],[Pre-leased space (Usable FA) (sf)]]-Table1[[#This Row],[Pre-sold (Usable FA) (sf)]]-Table1[[#This Row],[Self-use space (Usable FA) (sf)]],0)</f>
        <v>0</v>
      </c>
      <c r="AE277" s="82">
        <f>IF(Table1[[#This Row],[For Sale or For Lease?]]="Uncertain",Table1[[#This Row],[Office UFA (Net) (sf)]]-Table1[[#This Row],[Pre-leased space (Usable FA) (sf)]]-Table1[[#This Row],[Pre-sold (Usable FA) (sf)]]-Table1[[#This Row],[Self-use space (Usable FA) (sf)]],0)</f>
        <v>93000.09599999999</v>
      </c>
      <c r="AF277" s="86">
        <f>1-SUM(Table1[[#This Row],[Space available for lease (Usable FA) (sf)]:[Space available uncertain of use (Usable FA) (sf)]])/Table1[[#This Row],[Office UFA (Net) (sf)]]</f>
        <v>0</v>
      </c>
      <c r="AG277" s="79" t="s">
        <v>89</v>
      </c>
      <c r="AH277" s="84"/>
      <c r="AI277" s="79"/>
      <c r="AJ277" s="83"/>
      <c r="AK277" s="83">
        <v>42433</v>
      </c>
      <c r="AL277" s="85" t="s">
        <v>32</v>
      </c>
      <c r="AM277" s="85"/>
      <c r="AN277" s="79" t="s">
        <v>74</v>
      </c>
      <c r="AO277" s="77" t="s">
        <v>1068</v>
      </c>
      <c r="AP277" s="77" t="s">
        <v>1068</v>
      </c>
      <c r="AQ277" s="77"/>
      <c r="AR277" s="79" t="s">
        <v>1841</v>
      </c>
      <c r="AS277" s="79" t="s">
        <v>2058</v>
      </c>
      <c r="AT277" s="80">
        <v>22.321809999999999</v>
      </c>
      <c r="AU277" s="80">
        <v>114.20559</v>
      </c>
      <c r="AV277" s="77" t="s">
        <v>1980</v>
      </c>
    </row>
    <row r="278" spans="1:48" ht="15" hidden="1" customHeight="1" x14ac:dyDescent="0.35">
      <c r="A278" s="77"/>
      <c r="B278" s="77" t="s">
        <v>453</v>
      </c>
      <c r="C278" s="77" t="s">
        <v>1250</v>
      </c>
      <c r="D278" s="77" t="s">
        <v>454</v>
      </c>
      <c r="E278" s="79" t="s">
        <v>50</v>
      </c>
      <c r="F278" s="77" t="str">
        <f>VLOOKUP(Table1[[#This Row],[CBRE sub-markets]],Reference!$A$2:$B$31,2,FALSE)</f>
        <v>Kowloon East</v>
      </c>
      <c r="G278" s="77">
        <f>VLOOKUP(Table1[[#This Row],[CBRE sub-markets]],Reference!$A$2:$D$31,3,FALSE)</f>
        <v>7</v>
      </c>
      <c r="H278" s="79" t="str">
        <f>VLOOKUP(Table1[[#This Row],[CBRE sub-markets]],Reference!$A$2:$D$31,4,FALSE)</f>
        <v>Kowloon</v>
      </c>
      <c r="I278" s="80" t="s">
        <v>2321</v>
      </c>
      <c r="J278" s="80"/>
      <c r="K278" s="81" t="str">
        <f>IF(ISNUMBER(Table1[[#This Row],[Qtr]]),CONCATENATE(Table1[[#This Row],[Year]]," Q",Table1[[#This Row],[Qtr]]),CONCATENATE(Table1[[#This Row],[Year]],Table1[[#This Row],[Qtr]]))</f>
        <v>2034+</v>
      </c>
      <c r="L278" s="80" t="s">
        <v>20</v>
      </c>
      <c r="M278" s="80" t="s">
        <v>86</v>
      </c>
      <c r="N278" s="80">
        <v>2</v>
      </c>
      <c r="O278" s="80">
        <v>30</v>
      </c>
      <c r="P278" s="80">
        <v>30</v>
      </c>
      <c r="Q278" s="82">
        <f>Table1[[#This Row],[Office GFA (sf)]]/Table1[[#This Row],[No. of Storeys]]/Table1[[#This Row],[No. of Blocks]]</f>
        <v>20763.755999999998</v>
      </c>
      <c r="R278" s="82">
        <f>Table1[[#This Row],[Office UFA (Net) (sf)]]/Table1[[#This Row],[No. of Storeys for Office]]/Table1[[#This Row],[No. of Blocks]]</f>
        <v>15572.816999999999</v>
      </c>
      <c r="S278" s="80" t="str">
        <f t="shared" si="25"/>
        <v>Yes</v>
      </c>
      <c r="T278" s="82"/>
      <c r="U278" s="82"/>
      <c r="V278" s="82">
        <f>9645*12</f>
        <v>115740</v>
      </c>
      <c r="W278" s="82">
        <f>V278*10.764</f>
        <v>1245825.3599999999</v>
      </c>
      <c r="X278" s="82">
        <f t="shared" si="26"/>
        <v>86805</v>
      </c>
      <c r="Y278" s="82">
        <f t="shared" si="27"/>
        <v>934369.0199999999</v>
      </c>
      <c r="Z278" s="82"/>
      <c r="AA278" s="82"/>
      <c r="AB278" s="82"/>
      <c r="AC278" s="82">
        <f t="shared" si="28"/>
        <v>0</v>
      </c>
      <c r="AD278" s="82">
        <f>IF(Table1[[#This Row],[For Sale or For Lease?]]="For Sale",Table1[[#This Row],[Office UFA (Net) (sf)]]-Table1[[#This Row],[Pre-leased space (Usable FA) (sf)]]-Table1[[#This Row],[Pre-sold (Usable FA) (sf)]]-Table1[[#This Row],[Self-use space (Usable FA) (sf)]],0)</f>
        <v>0</v>
      </c>
      <c r="AE278" s="82">
        <f>IF(Table1[[#This Row],[For Sale or For Lease?]]="Uncertain",Table1[[#This Row],[Office UFA (Net) (sf)]]-Table1[[#This Row],[Pre-leased space (Usable FA) (sf)]]-Table1[[#This Row],[Pre-sold (Usable FA) (sf)]]-Table1[[#This Row],[Self-use space (Usable FA) (sf)]],0)</f>
        <v>934369.0199999999</v>
      </c>
      <c r="AF278" s="86">
        <f>1-SUM(Table1[[#This Row],[Space available for lease (Usable FA) (sf)]:[Space available uncertain of use (Usable FA) (sf)]])/Table1[[#This Row],[Office UFA (Net) (sf)]]</f>
        <v>0</v>
      </c>
      <c r="AG278" s="79" t="s">
        <v>89</v>
      </c>
      <c r="AH278" s="84"/>
      <c r="AI278" s="79" t="s">
        <v>1291</v>
      </c>
      <c r="AJ278" s="83"/>
      <c r="AK278" s="83">
        <v>42433</v>
      </c>
      <c r="AL278" s="85" t="s">
        <v>32</v>
      </c>
      <c r="AM278" s="85"/>
      <c r="AN278" s="79" t="s">
        <v>74</v>
      </c>
      <c r="AO278" s="77" t="s">
        <v>1068</v>
      </c>
      <c r="AP278" s="77" t="s">
        <v>1068</v>
      </c>
      <c r="AQ278" s="107" t="s">
        <v>2483</v>
      </c>
      <c r="AR278" s="79" t="s">
        <v>1833</v>
      </c>
      <c r="AS278" s="79" t="s">
        <v>2037</v>
      </c>
      <c r="AT278" s="80">
        <v>22.309460000000001</v>
      </c>
      <c r="AU278" s="80">
        <v>114.22821999999999</v>
      </c>
      <c r="AV278" s="77"/>
    </row>
    <row r="279" spans="1:48" ht="15" customHeight="1" x14ac:dyDescent="0.35">
      <c r="A279" s="77"/>
      <c r="B279" s="77" t="s">
        <v>2317</v>
      </c>
      <c r="C279" s="77" t="s">
        <v>2316</v>
      </c>
      <c r="D279" s="77"/>
      <c r="E279" s="79" t="s">
        <v>50</v>
      </c>
      <c r="F279" s="77" t="str">
        <f>VLOOKUP(Table1[[#This Row],[CBRE sub-markets]],Reference!$A$2:$B$31,2,FALSE)</f>
        <v>Kowloon East</v>
      </c>
      <c r="G279" s="77">
        <f>VLOOKUP(Table1[[#This Row],[CBRE sub-markets]],Reference!$A$2:$D$31,3,FALSE)</f>
        <v>7</v>
      </c>
      <c r="H279" s="79" t="str">
        <f>VLOOKUP(Table1[[#This Row],[CBRE sub-markets]],Reference!$A$2:$D$31,4,FALSE)</f>
        <v>Kowloon</v>
      </c>
      <c r="I279" s="80" t="s">
        <v>2321</v>
      </c>
      <c r="J279" s="80"/>
      <c r="K279" s="81" t="str">
        <f>IF(ISNUMBER(Table1[[#This Row],[Qtr]]),CONCATENATE(Table1[[#This Row],[Year]]," Q",Table1[[#This Row],[Qtr]]),CONCATENATE(Table1[[#This Row],[Year]],Table1[[#This Row],[Qtr]]))</f>
        <v>2034+</v>
      </c>
      <c r="L279" s="80" t="s">
        <v>20</v>
      </c>
      <c r="M279" s="80" t="s">
        <v>83</v>
      </c>
      <c r="N279" s="80">
        <v>1</v>
      </c>
      <c r="O279" s="80">
        <v>21</v>
      </c>
      <c r="P279" s="80">
        <v>17</v>
      </c>
      <c r="Q279" s="82">
        <f>Table1[[#This Row],[Office GFA (sf)]]/Table1[[#This Row],[No. of Storeys for Office]]</f>
        <v>12301.238188235293</v>
      </c>
      <c r="R279" s="82">
        <f>Table1[[#This Row],[Office UFA (Net) (sf)]]/Table1[[#This Row],[No. of Storeys for Office]]</f>
        <v>9225.9286411764697</v>
      </c>
      <c r="S279" s="80" t="str">
        <f t="shared" si="25"/>
        <v>No</v>
      </c>
      <c r="T279" s="82">
        <v>23028</v>
      </c>
      <c r="U279" s="82">
        <f>+Table1[[#This Row],[Total GFA (sm)]]*10.7639</f>
        <v>247871.08919999999</v>
      </c>
      <c r="V279" s="82">
        <v>19428</v>
      </c>
      <c r="W279" s="82">
        <f>+Table1[[#This Row],[Office GFA (sm)]]*10.7639</f>
        <v>209121.04919999998</v>
      </c>
      <c r="X279" s="82">
        <f>+Table1[[#This Row],[Office GFA (sm)]]*0.75</f>
        <v>14571</v>
      </c>
      <c r="Y279" s="82">
        <f>W279*0.75</f>
        <v>156840.78689999998</v>
      </c>
      <c r="Z279" s="82"/>
      <c r="AA279" s="82"/>
      <c r="AB279" s="82"/>
      <c r="AC279" s="82">
        <f t="shared" si="28"/>
        <v>156840.78689999998</v>
      </c>
      <c r="AD279" s="82">
        <f>IF(Table1[[#This Row],[For Sale or For Lease?]]="For Sale",Table1[[#This Row],[Office UFA (Net) (sf)]]-Table1[[#This Row],[Pre-leased space (Usable FA) (sf)]]-Table1[[#This Row],[Pre-sold (Usable FA) (sf)]]-Table1[[#This Row],[Self-use space (Usable FA) (sf)]],0)</f>
        <v>0</v>
      </c>
      <c r="AE279" s="82">
        <f>IF(Table1[[#This Row],[For Sale or For Lease?]]="Uncertain",Table1[[#This Row],[Office UFA (Net) (sf)]]-Table1[[#This Row],[Pre-leased space (Usable FA) (sf)]]-Table1[[#This Row],[Pre-sold (Usable FA) (sf)]]-Table1[[#This Row],[Self-use space (Usable FA) (sf)]],0)</f>
        <v>0</v>
      </c>
      <c r="AF279" s="86">
        <f>1-SUM(Table1[[#This Row],[Space available for lease (Usable FA) (sf)]:[Space available uncertain of use (Usable FA) (sf)]])/Table1[[#This Row],[Office UFA (Net) (sf)]]</f>
        <v>0</v>
      </c>
      <c r="AG279" s="79" t="s">
        <v>89</v>
      </c>
      <c r="AH279" s="84"/>
      <c r="AI279" s="79" t="s">
        <v>2318</v>
      </c>
      <c r="AJ279" s="83">
        <v>45315</v>
      </c>
      <c r="AK279" s="83">
        <v>45315</v>
      </c>
      <c r="AL279" s="85" t="s">
        <v>29</v>
      </c>
      <c r="AM279" s="85"/>
      <c r="AN279" s="79" t="s">
        <v>73</v>
      </c>
      <c r="AO279" s="77" t="s">
        <v>705</v>
      </c>
      <c r="AP279" s="77" t="s">
        <v>81</v>
      </c>
      <c r="AQ279" s="77" t="s">
        <v>2319</v>
      </c>
      <c r="AR279" s="79" t="s">
        <v>2410</v>
      </c>
      <c r="AS279" s="79"/>
      <c r="AT279" s="80">
        <v>22.3137950434453</v>
      </c>
      <c r="AU279" s="80">
        <v>114.21667832008301</v>
      </c>
      <c r="AV279" s="77" t="s">
        <v>2320</v>
      </c>
    </row>
    <row r="280" spans="1:48" ht="15" customHeight="1" x14ac:dyDescent="0.35">
      <c r="A280" s="77"/>
      <c r="B280" s="77" t="s">
        <v>1303</v>
      </c>
      <c r="C280" s="77" t="s">
        <v>1266</v>
      </c>
      <c r="D280" s="77" t="s">
        <v>731</v>
      </c>
      <c r="E280" s="79" t="s">
        <v>730</v>
      </c>
      <c r="F280" s="77" t="str">
        <f>VLOOKUP(Table1[[#This Row],[CBRE sub-markets]],Reference!$A$2:$B$31,2,FALSE)</f>
        <v>Kowloon Others</v>
      </c>
      <c r="G280" s="77">
        <f>VLOOKUP(Table1[[#This Row],[CBRE sub-markets]],Reference!$A$2:$D$31,3,FALSE)</f>
        <v>8</v>
      </c>
      <c r="H280" s="79" t="str">
        <f>VLOOKUP(Table1[[#This Row],[CBRE sub-markets]],Reference!$A$2:$D$31,4,FALSE)</f>
        <v>Kowloon</v>
      </c>
      <c r="I280" s="80" t="s">
        <v>2321</v>
      </c>
      <c r="J280" s="80"/>
      <c r="K280" s="81" t="str">
        <f>IF(ISNUMBER(Table1[[#This Row],[Qtr]]),CONCATENATE(Table1[[#This Row],[Year]]," Q",Table1[[#This Row],[Qtr]]),CONCATENATE(Table1[[#This Row],[Year]],Table1[[#This Row],[Qtr]]))</f>
        <v>2034+</v>
      </c>
      <c r="L280" s="80" t="s">
        <v>20</v>
      </c>
      <c r="M280" s="80" t="s">
        <v>83</v>
      </c>
      <c r="N280" s="80">
        <v>1</v>
      </c>
      <c r="O280" s="80">
        <v>25</v>
      </c>
      <c r="P280" s="80">
        <v>25</v>
      </c>
      <c r="Q280" s="82">
        <f>1273*9*10.764/Table1[[#This Row],[No. of Storeys]]</f>
        <v>4932.9259199999997</v>
      </c>
      <c r="R280" s="82">
        <f>Table1[[#This Row],[Floor Plate (GFA) (sf)]]*0.75</f>
        <v>3699.6944399999998</v>
      </c>
      <c r="S280" s="80" t="str">
        <f t="shared" si="25"/>
        <v>No</v>
      </c>
      <c r="T280" s="82"/>
      <c r="U280" s="82"/>
      <c r="V280" s="82">
        <f>1273*9-4500</f>
        <v>6957</v>
      </c>
      <c r="W280" s="82">
        <f>V280*10.764</f>
        <v>74885.148000000001</v>
      </c>
      <c r="X280" s="82">
        <f>V280*0.75</f>
        <v>5217.75</v>
      </c>
      <c r="Y280" s="82">
        <f>W280*0.75</f>
        <v>56163.861000000004</v>
      </c>
      <c r="Z280" s="82"/>
      <c r="AA280" s="82"/>
      <c r="AB280" s="82"/>
      <c r="AC280" s="82">
        <f t="shared" si="28"/>
        <v>0</v>
      </c>
      <c r="AD280" s="82">
        <f>IF(Table1[[#This Row],[For Sale or For Lease?]]="For Sale",Table1[[#This Row],[Office UFA (Net) (sf)]]-Table1[[#This Row],[Pre-leased space (Usable FA) (sf)]]-Table1[[#This Row],[Pre-sold (Usable FA) (sf)]]-Table1[[#This Row],[Self-use space (Usable FA) (sf)]],0)</f>
        <v>0</v>
      </c>
      <c r="AE280" s="82">
        <f>IF(Table1[[#This Row],[For Sale or For Lease?]]="Uncertain",Table1[[#This Row],[Office UFA (Net) (sf)]]-Table1[[#This Row],[Pre-leased space (Usable FA) (sf)]]-Table1[[#This Row],[Pre-sold (Usable FA) (sf)]]-Table1[[#This Row],[Self-use space (Usable FA) (sf)]],0)</f>
        <v>56163.861000000004</v>
      </c>
      <c r="AF280" s="86">
        <f>1-SUM(Table1[[#This Row],[Space available for lease (Usable FA) (sf)]:[Space available uncertain of use (Usable FA) (sf)]])/Table1[[#This Row],[Office UFA (Net) (sf)]]</f>
        <v>0</v>
      </c>
      <c r="AG280" s="79" t="s">
        <v>89</v>
      </c>
      <c r="AH280" s="84"/>
      <c r="AI280" s="79" t="s">
        <v>1304</v>
      </c>
      <c r="AJ280" s="83"/>
      <c r="AK280" s="83">
        <v>42436</v>
      </c>
      <c r="AL280" s="85" t="s">
        <v>30</v>
      </c>
      <c r="AM280" s="85"/>
      <c r="AN280" s="79" t="s">
        <v>74</v>
      </c>
      <c r="AO280" s="77" t="s">
        <v>1068</v>
      </c>
      <c r="AP280" s="77" t="s">
        <v>1068</v>
      </c>
      <c r="AQ280" s="77" t="s">
        <v>1319</v>
      </c>
      <c r="AR280" s="79" t="s">
        <v>1842</v>
      </c>
      <c r="AS280" s="79" t="s">
        <v>1992</v>
      </c>
      <c r="AT280" s="80">
        <v>22.318560000000002</v>
      </c>
      <c r="AU280" s="80">
        <v>114.16704</v>
      </c>
      <c r="AV280" s="77"/>
    </row>
    <row r="281" spans="1:48" ht="15" customHeight="1" x14ac:dyDescent="0.35">
      <c r="A281" s="77"/>
      <c r="B281" s="77" t="s">
        <v>1556</v>
      </c>
      <c r="C281" s="77" t="s">
        <v>1557</v>
      </c>
      <c r="D281" s="77"/>
      <c r="E281" s="79" t="s">
        <v>1558</v>
      </c>
      <c r="F281" s="77" t="str">
        <f>VLOOKUP(Table1[[#This Row],[CBRE sub-markets]],Reference!$A$2:$B$31,2,FALSE)</f>
        <v>New Territories</v>
      </c>
      <c r="G281" s="77">
        <f>VLOOKUP(Table1[[#This Row],[CBRE sub-markets]],Reference!$A$2:$D$31,3,FALSE)</f>
        <v>9</v>
      </c>
      <c r="H281" s="79" t="str">
        <f>VLOOKUP(Table1[[#This Row],[CBRE sub-markets]],Reference!$A$2:$D$31,4,FALSE)</f>
        <v>New Territories</v>
      </c>
      <c r="I281" s="80" t="s">
        <v>2321</v>
      </c>
      <c r="J281" s="80"/>
      <c r="K281" s="81" t="str">
        <f>IF(ISNUMBER(Table1[[#This Row],[Qtr]]),CONCATENATE(Table1[[#This Row],[Year]]," Q",Table1[[#This Row],[Qtr]]),CONCATENATE(Table1[[#This Row],[Year]],Table1[[#This Row],[Qtr]]))</f>
        <v>2034+</v>
      </c>
      <c r="L281" s="80" t="s">
        <v>20</v>
      </c>
      <c r="M281" s="80" t="s">
        <v>83</v>
      </c>
      <c r="N281" s="80"/>
      <c r="O281" s="80"/>
      <c r="P281" s="80"/>
      <c r="Q281" s="82"/>
      <c r="R281" s="82"/>
      <c r="S281" s="80" t="str">
        <f t="shared" si="25"/>
        <v>Unknown</v>
      </c>
      <c r="T281" s="82"/>
      <c r="U281" s="82"/>
      <c r="V281" s="82">
        <f>Table1[[#This Row],[Office UFA (Net) (sf)]]/10.7639</f>
        <v>3000306.5803286913</v>
      </c>
      <c r="W281" s="82">
        <v>43060000</v>
      </c>
      <c r="X281" s="82">
        <f>Table1[[#This Row],[Office GFA (sm)]]*0.75</f>
        <v>2250229.9352465183</v>
      </c>
      <c r="Y281" s="82">
        <f>Table1[[#This Row],[Office GFA (sf)]]*0.75</f>
        <v>32295000</v>
      </c>
      <c r="Z281" s="82"/>
      <c r="AA281" s="82"/>
      <c r="AB281" s="82"/>
      <c r="AC281" s="82">
        <f t="shared" si="28"/>
        <v>0</v>
      </c>
      <c r="AD281" s="82">
        <f>IF(Table1[[#This Row],[For Sale or For Lease?]]="For Sale",Table1[[#This Row],[Office UFA (Net) (sf)]]-Table1[[#This Row],[Pre-leased space (Usable FA) (sf)]]-Table1[[#This Row],[Pre-sold (Usable FA) (sf)]]-Table1[[#This Row],[Self-use space (Usable FA) (sf)]],0)</f>
        <v>0</v>
      </c>
      <c r="AE281" s="82">
        <f>IF(Table1[[#This Row],[For Sale or For Lease?]]="Uncertain",Table1[[#This Row],[Office UFA (Net) (sf)]]-Table1[[#This Row],[Pre-leased space (Usable FA) (sf)]]-Table1[[#This Row],[Pre-sold (Usable FA) (sf)]]-Table1[[#This Row],[Self-use space (Usable FA) (sf)]],0)</f>
        <v>32295000</v>
      </c>
      <c r="AF281" s="86">
        <f>1-SUM(Table1[[#This Row],[Space available for lease (Usable FA) (sf)]:[Space available uncertain of use (Usable FA) (sf)]])/Table1[[#This Row],[Office UFA (Net) (sf)]]</f>
        <v>0</v>
      </c>
      <c r="AG281" s="79" t="s">
        <v>89</v>
      </c>
      <c r="AH281" s="84"/>
      <c r="AI281" s="79" t="s">
        <v>568</v>
      </c>
      <c r="AJ281" s="83">
        <v>43402</v>
      </c>
      <c r="AK281" s="83">
        <v>43402</v>
      </c>
      <c r="AL281" s="85" t="s">
        <v>29</v>
      </c>
      <c r="AM281" s="85"/>
      <c r="AN281" s="79" t="s">
        <v>74</v>
      </c>
      <c r="AO281" s="77" t="s">
        <v>1068</v>
      </c>
      <c r="AP281" s="77" t="s">
        <v>1068</v>
      </c>
      <c r="AQ281" s="77"/>
      <c r="AR281" s="79" t="s">
        <v>1843</v>
      </c>
      <c r="AS281" s="79"/>
      <c r="AT281" s="80">
        <v>22.296099999999999</v>
      </c>
      <c r="AU281" s="80">
        <v>114.07047</v>
      </c>
      <c r="AV281" s="77" t="s">
        <v>2144</v>
      </c>
    </row>
    <row r="282" spans="1:48" ht="15" customHeight="1" x14ac:dyDescent="0.35">
      <c r="A282" s="77"/>
      <c r="B282" s="77" t="s">
        <v>1546</v>
      </c>
      <c r="C282" s="77"/>
      <c r="D282" s="77"/>
      <c r="E282" s="79" t="s">
        <v>18</v>
      </c>
      <c r="F282" s="77" t="str">
        <f>VLOOKUP(Table1[[#This Row],[CBRE sub-markets]],Reference!$A$2:$B$31,2,FALSE)</f>
        <v>New Territories</v>
      </c>
      <c r="G282" s="77">
        <f>VLOOKUP(Table1[[#This Row],[CBRE sub-markets]],Reference!$A$2:$D$31,3,FALSE)</f>
        <v>9</v>
      </c>
      <c r="H282" s="79" t="str">
        <f>VLOOKUP(Table1[[#This Row],[CBRE sub-markets]],Reference!$A$2:$D$31,4,FALSE)</f>
        <v>New Territories</v>
      </c>
      <c r="I282" s="80" t="s">
        <v>2321</v>
      </c>
      <c r="J282" s="80"/>
      <c r="K282" s="81" t="str">
        <f>IF(ISNUMBER(Table1[[#This Row],[Qtr]]),CONCATENATE(Table1[[#This Row],[Year]]," Q",Table1[[#This Row],[Qtr]]),CONCATENATE(Table1[[#This Row],[Year]],Table1[[#This Row],[Qtr]]))</f>
        <v>2034+</v>
      </c>
      <c r="L282" s="80" t="s">
        <v>20</v>
      </c>
      <c r="M282" s="80" t="s">
        <v>83</v>
      </c>
      <c r="N282" s="80">
        <v>1</v>
      </c>
      <c r="O282" s="80"/>
      <c r="P282" s="80">
        <v>30</v>
      </c>
      <c r="Q282" s="82"/>
      <c r="R282" s="82"/>
      <c r="S282" s="80" t="str">
        <f t="shared" si="25"/>
        <v>Unknown</v>
      </c>
      <c r="T282" s="82"/>
      <c r="U282" s="82"/>
      <c r="V282" s="82">
        <f>6594*5</f>
        <v>32970</v>
      </c>
      <c r="W282" s="82">
        <f>+Table1[[#This Row],[Office GFA (sm)]]*10.7639</f>
        <v>354885.783</v>
      </c>
      <c r="X282" s="82">
        <f>+Table1[[#This Row],[Office GFA (sm)]]*0.75</f>
        <v>24727.5</v>
      </c>
      <c r="Y282" s="82">
        <f>W282*0.75</f>
        <v>266164.33724999998</v>
      </c>
      <c r="Z282" s="82"/>
      <c r="AA282" s="82"/>
      <c r="AB282" s="82"/>
      <c r="AC282" s="82">
        <f t="shared" si="28"/>
        <v>0</v>
      </c>
      <c r="AD282" s="82">
        <f>IF(Table1[[#This Row],[For Sale or For Lease?]]="For Sale",Table1[[#This Row],[Office UFA (Net) (sf)]]-Table1[[#This Row],[Pre-leased space (Usable FA) (sf)]]-Table1[[#This Row],[Pre-sold (Usable FA) (sf)]]-Table1[[#This Row],[Self-use space (Usable FA) (sf)]],0)</f>
        <v>0</v>
      </c>
      <c r="AE282" s="82">
        <f>IF(Table1[[#This Row],[For Sale or For Lease?]]="Uncertain",Table1[[#This Row],[Office UFA (Net) (sf)]]-Table1[[#This Row],[Pre-leased space (Usable FA) (sf)]]-Table1[[#This Row],[Pre-sold (Usable FA) (sf)]]-Table1[[#This Row],[Self-use space (Usable FA) (sf)]],0)</f>
        <v>266164.33724999998</v>
      </c>
      <c r="AF282" s="86">
        <f>1-SUM(Table1[[#This Row],[Space available for lease (Usable FA) (sf)]:[Space available uncertain of use (Usable FA) (sf)]])/Table1[[#This Row],[Office UFA (Net) (sf)]]</f>
        <v>0</v>
      </c>
      <c r="AG282" s="79" t="s">
        <v>89</v>
      </c>
      <c r="AH282" s="84"/>
      <c r="AI282" s="79" t="s">
        <v>1547</v>
      </c>
      <c r="AJ282" s="83">
        <v>43395</v>
      </c>
      <c r="AK282" s="83">
        <v>43395</v>
      </c>
      <c r="AL282" s="85" t="s">
        <v>29</v>
      </c>
      <c r="AM282" s="85"/>
      <c r="AN282" s="79" t="s">
        <v>73</v>
      </c>
      <c r="AO282" s="77" t="s">
        <v>1068</v>
      </c>
      <c r="AP282" s="77" t="s">
        <v>1068</v>
      </c>
      <c r="AQ282" s="77"/>
      <c r="AR282" s="79" t="s">
        <v>1845</v>
      </c>
      <c r="AS282" s="79"/>
      <c r="AT282" s="80">
        <v>22.28867</v>
      </c>
      <c r="AU282" s="80">
        <v>113.94141</v>
      </c>
      <c r="AV282" s="77" t="s">
        <v>2156</v>
      </c>
    </row>
    <row r="283" spans="1:48" ht="15" customHeight="1" x14ac:dyDescent="0.35">
      <c r="A283" s="77"/>
      <c r="B283" s="77" t="s">
        <v>2140</v>
      </c>
      <c r="C283" s="77"/>
      <c r="D283" s="77"/>
      <c r="E283" s="79" t="s">
        <v>18</v>
      </c>
      <c r="F283" s="77" t="str">
        <f>VLOOKUP(Table1[[#This Row],[CBRE sub-markets]],Reference!$A$2:$B$31,2,FALSE)</f>
        <v>New Territories</v>
      </c>
      <c r="G283" s="77">
        <f>VLOOKUP(Table1[[#This Row],[CBRE sub-markets]],Reference!$A$2:$D$31,3,FALSE)</f>
        <v>9</v>
      </c>
      <c r="H283" s="79" t="str">
        <f>VLOOKUP(Table1[[#This Row],[CBRE sub-markets]],Reference!$A$2:$D$31,4,FALSE)</f>
        <v>New Territories</v>
      </c>
      <c r="I283" s="80" t="s">
        <v>2321</v>
      </c>
      <c r="J283" s="80"/>
      <c r="K283" s="81" t="str">
        <f>IF(ISNUMBER(Table1[[#This Row],[Qtr]]),CONCATENATE(Table1[[#This Row],[Year]]," Q",Table1[[#This Row],[Qtr]]),CONCATENATE(Table1[[#This Row],[Year]],Table1[[#This Row],[Qtr]]))</f>
        <v>2034+</v>
      </c>
      <c r="L283" s="80" t="s">
        <v>20</v>
      </c>
      <c r="M283" s="80" t="s">
        <v>83</v>
      </c>
      <c r="N283" s="80"/>
      <c r="O283" s="80"/>
      <c r="P283" s="80"/>
      <c r="Q283" s="82"/>
      <c r="R283" s="82"/>
      <c r="S283" s="80" t="str">
        <f t="shared" si="25"/>
        <v>Unknown</v>
      </c>
      <c r="T283" s="82"/>
      <c r="U283" s="82"/>
      <c r="V283" s="82">
        <f>500000-117781</f>
        <v>382219</v>
      </c>
      <c r="W283" s="82">
        <f>Table1[[#This Row],[Office GFA (sm)]]*10.7639</f>
        <v>4114167.0940999999</v>
      </c>
      <c r="X283" s="82">
        <f>V283*0.75</f>
        <v>286664.25</v>
      </c>
      <c r="Y283" s="82">
        <f>W283*0.75</f>
        <v>3085625.3205749998</v>
      </c>
      <c r="Z283" s="82"/>
      <c r="AA283" s="82"/>
      <c r="AB283" s="82"/>
      <c r="AC283" s="82">
        <f t="shared" si="28"/>
        <v>3085625.3205749998</v>
      </c>
      <c r="AD283" s="82">
        <f>IF(Table1[[#This Row],[For Sale or For Lease?]]="For Sale",Table1[[#This Row],[Office UFA (Net) (sf)]]-Table1[[#This Row],[Pre-leased space (Usable FA) (sf)]]-Table1[[#This Row],[Pre-sold (Usable FA) (sf)]]-Table1[[#This Row],[Self-use space (Usable FA) (sf)]],0)</f>
        <v>0</v>
      </c>
      <c r="AE283" s="82">
        <f>IF(Table1[[#This Row],[For Sale or For Lease?]]="Uncertain",Table1[[#This Row],[Office UFA (Net) (sf)]]-Table1[[#This Row],[Pre-leased space (Usable FA) (sf)]]-Table1[[#This Row],[Pre-sold (Usable FA) (sf)]]-Table1[[#This Row],[Self-use space (Usable FA) (sf)]],0)</f>
        <v>0</v>
      </c>
      <c r="AF283" s="86">
        <f>1-SUM(Table1[[#This Row],[Space available for lease (Usable FA) (sf)]:[Space available uncertain of use (Usable FA) (sf)]])/Table1[[#This Row],[Office UFA (Net) (sf)]]</f>
        <v>0</v>
      </c>
      <c r="AG283" s="79" t="s">
        <v>89</v>
      </c>
      <c r="AH283" s="84"/>
      <c r="AI283" s="79" t="s">
        <v>1332</v>
      </c>
      <c r="AJ283" s="83">
        <v>42572</v>
      </c>
      <c r="AK283" s="83">
        <v>42572</v>
      </c>
      <c r="AL283" s="85" t="s">
        <v>29</v>
      </c>
      <c r="AM283" s="85"/>
      <c r="AN283" s="79" t="s">
        <v>74</v>
      </c>
      <c r="AO283" s="77" t="s">
        <v>705</v>
      </c>
      <c r="AP283" s="77" t="s">
        <v>81</v>
      </c>
      <c r="AQ283" s="77"/>
      <c r="AR283" s="79" t="s">
        <v>1844</v>
      </c>
      <c r="AS283" s="79" t="s">
        <v>2056</v>
      </c>
      <c r="AT283" s="80">
        <v>22.298290000000001</v>
      </c>
      <c r="AU283" s="80">
        <v>113.95408</v>
      </c>
      <c r="AV283" s="77"/>
    </row>
    <row r="284" spans="1:48" ht="15" hidden="1" customHeight="1" x14ac:dyDescent="0.35">
      <c r="A284" s="77"/>
      <c r="B284" s="77" t="s">
        <v>1974</v>
      </c>
      <c r="C284" s="77" t="s">
        <v>1924</v>
      </c>
      <c r="D284" s="77"/>
      <c r="E284" s="79" t="s">
        <v>730</v>
      </c>
      <c r="F284" s="77" t="str">
        <f>VLOOKUP(Table1[[#This Row],[CBRE sub-markets]],Reference!$A$2:$B$31,2,FALSE)</f>
        <v>Kowloon Others</v>
      </c>
      <c r="G284" s="77">
        <f>VLOOKUP(Table1[[#This Row],[CBRE sub-markets]],Reference!$A$2:$D$31,3,FALSE)</f>
        <v>8</v>
      </c>
      <c r="H284" s="79" t="str">
        <f>VLOOKUP(Table1[[#This Row],[CBRE sub-markets]],Reference!$A$2:$D$31,4,FALSE)</f>
        <v>Kowloon</v>
      </c>
      <c r="I284" s="80" t="s">
        <v>720</v>
      </c>
      <c r="J284" s="80"/>
      <c r="K284" s="81" t="str">
        <f>IF(ISNUMBER(Table1[[#This Row],[Qtr]]),CONCATENATE(Table1[[#This Row],[Year]]," Q",Table1[[#This Row],[Qtr]]),CONCATENATE(Table1[[#This Row],[Year]],Table1[[#This Row],[Qtr]]))</f>
        <v>TBC</v>
      </c>
      <c r="L284" s="80" t="s">
        <v>20</v>
      </c>
      <c r="M284" s="80" t="s">
        <v>85</v>
      </c>
      <c r="N284" s="80">
        <v>1</v>
      </c>
      <c r="O284" s="80" t="s">
        <v>1925</v>
      </c>
      <c r="P284" s="80">
        <v>18</v>
      </c>
      <c r="Q284" s="82">
        <f>Table1[[#This Row],[Office GFA (sf)]]/Table1[[#This Row],[No. of Storeys for Office]]</f>
        <v>18894.289886333339</v>
      </c>
      <c r="R284" s="82">
        <f>Table1[[#This Row],[Office UFA (Net) (sf)]]/Table1[[#This Row],[No. of Storeys for Office]]</f>
        <v>14170.717414750005</v>
      </c>
      <c r="S284" s="80" t="str">
        <f t="shared" ref="S284:S293" si="29">IF(AND(ISNUMBER(R284),R284&gt;=15000),"Yes",IF(R284="","Unknown","No"))</f>
        <v>No</v>
      </c>
      <c r="T284" s="82">
        <v>47394.1</v>
      </c>
      <c r="U284" s="82">
        <f>+Table1[[#This Row],[Total GFA (sm)]]*10.76391</f>
        <v>510145.82693099993</v>
      </c>
      <c r="V284" s="82">
        <f>+Table1[[#This Row],[Total GFA (sf)]]*0.666666666666667</f>
        <v>340097.21795400011</v>
      </c>
      <c r="W284" s="82">
        <f>+Table1[[#This Row],[Total GFA (sf)]]*0.666666666666667</f>
        <v>340097.21795400011</v>
      </c>
      <c r="X284" s="82">
        <f>V284*0.75</f>
        <v>255072.91346550008</v>
      </c>
      <c r="Y284" s="82">
        <f t="shared" ref="Y284:Y293" si="30">W284*0.75</f>
        <v>255072.91346550008</v>
      </c>
      <c r="Z284" s="82"/>
      <c r="AA284" s="82"/>
      <c r="AB284" s="82"/>
      <c r="AC284" s="82">
        <f t="shared" ref="AC284:AC293" si="31">IF(AO284="For Lease",Y284-Z284-AA284-AB284,0)</f>
        <v>255072.91346550008</v>
      </c>
      <c r="AD284" s="82">
        <f>IF(Table1[[#This Row],[For Sale or For Lease?]]="For Sale",Table1[[#This Row],[Office UFA (Net) (sf)]]-Table1[[#This Row],[Pre-leased space (Usable FA) (sf)]]-Table1[[#This Row],[Pre-sold (Usable FA) (sf)]]-Table1[[#This Row],[Self-use space (Usable FA) (sf)]],0)</f>
        <v>0</v>
      </c>
      <c r="AE284" s="82">
        <f>IF(Table1[[#This Row],[For Sale or For Lease?]]="Uncertain",Table1[[#This Row],[Office UFA (Net) (sf)]]-Table1[[#This Row],[Pre-leased space (Usable FA) (sf)]]-Table1[[#This Row],[Pre-sold (Usable FA) (sf)]]-Table1[[#This Row],[Self-use space (Usable FA) (sf)]],0)</f>
        <v>0</v>
      </c>
      <c r="AF284" s="86">
        <f>1-SUM(Table1[[#This Row],[Space available for lease (Usable FA) (sf)]:[Space available uncertain of use (Usable FA) (sf)]])/Table1[[#This Row],[Office UFA (Net) (sf)]]</f>
        <v>0</v>
      </c>
      <c r="AG284" s="79" t="s">
        <v>89</v>
      </c>
      <c r="AH284" s="84"/>
      <c r="AI284" s="79" t="s">
        <v>1550</v>
      </c>
      <c r="AJ284" s="83">
        <v>44409</v>
      </c>
      <c r="AK284" s="83">
        <v>44501</v>
      </c>
      <c r="AL284" s="85" t="s">
        <v>30</v>
      </c>
      <c r="AM284" s="85"/>
      <c r="AN284" s="79" t="s">
        <v>73</v>
      </c>
      <c r="AO284" s="77" t="s">
        <v>705</v>
      </c>
      <c r="AP284" s="77" t="s">
        <v>81</v>
      </c>
      <c r="AQ284" s="77"/>
      <c r="AR284" s="79" t="s">
        <v>1939</v>
      </c>
      <c r="AS284" s="79"/>
      <c r="AT284" s="80">
        <v>22.315149999999999</v>
      </c>
      <c r="AU284" s="80">
        <v>114.17109000000001</v>
      </c>
      <c r="AV284" s="77" t="s">
        <v>2117</v>
      </c>
    </row>
    <row r="285" spans="1:48" ht="15" hidden="1" customHeight="1" x14ac:dyDescent="0.35">
      <c r="A285" s="77"/>
      <c r="B285" s="77" t="s">
        <v>1399</v>
      </c>
      <c r="C285" s="77" t="s">
        <v>1400</v>
      </c>
      <c r="D285" s="77"/>
      <c r="E285" s="79" t="s">
        <v>1398</v>
      </c>
      <c r="F285" s="77" t="str">
        <f>VLOOKUP(Table1[[#This Row],[CBRE sub-markets]],Reference!$A$2:$B$31,2,FALSE)</f>
        <v>Ap Lei Chau</v>
      </c>
      <c r="G285" s="77">
        <f>VLOOKUP(Table1[[#This Row],[CBRE sub-markets]],Reference!$A$2:$D$31,3,FALSE)</f>
        <v>5</v>
      </c>
      <c r="H285" s="79" t="str">
        <f>VLOOKUP(Table1[[#This Row],[CBRE sub-markets]],Reference!$A$2:$D$31,4,FALSE)</f>
        <v>Hong Kong Island</v>
      </c>
      <c r="I285" s="80"/>
      <c r="J285" s="80"/>
      <c r="K285" s="81" t="str">
        <f>IF(ISNUMBER(Table1[[#This Row],[Qtr]]),CONCATENATE(Table1[[#This Row],[Year]]," Q",Table1[[#This Row],[Qtr]]),CONCATENATE(Table1[[#This Row],[Year]],Table1[[#This Row],[Qtr]]))</f>
        <v/>
      </c>
      <c r="L285" s="80" t="s">
        <v>748</v>
      </c>
      <c r="M285" s="80" t="s">
        <v>85</v>
      </c>
      <c r="N285" s="80">
        <v>2</v>
      </c>
      <c r="O285" s="80" t="s">
        <v>1401</v>
      </c>
      <c r="P285" s="80">
        <v>20</v>
      </c>
      <c r="Q285" s="82">
        <f>Table1[[#This Row],[Office GFA (sf)]]/(20*2)</f>
        <v>19372.5</v>
      </c>
      <c r="R285" s="82">
        <f>Table1[[#This Row],[Floor Plate (GFA) (sf)]]*0.75</f>
        <v>14529.375</v>
      </c>
      <c r="S285" s="80" t="str">
        <f t="shared" si="29"/>
        <v>No</v>
      </c>
      <c r="T285" s="82"/>
      <c r="U285" s="82"/>
      <c r="V285" s="82">
        <f>Table1[[#This Row],[Office GFA (sf)]]/10.764</f>
        <v>71989.966555183957</v>
      </c>
      <c r="W285" s="82">
        <v>774900</v>
      </c>
      <c r="X285" s="82">
        <f>V285*0.75</f>
        <v>53992.474916387968</v>
      </c>
      <c r="Y285" s="82">
        <f t="shared" si="30"/>
        <v>581175</v>
      </c>
      <c r="Z285" s="82"/>
      <c r="AA285" s="82"/>
      <c r="AB285" s="82"/>
      <c r="AC285" s="82">
        <f t="shared" si="31"/>
        <v>0</v>
      </c>
      <c r="AD285" s="82">
        <f>IF(Table1[[#This Row],[For Sale or For Lease?]]="For Sale",Table1[[#This Row],[Office UFA (Net) (sf)]]-Table1[[#This Row],[Pre-leased space (Usable FA) (sf)]]-Table1[[#This Row],[Pre-sold (Usable FA) (sf)]]-Table1[[#This Row],[Self-use space (Usable FA) (sf)]],0)</f>
        <v>0</v>
      </c>
      <c r="AE285" s="82">
        <f>IF(Table1[[#This Row],[For Sale or For Lease?]]="Uncertain",Table1[[#This Row],[Office UFA (Net) (sf)]]-Table1[[#This Row],[Pre-leased space (Usable FA) (sf)]]-Table1[[#This Row],[Pre-sold (Usable FA) (sf)]]-Table1[[#This Row],[Self-use space (Usable FA) (sf)]],0)</f>
        <v>581175</v>
      </c>
      <c r="AF285" s="86">
        <f>1-SUM(Table1[[#This Row],[Space available for lease (Usable FA) (sf)]:[Space available uncertain of use (Usable FA) (sf)]])/Table1[[#This Row],[Office UFA (Net) (sf)]]</f>
        <v>0</v>
      </c>
      <c r="AG285" s="79" t="s">
        <v>89</v>
      </c>
      <c r="AH285" s="84"/>
      <c r="AI285" s="79" t="s">
        <v>346</v>
      </c>
      <c r="AJ285" s="83">
        <v>43013</v>
      </c>
      <c r="AK285" s="83">
        <v>43013</v>
      </c>
      <c r="AL285" s="85" t="s">
        <v>30</v>
      </c>
      <c r="AM285" s="85" t="s">
        <v>1402</v>
      </c>
      <c r="AN285" s="79" t="s">
        <v>73</v>
      </c>
      <c r="AO285" s="77" t="s">
        <v>1068</v>
      </c>
      <c r="AP285" s="77" t="s">
        <v>1068</v>
      </c>
      <c r="AQ285" s="77" t="s">
        <v>1403</v>
      </c>
      <c r="AR285" s="79" t="s">
        <v>1848</v>
      </c>
      <c r="AS285" s="79"/>
      <c r="AT285" s="80">
        <v>22.238350000000001</v>
      </c>
      <c r="AU285" s="80">
        <v>114.15289</v>
      </c>
      <c r="AV285" s="77" t="s">
        <v>2083</v>
      </c>
    </row>
    <row r="286" spans="1:48" ht="15" hidden="1" customHeight="1" x14ac:dyDescent="0.35">
      <c r="A286" s="77"/>
      <c r="B286" s="77" t="s">
        <v>1675</v>
      </c>
      <c r="C286" s="77" t="s">
        <v>1674</v>
      </c>
      <c r="D286" s="77"/>
      <c r="E286" s="79" t="s">
        <v>5</v>
      </c>
      <c r="F286" s="77" t="str">
        <f>VLOOKUP(Table1[[#This Row],[CBRE sub-markets]],Reference!$A$2:$B$31,2,FALSE)</f>
        <v>Wan Chai &amp; Causeway Bay</v>
      </c>
      <c r="G286" s="77">
        <f>VLOOKUP(Table1[[#This Row],[CBRE sub-markets]],Reference!$A$2:$D$31,3,FALSE)</f>
        <v>3</v>
      </c>
      <c r="H286" s="79" t="str">
        <f>VLOOKUP(Table1[[#This Row],[CBRE sub-markets]],Reference!$A$2:$D$31,4,FALSE)</f>
        <v>Hong Kong Island</v>
      </c>
      <c r="I286" s="80"/>
      <c r="J286" s="80"/>
      <c r="K286" s="81" t="str">
        <f>IF(ISNUMBER(Table1[[#This Row],[Qtr]]),CONCATENATE(Table1[[#This Row],[Year]]," Q",Table1[[#This Row],[Qtr]]),CONCATENATE(Table1[[#This Row],[Year]],Table1[[#This Row],[Qtr]]))</f>
        <v/>
      </c>
      <c r="L286" s="80" t="s">
        <v>21</v>
      </c>
      <c r="M286" s="80" t="s">
        <v>85</v>
      </c>
      <c r="N286" s="80">
        <v>1</v>
      </c>
      <c r="O286" s="80" t="s">
        <v>1676</v>
      </c>
      <c r="P286" s="80">
        <v>22</v>
      </c>
      <c r="Q286" s="82">
        <f>996.377*10.7639*0.6</f>
        <v>6434.9414341799993</v>
      </c>
      <c r="R286" s="82">
        <f>+Table1[[#This Row],[Floor Plate (GFA) (sf)]]*0.75</f>
        <v>4826.2060756349993</v>
      </c>
      <c r="S286" s="80" t="str">
        <f t="shared" si="29"/>
        <v>No</v>
      </c>
      <c r="T286" s="82">
        <v>14944.8</v>
      </c>
      <c r="U286" s="82">
        <f>+Table1[[#This Row],[Total GFA (sm)]]*10.7639</f>
        <v>160864.33271999998</v>
      </c>
      <c r="V286" s="82">
        <v>11345.564</v>
      </c>
      <c r="W286" s="82">
        <f>Table1[[#This Row],[Office GFA (sm)]]*10.76391</f>
        <v>122122.62979523999</v>
      </c>
      <c r="X286" s="82">
        <f>V286*0.75</f>
        <v>8509.1730000000007</v>
      </c>
      <c r="Y286" s="82">
        <f t="shared" si="30"/>
        <v>91591.97234642999</v>
      </c>
      <c r="Z286" s="82"/>
      <c r="AA286" s="82"/>
      <c r="AB286" s="82"/>
      <c r="AC286" s="82">
        <f t="shared" si="31"/>
        <v>91591.97234642999</v>
      </c>
      <c r="AD286" s="82">
        <f>IF(Table1[[#This Row],[For Sale or For Lease?]]="For Sale",Table1[[#This Row],[Office UFA (Net) (sf)]]-Table1[[#This Row],[Pre-leased space (Usable FA) (sf)]]-Table1[[#This Row],[Pre-sold (Usable FA) (sf)]]-Table1[[#This Row],[Self-use space (Usable FA) (sf)]],0)</f>
        <v>0</v>
      </c>
      <c r="AE286" s="82">
        <f>IF(Table1[[#This Row],[For Sale or For Lease?]]="Uncertain",Table1[[#This Row],[Office UFA (Net) (sf)]]-Table1[[#This Row],[Pre-leased space (Usable FA) (sf)]]-Table1[[#This Row],[Pre-sold (Usable FA) (sf)]]-Table1[[#This Row],[Self-use space (Usable FA) (sf)]],0)</f>
        <v>0</v>
      </c>
      <c r="AF286" s="86">
        <f>1-SUM(Table1[[#This Row],[Space available for lease (Usable FA) (sf)]:[Space available uncertain of use (Usable FA) (sf)]])/Table1[[#This Row],[Office UFA (Net) (sf)]]</f>
        <v>0</v>
      </c>
      <c r="AG286" s="79" t="s">
        <v>89</v>
      </c>
      <c r="AH286" s="84" t="s">
        <v>138</v>
      </c>
      <c r="AI286" s="79" t="s">
        <v>92</v>
      </c>
      <c r="AJ286" s="83">
        <v>44927</v>
      </c>
      <c r="AK286" s="83">
        <v>45076</v>
      </c>
      <c r="AL286" s="85" t="s">
        <v>30</v>
      </c>
      <c r="AM286" s="85" t="s">
        <v>1677</v>
      </c>
      <c r="AN286" s="79" t="s">
        <v>73</v>
      </c>
      <c r="AO286" s="77" t="s">
        <v>705</v>
      </c>
      <c r="AP286" s="77" t="s">
        <v>81</v>
      </c>
      <c r="AQ286" s="77"/>
      <c r="AR286" s="79" t="s">
        <v>1847</v>
      </c>
      <c r="AS286" s="79" t="s">
        <v>1990</v>
      </c>
      <c r="AT286" s="80"/>
      <c r="AU286" s="80"/>
      <c r="AV286" s="77"/>
    </row>
    <row r="287" spans="1:48" ht="15" hidden="1" customHeight="1" x14ac:dyDescent="0.35">
      <c r="A287" s="77"/>
      <c r="B287" s="77" t="s">
        <v>2239</v>
      </c>
      <c r="C287" s="77" t="s">
        <v>2236</v>
      </c>
      <c r="D287" s="77"/>
      <c r="E287" s="79" t="s">
        <v>2</v>
      </c>
      <c r="F287" s="77" t="str">
        <f>VLOOKUP(Table1[[#This Row],[CBRE sub-markets]],Reference!$A$2:$B$31,2,FALSE)</f>
        <v>Admiralty &amp; Sheung Wan</v>
      </c>
      <c r="G287" s="77">
        <f>VLOOKUP(Table1[[#This Row],[CBRE sub-markets]],Reference!$A$2:$D$31,3,FALSE)</f>
        <v>2</v>
      </c>
      <c r="H287" s="79" t="str">
        <f>VLOOKUP(Table1[[#This Row],[CBRE sub-markets]],Reference!$A$2:$D$31,4,FALSE)</f>
        <v>Hong Kong Island</v>
      </c>
      <c r="I287" s="80"/>
      <c r="J287" s="80"/>
      <c r="K287" s="81" t="str">
        <f>IF(ISNUMBER(Table1[[#This Row],[Qtr]]),CONCATENATE(Table1[[#This Row],[Year]]," Q",Table1[[#This Row],[Qtr]]),CONCATENATE(Table1[[#This Row],[Year]],Table1[[#This Row],[Qtr]]))</f>
        <v/>
      </c>
      <c r="L287" s="80" t="s">
        <v>21</v>
      </c>
      <c r="M287" s="80" t="s">
        <v>85</v>
      </c>
      <c r="N287" s="80">
        <v>1</v>
      </c>
      <c r="O287" s="80" t="s">
        <v>2237</v>
      </c>
      <c r="P287" s="80">
        <v>28</v>
      </c>
      <c r="Q287" s="82">
        <f>Table1[[#This Row],[Office GFA (sf)]]/Table1[[#This Row],[No. of Storeys for Office]]</f>
        <v>3475.2052285714281</v>
      </c>
      <c r="R287" s="82">
        <f>Table1[[#This Row],[Office UFA (Net) (sf)]]/Table1[[#This Row],[No. of Storeys for Office]]</f>
        <v>2606.4039214285708</v>
      </c>
      <c r="S287" s="80" t="str">
        <f t="shared" si="29"/>
        <v>No</v>
      </c>
      <c r="T287" s="82">
        <v>9040</v>
      </c>
      <c r="U287" s="82">
        <f>Table1[[#This Row],[Total GFA (sm)]]*10.76391</f>
        <v>97305.746399999989</v>
      </c>
      <c r="V287" s="82">
        <f>Table1[[#This Row],[Total GFA (sm)]]</f>
        <v>9040</v>
      </c>
      <c r="W287" s="82">
        <f>Table1[[#This Row],[Total GFA (sf)]]</f>
        <v>97305.746399999989</v>
      </c>
      <c r="X287" s="82">
        <f>Table1[[#This Row],[Office GFA (sm)]]*0.75</f>
        <v>6780</v>
      </c>
      <c r="Y287" s="82">
        <f t="shared" si="30"/>
        <v>72979.309799999988</v>
      </c>
      <c r="Z287" s="82"/>
      <c r="AA287" s="82"/>
      <c r="AB287" s="82"/>
      <c r="AC287" s="82">
        <f t="shared" si="31"/>
        <v>0</v>
      </c>
      <c r="AD287" s="82">
        <f>IF(Table1[[#This Row],[For Sale or For Lease?]]="For Sale",Table1[[#This Row],[Office UFA (Net) (sf)]]-Table1[[#This Row],[Pre-leased space (Usable FA) (sf)]]-Table1[[#This Row],[Pre-sold (Usable FA) (sf)]]-Table1[[#This Row],[Self-use space (Usable FA) (sf)]],0)</f>
        <v>0</v>
      </c>
      <c r="AE287" s="82">
        <f>IF(Table1[[#This Row],[For Sale or For Lease?]]="Uncertain",Table1[[#This Row],[Office UFA (Net) (sf)]]-Table1[[#This Row],[Pre-leased space (Usable FA) (sf)]]-Table1[[#This Row],[Pre-sold (Usable FA) (sf)]]-Table1[[#This Row],[Self-use space (Usable FA) (sf)]],0)</f>
        <v>72979.309799999988</v>
      </c>
      <c r="AF287" s="86">
        <f>1-SUM(Table1[[#This Row],[Space available for lease (Usable FA) (sf)]:[Space available uncertain of use (Usable FA) (sf)]])/Table1[[#This Row],[Office UFA (Net) (sf)]]</f>
        <v>0</v>
      </c>
      <c r="AG287" s="79" t="s">
        <v>89</v>
      </c>
      <c r="AH287" s="84" t="s">
        <v>138</v>
      </c>
      <c r="AI287" s="79" t="s">
        <v>92</v>
      </c>
      <c r="AJ287" s="83">
        <v>44805</v>
      </c>
      <c r="AK287" s="83">
        <v>44866</v>
      </c>
      <c r="AL287" s="85" t="s">
        <v>30</v>
      </c>
      <c r="AM287" s="85"/>
      <c r="AN287" s="79" t="s">
        <v>73</v>
      </c>
      <c r="AO287" s="77" t="s">
        <v>1068</v>
      </c>
      <c r="AP287" s="77" t="s">
        <v>1068</v>
      </c>
      <c r="AQ287" s="77"/>
      <c r="AR287" s="79" t="s">
        <v>2238</v>
      </c>
      <c r="AS287" s="79"/>
      <c r="AT287" s="80"/>
      <c r="AU287" s="80"/>
      <c r="AV287" s="77"/>
    </row>
    <row r="288" spans="1:48" ht="15" hidden="1" customHeight="1" x14ac:dyDescent="0.35">
      <c r="A288" s="77"/>
      <c r="B288" s="77" t="s">
        <v>1515</v>
      </c>
      <c r="C288" s="77" t="s">
        <v>1514</v>
      </c>
      <c r="D288" s="77"/>
      <c r="E288" s="79" t="s">
        <v>50</v>
      </c>
      <c r="F288" s="77" t="str">
        <f>VLOOKUP(Table1[[#This Row],[CBRE sub-markets]],Reference!$A$2:$B$31,2,FALSE)</f>
        <v>Kowloon East</v>
      </c>
      <c r="G288" s="77">
        <f>VLOOKUP(Table1[[#This Row],[CBRE sub-markets]],Reference!$A$2:$D$31,3,FALSE)</f>
        <v>7</v>
      </c>
      <c r="H288" s="79" t="str">
        <f>VLOOKUP(Table1[[#This Row],[CBRE sub-markets]],Reference!$A$2:$D$31,4,FALSE)</f>
        <v>Kowloon</v>
      </c>
      <c r="I288" s="80"/>
      <c r="J288" s="80"/>
      <c r="K288" s="81" t="str">
        <f>IF(ISNUMBER(Table1[[#This Row],[Qtr]]),CONCATENATE(Table1[[#This Row],[Year]]," Q",Table1[[#This Row],[Qtr]]),CONCATENATE(Table1[[#This Row],[Year]],Table1[[#This Row],[Qtr]]))</f>
        <v/>
      </c>
      <c r="L288" s="80" t="s">
        <v>20</v>
      </c>
      <c r="M288" s="80" t="s">
        <v>85</v>
      </c>
      <c r="N288" s="80"/>
      <c r="O288" s="80"/>
      <c r="P288" s="80"/>
      <c r="Q288" s="82"/>
      <c r="R288" s="82"/>
      <c r="S288" s="80" t="str">
        <f t="shared" si="29"/>
        <v>Unknown</v>
      </c>
      <c r="T288" s="82"/>
      <c r="U288" s="82"/>
      <c r="V288" s="82">
        <f>+Table1[[#This Row],[Office GFA (sf)]]/10.7639</f>
        <v>18063.712966489842</v>
      </c>
      <c r="W288" s="82">
        <f>16203*12</f>
        <v>194436</v>
      </c>
      <c r="X288" s="82">
        <f>+Table1[[#This Row],[Office GFA (sm)]]*0.75</f>
        <v>13547.784724867382</v>
      </c>
      <c r="Y288" s="82">
        <f t="shared" si="30"/>
        <v>145827</v>
      </c>
      <c r="Z288" s="82"/>
      <c r="AA288" s="82"/>
      <c r="AB288" s="82"/>
      <c r="AC288" s="82">
        <f t="shared" si="31"/>
        <v>0</v>
      </c>
      <c r="AD288" s="82">
        <f>IF(Table1[[#This Row],[For Sale or For Lease?]]="For Sale",Table1[[#This Row],[Office UFA (Net) (sf)]]-Table1[[#This Row],[Pre-leased space (Usable FA) (sf)]]-Table1[[#This Row],[Pre-sold (Usable FA) (sf)]]-Table1[[#This Row],[Self-use space (Usable FA) (sf)]],0)</f>
        <v>0</v>
      </c>
      <c r="AE288" s="82">
        <f>IF(Table1[[#This Row],[For Sale or For Lease?]]="Uncertain",Table1[[#This Row],[Office UFA (Net) (sf)]]-Table1[[#This Row],[Pre-leased space (Usable FA) (sf)]]-Table1[[#This Row],[Pre-sold (Usable FA) (sf)]]-Table1[[#This Row],[Self-use space (Usable FA) (sf)]],0)</f>
        <v>145827</v>
      </c>
      <c r="AF288" s="86">
        <f>1-SUM(Table1[[#This Row],[Space available for lease (Usable FA) (sf)]:[Space available uncertain of use (Usable FA) (sf)]])/Table1[[#This Row],[Office UFA (Net) (sf)]]</f>
        <v>0</v>
      </c>
      <c r="AG288" s="79" t="s">
        <v>89</v>
      </c>
      <c r="AH288" s="84"/>
      <c r="AI288" s="79" t="s">
        <v>1342</v>
      </c>
      <c r="AJ288" s="83"/>
      <c r="AK288" s="83">
        <v>43305</v>
      </c>
      <c r="AL288" s="85" t="s">
        <v>30</v>
      </c>
      <c r="AM288" s="85" t="s">
        <v>1516</v>
      </c>
      <c r="AN288" s="79" t="s">
        <v>73</v>
      </c>
      <c r="AO288" s="77" t="s">
        <v>1068</v>
      </c>
      <c r="AP288" s="77" t="s">
        <v>82</v>
      </c>
      <c r="AQ288" s="77"/>
      <c r="AR288" s="79" t="s">
        <v>1850</v>
      </c>
      <c r="AS288" s="79"/>
      <c r="AT288" s="80">
        <v>22.310020000000002</v>
      </c>
      <c r="AU288" s="80">
        <v>114.22474</v>
      </c>
      <c r="AV288" s="77" t="s">
        <v>2109</v>
      </c>
    </row>
    <row r="289" spans="1:48" ht="15" hidden="1" customHeight="1" x14ac:dyDescent="0.35">
      <c r="A289" s="77"/>
      <c r="B289" s="77" t="s">
        <v>1973</v>
      </c>
      <c r="C289" s="77" t="s">
        <v>1930</v>
      </c>
      <c r="D289" s="77"/>
      <c r="E289" s="79" t="s">
        <v>50</v>
      </c>
      <c r="F289" s="77" t="str">
        <f>VLOOKUP(Table1[[#This Row],[CBRE sub-markets]],Reference!$A$2:$B$31,2,FALSE)</f>
        <v>Kowloon East</v>
      </c>
      <c r="G289" s="77">
        <f>VLOOKUP(Table1[[#This Row],[CBRE sub-markets]],Reference!$A$2:$D$31,3,FALSE)</f>
        <v>7</v>
      </c>
      <c r="H289" s="79" t="str">
        <f>VLOOKUP(Table1[[#This Row],[CBRE sub-markets]],Reference!$A$2:$D$31,4,FALSE)</f>
        <v>Kowloon</v>
      </c>
      <c r="I289" s="80"/>
      <c r="J289" s="80"/>
      <c r="K289" s="81" t="str">
        <f>IF(ISNUMBER(Table1[[#This Row],[Qtr]]),CONCATENATE(Table1[[#This Row],[Year]]," Q",Table1[[#This Row],[Qtr]]),CONCATENATE(Table1[[#This Row],[Year]],Table1[[#This Row],[Qtr]]))</f>
        <v/>
      </c>
      <c r="L289" s="80" t="s">
        <v>20</v>
      </c>
      <c r="M289" s="80" t="s">
        <v>85</v>
      </c>
      <c r="N289" s="80">
        <v>1</v>
      </c>
      <c r="O289" s="80" t="s">
        <v>1932</v>
      </c>
      <c r="P289" s="80">
        <v>22</v>
      </c>
      <c r="Q289" s="82">
        <f>1612*0.61*10.7639</f>
        <v>10584.358147999999</v>
      </c>
      <c r="R289" s="82">
        <f>Table1[[#This Row],[Floor Plate (GFA) (sf)]]*0.75</f>
        <v>7938.2686109999995</v>
      </c>
      <c r="S289" s="80" t="str">
        <f t="shared" si="29"/>
        <v>No</v>
      </c>
      <c r="T289" s="82">
        <v>23211</v>
      </c>
      <c r="U289" s="82">
        <f>+Table1[[#This Row],[Total GFA (sm)]]*10.7639</f>
        <v>249840.8829</v>
      </c>
      <c r="V289" s="82">
        <f>1612*0.61*Table1[[#This Row],[No. of Storeys for Office]]</f>
        <v>21633.039999999997</v>
      </c>
      <c r="W289" s="82">
        <f>Table1[[#This Row],[Office GFA (sm)]]*10.7639</f>
        <v>232855.87925599996</v>
      </c>
      <c r="X289" s="82">
        <f t="shared" ref="X289:X294" si="32">V289*0.75</f>
        <v>16224.779999999999</v>
      </c>
      <c r="Y289" s="82">
        <f t="shared" si="30"/>
        <v>174641.90944199997</v>
      </c>
      <c r="Z289" s="82"/>
      <c r="AA289" s="82"/>
      <c r="AB289" s="82"/>
      <c r="AC289" s="82">
        <f t="shared" si="31"/>
        <v>0</v>
      </c>
      <c r="AD289" s="82">
        <f>IF(Table1[[#This Row],[For Sale or For Lease?]]="For Sale",Table1[[#This Row],[Office UFA (Net) (sf)]]-Table1[[#This Row],[Pre-leased space (Usable FA) (sf)]]-Table1[[#This Row],[Pre-sold (Usable FA) (sf)]]-Table1[[#This Row],[Self-use space (Usable FA) (sf)]],0)</f>
        <v>0</v>
      </c>
      <c r="AE289" s="82">
        <f>IF(Table1[[#This Row],[For Sale or For Lease?]]="Uncertain",Table1[[#This Row],[Office UFA (Net) (sf)]]-Table1[[#This Row],[Pre-leased space (Usable FA) (sf)]]-Table1[[#This Row],[Pre-sold (Usable FA) (sf)]]-Table1[[#This Row],[Self-use space (Usable FA) (sf)]],0)</f>
        <v>174641.90944199997</v>
      </c>
      <c r="AF289" s="86">
        <f>1-SUM(Table1[[#This Row],[Space available for lease (Usable FA) (sf)]:[Space available uncertain of use (Usable FA) (sf)]])/Table1[[#This Row],[Office UFA (Net) (sf)]]</f>
        <v>0</v>
      </c>
      <c r="AG289" s="79" t="s">
        <v>89</v>
      </c>
      <c r="AH289" s="84"/>
      <c r="AI289" s="79" t="s">
        <v>1231</v>
      </c>
      <c r="AJ289" s="83">
        <v>44519</v>
      </c>
      <c r="AK289" s="83">
        <v>44529</v>
      </c>
      <c r="AL289" s="85" t="s">
        <v>30</v>
      </c>
      <c r="AM289" s="85"/>
      <c r="AN289" s="79" t="s">
        <v>73</v>
      </c>
      <c r="AO289" s="77" t="s">
        <v>1068</v>
      </c>
      <c r="AP289" s="77" t="s">
        <v>1068</v>
      </c>
      <c r="AQ289" s="77" t="s">
        <v>1931</v>
      </c>
      <c r="AR289" s="79" t="s">
        <v>1940</v>
      </c>
      <c r="AS289" s="79"/>
      <c r="AT289" s="80"/>
      <c r="AU289" s="80"/>
      <c r="AV289" s="77"/>
    </row>
    <row r="290" spans="1:48" ht="15" hidden="1" customHeight="1" x14ac:dyDescent="0.35">
      <c r="A290" s="77"/>
      <c r="B290" s="77" t="s">
        <v>1679</v>
      </c>
      <c r="C290" s="77" t="s">
        <v>1678</v>
      </c>
      <c r="D290" s="77"/>
      <c r="E290" s="79" t="s">
        <v>50</v>
      </c>
      <c r="F290" s="77" t="str">
        <f>VLOOKUP(Table1[[#This Row],[CBRE sub-markets]],Reference!$A$2:$B$31,2,FALSE)</f>
        <v>Kowloon East</v>
      </c>
      <c r="G290" s="77">
        <f>VLOOKUP(Table1[[#This Row],[CBRE sub-markets]],Reference!$A$2:$D$31,3,FALSE)</f>
        <v>7</v>
      </c>
      <c r="H290" s="79" t="str">
        <f>VLOOKUP(Table1[[#This Row],[CBRE sub-markets]],Reference!$A$2:$D$31,4,FALSE)</f>
        <v>Kowloon</v>
      </c>
      <c r="I290" s="80"/>
      <c r="J290" s="80"/>
      <c r="K290" s="81" t="str">
        <f>IF(ISNUMBER(Table1[[#This Row],[Qtr]]),CONCATENATE(Table1[[#This Row],[Year]]," Q",Table1[[#This Row],[Qtr]]),CONCATENATE(Table1[[#This Row],[Year]],Table1[[#This Row],[Qtr]]))</f>
        <v/>
      </c>
      <c r="L290" s="80" t="s">
        <v>20</v>
      </c>
      <c r="M290" s="80" t="s">
        <v>85</v>
      </c>
      <c r="N290" s="80">
        <v>2</v>
      </c>
      <c r="O290" s="80" t="s">
        <v>1680</v>
      </c>
      <c r="P290" s="80" t="s">
        <v>1681</v>
      </c>
      <c r="Q290" s="82">
        <f>+Table1[[#This Row],[Office GFA (sf)]]/56</f>
        <v>12139.6417475</v>
      </c>
      <c r="R290" s="82">
        <f>+Table1[[#This Row],[Office UFA (Net) (sf)]]/56</f>
        <v>9104.7313106249985</v>
      </c>
      <c r="S290" s="80" t="str">
        <f t="shared" si="29"/>
        <v>No</v>
      </c>
      <c r="T290" s="82">
        <v>63157.4</v>
      </c>
      <c r="U290" s="82">
        <f>+Table1[[#This Row],[Total GFA (sm)]]*10.7639</f>
        <v>679819.93785999995</v>
      </c>
      <c r="V290" s="82">
        <f>+Table1[[#This Row],[Total GFA (sm)]]</f>
        <v>63157.4</v>
      </c>
      <c r="W290" s="82">
        <f>+Table1[[#This Row],[Total GFA (sf)]]</f>
        <v>679819.93785999995</v>
      </c>
      <c r="X290" s="82">
        <f t="shared" si="32"/>
        <v>47368.05</v>
      </c>
      <c r="Y290" s="82">
        <f t="shared" si="30"/>
        <v>509864.95339499996</v>
      </c>
      <c r="Z290" s="82"/>
      <c r="AA290" s="82"/>
      <c r="AB290" s="82"/>
      <c r="AC290" s="82">
        <f t="shared" si="31"/>
        <v>509864.95339499996</v>
      </c>
      <c r="AD290" s="82">
        <f>IF(Table1[[#This Row],[For Sale or For Lease?]]="For Sale",Table1[[#This Row],[Office UFA (Net) (sf)]]-Table1[[#This Row],[Pre-leased space (Usable FA) (sf)]]-Table1[[#This Row],[Pre-sold (Usable FA) (sf)]]-Table1[[#This Row],[Self-use space (Usable FA) (sf)]],0)</f>
        <v>0</v>
      </c>
      <c r="AE290" s="82">
        <f>IF(Table1[[#This Row],[For Sale or For Lease?]]="Uncertain",Table1[[#This Row],[Office UFA (Net) (sf)]]-Table1[[#This Row],[Pre-leased space (Usable FA) (sf)]]-Table1[[#This Row],[Pre-sold (Usable FA) (sf)]]-Table1[[#This Row],[Self-use space (Usable FA) (sf)]],0)</f>
        <v>0</v>
      </c>
      <c r="AF290" s="86">
        <f>1-SUM(Table1[[#This Row],[Space available for lease (Usable FA) (sf)]:[Space available uncertain of use (Usable FA) (sf)]])/Table1[[#This Row],[Office UFA (Net) (sf)]]</f>
        <v>0</v>
      </c>
      <c r="AG290" s="79" t="s">
        <v>89</v>
      </c>
      <c r="AH290" s="84" t="s">
        <v>138</v>
      </c>
      <c r="AI290" s="79" t="s">
        <v>92</v>
      </c>
      <c r="AJ290" s="83">
        <v>43983</v>
      </c>
      <c r="AK290" s="83">
        <v>44075</v>
      </c>
      <c r="AL290" s="85" t="s">
        <v>30</v>
      </c>
      <c r="AM290" s="85" t="s">
        <v>1682</v>
      </c>
      <c r="AN290" s="79" t="s">
        <v>73</v>
      </c>
      <c r="AO290" s="77" t="s">
        <v>705</v>
      </c>
      <c r="AP290" s="77" t="s">
        <v>81</v>
      </c>
      <c r="AQ290" s="77"/>
      <c r="AR290" s="79" t="s">
        <v>1849</v>
      </c>
      <c r="AS290" s="79"/>
      <c r="AT290" s="80">
        <v>22.315669396241798</v>
      </c>
      <c r="AU290" s="80">
        <v>114.21181504200401</v>
      </c>
      <c r="AV290" s="77" t="s">
        <v>2120</v>
      </c>
    </row>
    <row r="291" spans="1:48" ht="15" hidden="1" customHeight="1" x14ac:dyDescent="0.35">
      <c r="A291" s="77"/>
      <c r="B291" s="77" t="s">
        <v>1421</v>
      </c>
      <c r="C291" s="77" t="s">
        <v>1421</v>
      </c>
      <c r="D291" s="77"/>
      <c r="E291" s="79" t="s">
        <v>11</v>
      </c>
      <c r="F291" s="77" t="str">
        <f>VLOOKUP(Table1[[#This Row],[CBRE sub-markets]],Reference!$A$2:$B$31,2,FALSE)</f>
        <v>Kowloon Others</v>
      </c>
      <c r="G291" s="77">
        <f>VLOOKUP(Table1[[#This Row],[CBRE sub-markets]],Reference!$A$2:$D$31,3,FALSE)</f>
        <v>8</v>
      </c>
      <c r="H291" s="79" t="str">
        <f>VLOOKUP(Table1[[#This Row],[CBRE sub-markets]],Reference!$A$2:$D$31,4,FALSE)</f>
        <v>Kowloon</v>
      </c>
      <c r="I291" s="80"/>
      <c r="J291" s="80"/>
      <c r="K291" s="81" t="str">
        <f>IF(ISNUMBER(Table1[[#This Row],[Qtr]]),CONCATENATE(Table1[[#This Row],[Year]]," Q",Table1[[#This Row],[Qtr]]),CONCATENATE(Table1[[#This Row],[Year]],Table1[[#This Row],[Qtr]]))</f>
        <v/>
      </c>
      <c r="L291" s="80" t="s">
        <v>748</v>
      </c>
      <c r="M291" s="80" t="s">
        <v>85</v>
      </c>
      <c r="N291" s="80">
        <v>1</v>
      </c>
      <c r="O291" s="80"/>
      <c r="P291" s="80"/>
      <c r="Q291" s="82"/>
      <c r="R291" s="82"/>
      <c r="S291" s="80" t="str">
        <f t="shared" si="29"/>
        <v>Unknown</v>
      </c>
      <c r="T291" s="82"/>
      <c r="U291" s="82"/>
      <c r="V291" s="82">
        <f>Table1[[#This Row],[Office GFA (sf)]]/10.764</f>
        <v>30657.748049052399</v>
      </c>
      <c r="W291" s="82">
        <v>330000</v>
      </c>
      <c r="X291" s="82">
        <f t="shared" si="32"/>
        <v>22993.311036789299</v>
      </c>
      <c r="Y291" s="82">
        <f t="shared" si="30"/>
        <v>247500</v>
      </c>
      <c r="Z291" s="82"/>
      <c r="AA291" s="82"/>
      <c r="AB291" s="82"/>
      <c r="AC291" s="82">
        <f t="shared" si="31"/>
        <v>0</v>
      </c>
      <c r="AD291" s="82">
        <f>IF(Table1[[#This Row],[For Sale or For Lease?]]="For Sale",Table1[[#This Row],[Office UFA (Net) (sf)]]-Table1[[#This Row],[Pre-leased space (Usable FA) (sf)]]-Table1[[#This Row],[Pre-sold (Usable FA) (sf)]]-Table1[[#This Row],[Self-use space (Usable FA) (sf)]],0)</f>
        <v>0</v>
      </c>
      <c r="AE291" s="82">
        <f>IF(Table1[[#This Row],[For Sale or For Lease?]]="Uncertain",Table1[[#This Row],[Office UFA (Net) (sf)]]-Table1[[#This Row],[Pre-leased space (Usable FA) (sf)]]-Table1[[#This Row],[Pre-sold (Usable FA) (sf)]]-Table1[[#This Row],[Self-use space (Usable FA) (sf)]],0)</f>
        <v>247500</v>
      </c>
      <c r="AF291" s="86">
        <f>1-SUM(Table1[[#This Row],[Space available for lease (Usable FA) (sf)]:[Space available uncertain of use (Usable FA) (sf)]])/Table1[[#This Row],[Office UFA (Net) (sf)]]</f>
        <v>0</v>
      </c>
      <c r="AG291" s="79" t="s">
        <v>89</v>
      </c>
      <c r="AH291" s="84"/>
      <c r="AI291" s="79" t="s">
        <v>346</v>
      </c>
      <c r="AJ291" s="83">
        <v>42941</v>
      </c>
      <c r="AK291" s="83">
        <v>42941</v>
      </c>
      <c r="AL291" s="85" t="s">
        <v>30</v>
      </c>
      <c r="AM291" s="85"/>
      <c r="AN291" s="79" t="s">
        <v>73</v>
      </c>
      <c r="AO291" s="77" t="s">
        <v>1068</v>
      </c>
      <c r="AP291" s="77" t="s">
        <v>1068</v>
      </c>
      <c r="AQ291" s="77" t="s">
        <v>1417</v>
      </c>
      <c r="AR291" s="79" t="s">
        <v>1852</v>
      </c>
      <c r="AS291" s="79"/>
      <c r="AT291" s="80">
        <v>22.334659209837501</v>
      </c>
      <c r="AU291" s="80">
        <v>114.199572516743</v>
      </c>
      <c r="AV291" s="77" t="s">
        <v>2128</v>
      </c>
    </row>
    <row r="292" spans="1:48" ht="15" hidden="1" customHeight="1" x14ac:dyDescent="0.35">
      <c r="A292" s="77"/>
      <c r="B292" s="77" t="s">
        <v>1418</v>
      </c>
      <c r="C292" s="77" t="s">
        <v>1418</v>
      </c>
      <c r="D292" s="77"/>
      <c r="E292" s="79" t="s">
        <v>11</v>
      </c>
      <c r="F292" s="77" t="str">
        <f>VLOOKUP(Table1[[#This Row],[CBRE sub-markets]],Reference!$A$2:$B$31,2,FALSE)</f>
        <v>Kowloon Others</v>
      </c>
      <c r="G292" s="77">
        <f>VLOOKUP(Table1[[#This Row],[CBRE sub-markets]],Reference!$A$2:$D$31,3,FALSE)</f>
        <v>8</v>
      </c>
      <c r="H292" s="79" t="str">
        <f>VLOOKUP(Table1[[#This Row],[CBRE sub-markets]],Reference!$A$2:$D$31,4,FALSE)</f>
        <v>Kowloon</v>
      </c>
      <c r="I292" s="80"/>
      <c r="J292" s="80"/>
      <c r="K292" s="81" t="str">
        <f>IF(ISNUMBER(Table1[[#This Row],[Qtr]]),CONCATENATE(Table1[[#This Row],[Year]]," Q",Table1[[#This Row],[Qtr]]),CONCATENATE(Table1[[#This Row],[Year]],Table1[[#This Row],[Qtr]]))</f>
        <v/>
      </c>
      <c r="L292" s="80" t="s">
        <v>748</v>
      </c>
      <c r="M292" s="80" t="s">
        <v>85</v>
      </c>
      <c r="N292" s="80">
        <v>1</v>
      </c>
      <c r="O292" s="80"/>
      <c r="P292" s="80"/>
      <c r="Q292" s="82"/>
      <c r="R292" s="82"/>
      <c r="S292" s="80" t="str">
        <f t="shared" si="29"/>
        <v>Unknown</v>
      </c>
      <c r="T292" s="82"/>
      <c r="U292" s="82"/>
      <c r="V292" s="82">
        <f>Table1[[#This Row],[Office GFA (sf)]]/10.764</f>
        <v>15049.981419546637</v>
      </c>
      <c r="W292" s="82">
        <v>161998</v>
      </c>
      <c r="X292" s="82">
        <f t="shared" si="32"/>
        <v>11287.486064659977</v>
      </c>
      <c r="Y292" s="82">
        <f t="shared" si="30"/>
        <v>121498.5</v>
      </c>
      <c r="Z292" s="82"/>
      <c r="AA292" s="82"/>
      <c r="AB292" s="82"/>
      <c r="AC292" s="82">
        <f t="shared" si="31"/>
        <v>0</v>
      </c>
      <c r="AD292" s="82">
        <f>IF(Table1[[#This Row],[For Sale or For Lease?]]="For Sale",Table1[[#This Row],[Office UFA (Net) (sf)]]-Table1[[#This Row],[Pre-leased space (Usable FA) (sf)]]-Table1[[#This Row],[Pre-sold (Usable FA) (sf)]]-Table1[[#This Row],[Self-use space (Usable FA) (sf)]],0)</f>
        <v>0</v>
      </c>
      <c r="AE292" s="82">
        <f>IF(Table1[[#This Row],[For Sale or For Lease?]]="Uncertain",Table1[[#This Row],[Office UFA (Net) (sf)]]-Table1[[#This Row],[Pre-leased space (Usable FA) (sf)]]-Table1[[#This Row],[Pre-sold (Usable FA) (sf)]]-Table1[[#This Row],[Self-use space (Usable FA) (sf)]],0)</f>
        <v>121498.5</v>
      </c>
      <c r="AF292" s="86">
        <f>1-SUM(Table1[[#This Row],[Space available for lease (Usable FA) (sf)]:[Space available uncertain of use (Usable FA) (sf)]])/Table1[[#This Row],[Office UFA (Net) (sf)]]</f>
        <v>0</v>
      </c>
      <c r="AG292" s="79" t="s">
        <v>89</v>
      </c>
      <c r="AH292" s="84"/>
      <c r="AI292" s="79" t="s">
        <v>346</v>
      </c>
      <c r="AJ292" s="83">
        <v>42941</v>
      </c>
      <c r="AK292" s="83">
        <v>42941</v>
      </c>
      <c r="AL292" s="85" t="s">
        <v>30</v>
      </c>
      <c r="AM292" s="85" t="s">
        <v>434</v>
      </c>
      <c r="AN292" s="79" t="s">
        <v>73</v>
      </c>
      <c r="AO292" s="77" t="s">
        <v>1068</v>
      </c>
      <c r="AP292" s="77" t="s">
        <v>1068</v>
      </c>
      <c r="AQ292" s="77" t="s">
        <v>1417</v>
      </c>
      <c r="AR292" s="79" t="s">
        <v>1853</v>
      </c>
      <c r="AS292" s="79"/>
      <c r="AT292" s="80">
        <v>22.33672</v>
      </c>
      <c r="AU292" s="80">
        <v>114.19887</v>
      </c>
      <c r="AV292" s="77" t="s">
        <v>2130</v>
      </c>
    </row>
    <row r="293" spans="1:48" hidden="1" x14ac:dyDescent="0.35">
      <c r="A293" s="77"/>
      <c r="B293" s="77" t="s">
        <v>1420</v>
      </c>
      <c r="C293" s="77" t="s">
        <v>1419</v>
      </c>
      <c r="D293" s="77"/>
      <c r="E293" s="79" t="s">
        <v>11</v>
      </c>
      <c r="F293" s="77" t="str">
        <f>VLOOKUP(Table1[[#This Row],[CBRE sub-markets]],Reference!$A$2:$B$31,2,FALSE)</f>
        <v>Kowloon Others</v>
      </c>
      <c r="G293" s="77">
        <f>VLOOKUP(Table1[[#This Row],[CBRE sub-markets]],Reference!$A$2:$D$31,3,FALSE)</f>
        <v>8</v>
      </c>
      <c r="H293" s="79" t="str">
        <f>VLOOKUP(Table1[[#This Row],[CBRE sub-markets]],Reference!$A$2:$D$31,4,FALSE)</f>
        <v>Kowloon</v>
      </c>
      <c r="I293" s="80"/>
      <c r="J293" s="80"/>
      <c r="K293" s="81" t="str">
        <f>IF(ISNUMBER(Table1[[#This Row],[Qtr]]),CONCATENATE(Table1[[#This Row],[Year]]," Q",Table1[[#This Row],[Qtr]]),CONCATENATE(Table1[[#This Row],[Year]],Table1[[#This Row],[Qtr]]))</f>
        <v/>
      </c>
      <c r="L293" s="80" t="s">
        <v>748</v>
      </c>
      <c r="M293" s="80" t="s">
        <v>85</v>
      </c>
      <c r="N293" s="80">
        <v>1</v>
      </c>
      <c r="O293" s="80">
        <v>25</v>
      </c>
      <c r="P293" s="80"/>
      <c r="Q293" s="82"/>
      <c r="R293" s="82"/>
      <c r="S293" s="80" t="str">
        <f t="shared" si="29"/>
        <v>Unknown</v>
      </c>
      <c r="T293" s="82"/>
      <c r="U293" s="82"/>
      <c r="V293" s="82">
        <f>Table1[[#This Row],[Office GFA (sf)]]/10.764</f>
        <v>31586.770717205502</v>
      </c>
      <c r="W293" s="82">
        <v>340000</v>
      </c>
      <c r="X293" s="82">
        <f t="shared" si="32"/>
        <v>23690.078037904124</v>
      </c>
      <c r="Y293" s="82">
        <f t="shared" si="30"/>
        <v>255000</v>
      </c>
      <c r="Z293" s="82"/>
      <c r="AA293" s="82"/>
      <c r="AB293" s="82"/>
      <c r="AC293" s="82">
        <f t="shared" si="31"/>
        <v>0</v>
      </c>
      <c r="AD293" s="82">
        <f>IF(Table1[[#This Row],[For Sale or For Lease?]]="For Sale",Table1[[#This Row],[Office UFA (Net) (sf)]]-Table1[[#This Row],[Pre-leased space (Usable FA) (sf)]]-Table1[[#This Row],[Pre-sold (Usable FA) (sf)]]-Table1[[#This Row],[Self-use space (Usable FA) (sf)]],0)</f>
        <v>0</v>
      </c>
      <c r="AE293" s="82">
        <f>IF(Table1[[#This Row],[For Sale or For Lease?]]="Uncertain",Table1[[#This Row],[Office UFA (Net) (sf)]]-Table1[[#This Row],[Pre-leased space (Usable FA) (sf)]]-Table1[[#This Row],[Pre-sold (Usable FA) (sf)]]-Table1[[#This Row],[Self-use space (Usable FA) (sf)]],0)</f>
        <v>255000</v>
      </c>
      <c r="AF293" s="86">
        <f>1-SUM(Table1[[#This Row],[Space available for lease (Usable FA) (sf)]:[Space available uncertain of use (Usable FA) (sf)]])/Table1[[#This Row],[Office UFA (Net) (sf)]]</f>
        <v>0</v>
      </c>
      <c r="AG293" s="79" t="s">
        <v>89</v>
      </c>
      <c r="AH293" s="84"/>
      <c r="AI293" s="79" t="s">
        <v>346</v>
      </c>
      <c r="AJ293" s="83">
        <v>42941</v>
      </c>
      <c r="AK293" s="83">
        <v>42941</v>
      </c>
      <c r="AL293" s="85" t="s">
        <v>30</v>
      </c>
      <c r="AM293" s="85" t="s">
        <v>1423</v>
      </c>
      <c r="AN293" s="79" t="s">
        <v>73</v>
      </c>
      <c r="AO293" s="77" t="s">
        <v>1068</v>
      </c>
      <c r="AP293" s="77" t="s">
        <v>81</v>
      </c>
      <c r="AQ293" s="77" t="s">
        <v>1417</v>
      </c>
      <c r="AR293" s="79" t="s">
        <v>1851</v>
      </c>
      <c r="AS293" s="79"/>
      <c r="AT293" s="80">
        <v>22.33418</v>
      </c>
      <c r="AU293" s="80">
        <v>114.1982</v>
      </c>
      <c r="AV293" s="77" t="s">
        <v>2126</v>
      </c>
    </row>
    <row r="294" spans="1:48" hidden="1" x14ac:dyDescent="0.35">
      <c r="A294" s="77"/>
      <c r="B294" s="77" t="s">
        <v>2466</v>
      </c>
      <c r="C294" s="77" t="s">
        <v>2466</v>
      </c>
      <c r="D294" s="77"/>
      <c r="E294" s="79" t="s">
        <v>50</v>
      </c>
      <c r="F294" s="77" t="str">
        <f>VLOOKUP(Table1[[#This Row],[CBRE sub-markets]],Reference!$A$2:$B$31,2,FALSE)</f>
        <v>Kowloon East</v>
      </c>
      <c r="G294" s="79">
        <f>VLOOKUP(Table1[[#This Row],[CBRE sub-markets]],Reference!$A$2:$D$31,3,FALSE)</f>
        <v>7</v>
      </c>
      <c r="H294" s="79" t="str">
        <f>VLOOKUP(Table1[[#This Row],[CBRE sub-markets]],Reference!$A$2:$D$31,4,FALSE)</f>
        <v>Kowloon</v>
      </c>
      <c r="I294" s="80"/>
      <c r="J294" s="80"/>
      <c r="K294" s="81" t="str">
        <f>IF(ISNUMBER(Table1[[#This Row],[Qtr]]),CONCATENATE(Table1[[#This Row],[Year]]," Q",Table1[[#This Row],[Qtr]]),CONCATENATE(Table1[[#This Row],[Year]],Table1[[#This Row],[Qtr]]))</f>
        <v/>
      </c>
      <c r="L294" s="80" t="s">
        <v>21</v>
      </c>
      <c r="M294" s="80" t="s">
        <v>83</v>
      </c>
      <c r="N294" s="80">
        <v>1</v>
      </c>
      <c r="O294" s="80" t="s">
        <v>2467</v>
      </c>
      <c r="P294" s="80">
        <v>22</v>
      </c>
      <c r="Q294" s="82">
        <f>+Table1[[#This Row],[Office GFA (sf)]]/22</f>
        <v>2196.7162827272728</v>
      </c>
      <c r="R294" s="82">
        <f>+Table1[[#This Row],[Office UFA (Net) (sf)]]/22</f>
        <v>1647.5372120454545</v>
      </c>
      <c r="S294" s="104" t="str">
        <f>IF(AND(ISNUMBER(R294),R294&gt;=15000),"Yes",IF(R294="","Unknown","No"))</f>
        <v>No</v>
      </c>
      <c r="T294" s="82">
        <v>4489.8</v>
      </c>
      <c r="U294" s="82">
        <f>Table1[[#This Row],[Total GFA (sm)]]*10.7639</f>
        <v>48327.758220000003</v>
      </c>
      <c r="V294" s="82">
        <v>4489.8</v>
      </c>
      <c r="W294" s="82">
        <f>Table1[[#This Row],[Office GFA (sm)]]*10.7639</f>
        <v>48327.758220000003</v>
      </c>
      <c r="X294" s="82">
        <f t="shared" si="32"/>
        <v>3367.3500000000004</v>
      </c>
      <c r="Y294" s="82">
        <f>W294*0.75</f>
        <v>36245.818664999999</v>
      </c>
      <c r="Z294" s="82"/>
      <c r="AA294" s="82"/>
      <c r="AB294" s="82"/>
      <c r="AC294" s="82">
        <f>IF(AO294="For Lease",Y294-Z294-AA294-AB294,0)</f>
        <v>0</v>
      </c>
      <c r="AD294" s="82">
        <f>IF(Table1[[#This Row],[For Sale or For Lease?]]="For Sale",Table1[[#This Row],[Office UFA (Net) (sf)]]-Table1[[#This Row],[Pre-leased space (Usable FA) (sf)]]-Table1[[#This Row],[Pre-sold (Usable FA) (sf)]]-Table1[[#This Row],[Self-use space (Usable FA) (sf)]],0)</f>
        <v>0</v>
      </c>
      <c r="AE294" s="82">
        <f>IF(Table1[[#This Row],[For Sale or For Lease?]]="Uncertain",Table1[[#This Row],[Office UFA (Net) (sf)]]-Table1[[#This Row],[Pre-leased space (Usable FA) (sf)]]-Table1[[#This Row],[Pre-sold (Usable FA) (sf)]]-Table1[[#This Row],[Self-use space (Usable FA) (sf)]],0)</f>
        <v>36245.818664999999</v>
      </c>
      <c r="AF294" s="86">
        <f>1-SUM(Table1[[#This Row],[Space available for lease (Usable FA) (sf)]:[Space available uncertain of use (Usable FA) (sf)]])/Table1[[#This Row],[Office UFA (Net) (sf)]]</f>
        <v>0</v>
      </c>
      <c r="AG294" s="79" t="s">
        <v>89</v>
      </c>
      <c r="AH294" s="84"/>
      <c r="AI294" s="79" t="s">
        <v>92</v>
      </c>
      <c r="AJ294" s="83">
        <v>45412</v>
      </c>
      <c r="AK294" s="83">
        <v>45679</v>
      </c>
      <c r="AL294" s="85" t="s">
        <v>30</v>
      </c>
      <c r="AM294" s="85" t="s">
        <v>2468</v>
      </c>
      <c r="AN294" s="79" t="s">
        <v>73</v>
      </c>
      <c r="AO294" s="77" t="s">
        <v>1068</v>
      </c>
      <c r="AP294" s="77" t="s">
        <v>81</v>
      </c>
      <c r="AQ294" s="77"/>
      <c r="AR294" s="79"/>
      <c r="AS294" s="79"/>
      <c r="AT294" s="80"/>
      <c r="AU294" s="80"/>
      <c r="AV294" s="77"/>
    </row>
    <row r="297" spans="1:48" x14ac:dyDescent="0.35">
      <c r="Z297" s="111"/>
    </row>
  </sheetData>
  <sortState xmlns:xlrd2="http://schemas.microsoft.com/office/spreadsheetml/2017/richdata2" ref="A45:AU158">
    <sortCondition ref="I2:I158"/>
    <sortCondition ref="J2:J158"/>
  </sortState>
  <phoneticPr fontId="22" type="noConversion"/>
  <conditionalFormatting sqref="A2:AV68 A69:V69 X69:AV69 A70:AV226 A227:AL227 AN227:AV227 A228:AV293">
    <cfRule type="expression" dxfId="117" priority="9" stopIfTrue="1">
      <formula>OR($M2="Completed",$M2="Taken Out")</formula>
    </cfRule>
  </conditionalFormatting>
  <conditionalFormatting sqref="Q294">
    <cfRule type="expression" dxfId="116" priority="7" stopIfTrue="1">
      <formula>OR($M294="Completed",$M294="Taken Out")</formula>
    </cfRule>
  </conditionalFormatting>
  <conditionalFormatting sqref="R294">
    <cfRule type="expression" dxfId="115" priority="6" stopIfTrue="1">
      <formula>OR($M294="Completed",$M294="Taken Out")</formula>
    </cfRule>
  </conditionalFormatting>
  <conditionalFormatting sqref="W69">
    <cfRule type="expression" dxfId="114" priority="103" stopIfTrue="1">
      <formula>OR($M69="Completed",$M69="Taken Out")</formula>
    </cfRule>
  </conditionalFormatting>
  <conditionalFormatting sqref="X294">
    <cfRule type="expression" dxfId="113" priority="8" stopIfTrue="1">
      <formula>OR($M294="Completed",$M294="Taken Out")</formula>
    </cfRule>
  </conditionalFormatting>
  <conditionalFormatting sqref="AG294">
    <cfRule type="expression" dxfId="112" priority="5" stopIfTrue="1">
      <formula>OR($M294="Completed",$M294="Taken Out")</formula>
    </cfRule>
  </conditionalFormatting>
  <conditionalFormatting sqref="AI294">
    <cfRule type="expression" dxfId="111" priority="4" stopIfTrue="1">
      <formula>OR($M294="Completed",$M294="Taken Out")</formula>
    </cfRule>
  </conditionalFormatting>
  <conditionalFormatting sqref="AL294">
    <cfRule type="expression" dxfId="110" priority="3" stopIfTrue="1">
      <formula>OR($M294="Completed",$M294="Taken Out")</formula>
    </cfRule>
  </conditionalFormatting>
  <conditionalFormatting sqref="AM227">
    <cfRule type="expression" dxfId="109" priority="1" stopIfTrue="1">
      <formula>OR($M227="Completed",$M227="Taken Out")</formula>
    </cfRule>
  </conditionalFormatting>
  <conditionalFormatting sqref="AN294:AR294">
    <cfRule type="expression" dxfId="108" priority="2" stopIfTrue="1">
      <formula>OR($M294="Completed",$M294="Taken Out")</formula>
    </cfRule>
  </conditionalFormatting>
  <dataValidations count="2">
    <dataValidation type="list" allowBlank="1" showInputMessage="1" showErrorMessage="1" sqref="J2:J294" xr:uid="{00000000-0002-0000-0800-000001000000}">
      <formula1>"1,2,3,4"</formula1>
    </dataValidation>
    <dataValidation type="whole" allowBlank="1" showInputMessage="1" showErrorMessage="1" sqref="G1:G1048576" xr:uid="{40475760-11DD-4066-BE32-AD1720B50CDF}">
      <formula1>1</formula1>
      <formula2>10</formula2>
    </dataValidation>
  </dataValidations>
  <hyperlinks>
    <hyperlink ref="AQ96" r:id="rId1" display="http://www.yaulee.com/eng/businessDomain/be/beCompany.htm" xr:uid="{00000000-0004-0000-0800-000000000000}"/>
    <hyperlink ref="AQ89" display="http://www.firsthk.com/propertyindex.php?d=c22_x000a_Jul 2014: First Group: first 3 floors will be retail, rest will be office; will start selling the project in 2016_x000a_Apr 2014: The commercial site, New Kowloon Inland Lot No. 6410 at 650 Cheung Sha Wan Road, was" xr:uid="{00000000-0004-0000-0800-000001000000}"/>
    <hyperlink ref="AQ58" display="http://www.50wchr.com/_x000a_SHK Annual Report 2012/13: Expected completion in 2014/15_x000a_SHK contact: Fillipe Leung: 2828 8660 / Amos Kwok: 2828 5178 / 2827 8111 _x000a_Aug 2011 (Cynthia): Potential only.  No definite plans yet. Inspection made: building unknocekd yet." xr:uid="{00000000-0004-0000-0800-000002000000}"/>
  </hyperlinks>
  <pageMargins left="0.7" right="0.7" top="0.75" bottom="0.75" header="0.3" footer="0.3"/>
  <pageSetup paperSize="9" orientation="portrait" r:id="rId2"/>
  <legacyDrawing r:id="rId3"/>
  <tableParts count="1">
    <tablePart r:id="rId4"/>
  </tableParts>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800-000005000000}">
          <x14:formula1>
            <xm:f>Reference!$M$2:$M$5</xm:f>
          </x14:formula1>
          <xm:sqref>AO256:AO263 AO265:AO274 AO284 AO2:AO254</xm:sqref>
        </x14:dataValidation>
        <x14:dataValidation type="list" allowBlank="1" showInputMessage="1" showErrorMessage="1" xr:uid="{A1A07D07-1BD0-4751-83A6-E205A6BE307D}">
          <x14:formula1>
            <xm:f>Reference!$M$2:$M$6</xm:f>
          </x14:formula1>
          <xm:sqref>AO255</xm:sqref>
        </x14:dataValidation>
        <x14:dataValidation type="list" allowBlank="1" showInputMessage="1" showErrorMessage="1" xr:uid="{00000000-0002-0000-0800-000002000000}">
          <x14:formula1>
            <xm:f>Reference!$L$2:$L$4</xm:f>
          </x14:formula1>
          <xm:sqref>AP2:AP294</xm:sqref>
        </x14:dataValidation>
        <x14:dataValidation type="list" allowBlank="1" showInputMessage="1" showErrorMessage="1" xr:uid="{00000000-0002-0000-0800-000003000000}">
          <x14:formula1>
            <xm:f>Reference!$J$2:$J$3</xm:f>
          </x14:formula1>
          <xm:sqref>AN2:AN294</xm:sqref>
        </x14:dataValidation>
        <x14:dataValidation type="list" allowBlank="1" showInputMessage="1" showErrorMessage="1" xr:uid="{00000000-0002-0000-0800-000004000000}">
          <x14:formula1>
            <xm:f>Reference!$G$2:$G$6</xm:f>
          </x14:formula1>
          <xm:sqref>AL2:AL294</xm:sqref>
        </x14:dataValidation>
        <x14:dataValidation type="list" allowBlank="1" showInputMessage="1" showErrorMessage="1" xr:uid="{00000000-0002-0000-0800-000006000000}">
          <x14:formula1>
            <xm:f>Reference!$K$2:$K$5</xm:f>
          </x14:formula1>
          <xm:sqref>M2:M294</xm:sqref>
        </x14:dataValidation>
        <x14:dataValidation type="list" allowBlank="1" showInputMessage="1" showErrorMessage="1" xr:uid="{00000000-0002-0000-0800-000007000000}">
          <x14:formula1>
            <xm:f>Reference!$E$2:$E$6</xm:f>
          </x14:formula1>
          <xm:sqref>L2:L294</xm:sqref>
        </x14:dataValidation>
        <x14:dataValidation type="list" allowBlank="1" showInputMessage="1" showErrorMessage="1" xr:uid="{2BCEA052-7B46-4601-B4A6-CFAABB9F418E}">
          <x14:formula1>
            <xm:f>Reference!$A$2:$A$31</xm:f>
          </x14:formula1>
          <xm:sqref>E2:E294</xm:sqref>
        </x14:dataValidation>
        <x14:dataValidation type="list" allowBlank="1" showInputMessage="1" showErrorMessage="1" xr:uid="{00000000-0002-0000-0800-000009000000}">
          <x14:formula1>
            <xm:f>Reference!$B$2:$B$29</xm:f>
          </x14:formula1>
          <xm:sqref>F2:F1048576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C00000"/>
  </sheetPr>
  <dimension ref="A1:H186"/>
  <sheetViews>
    <sheetView zoomScale="85" zoomScaleNormal="85" workbookViewId="0">
      <pane ySplit="1" topLeftCell="A152" activePane="bottomLeft" state="frozen"/>
      <selection activeCell="C175" sqref="C175"/>
      <selection pane="bottomLeft" activeCell="C185" sqref="C185"/>
    </sheetView>
  </sheetViews>
  <sheetFormatPr defaultColWidth="9.453125" defaultRowHeight="14.5" x14ac:dyDescent="0.35"/>
  <cols>
    <col min="1" max="1" width="13.54296875" style="42" customWidth="1"/>
    <col min="2" max="2" width="43" style="45" customWidth="1"/>
    <col min="3" max="3" width="24.453125" style="42" customWidth="1"/>
    <col min="4" max="4" width="12.54296875" style="42" customWidth="1"/>
    <col min="5" max="5" width="85" style="44" customWidth="1"/>
    <col min="6" max="6" width="15.453125" style="45" customWidth="1"/>
    <col min="7" max="7" width="21" style="43" customWidth="1"/>
    <col min="8" max="8" width="87.54296875" customWidth="1"/>
  </cols>
  <sheetData>
    <row r="1" spans="1:8" s="51" customFormat="1" ht="26" x14ac:dyDescent="0.35">
      <c r="A1" s="49" t="s">
        <v>848</v>
      </c>
      <c r="B1" s="41" t="s">
        <v>849</v>
      </c>
      <c r="C1" s="49" t="s">
        <v>799</v>
      </c>
      <c r="D1" s="49" t="s">
        <v>69</v>
      </c>
      <c r="E1" s="41" t="s">
        <v>850</v>
      </c>
      <c r="F1" s="41" t="s">
        <v>851</v>
      </c>
      <c r="G1" s="41" t="s">
        <v>852</v>
      </c>
      <c r="H1" s="50" t="s">
        <v>853</v>
      </c>
    </row>
    <row r="2" spans="1:8" s="51" customFormat="1" ht="50" x14ac:dyDescent="0.35">
      <c r="A2" s="46">
        <v>2014</v>
      </c>
      <c r="B2" s="44" t="s">
        <v>742</v>
      </c>
      <c r="C2" s="46" t="s">
        <v>14</v>
      </c>
      <c r="D2" s="52">
        <v>297687.03119999997</v>
      </c>
      <c r="E2" s="44" t="s">
        <v>854</v>
      </c>
      <c r="F2" s="53">
        <v>41244</v>
      </c>
      <c r="G2" s="44" t="s">
        <v>855</v>
      </c>
      <c r="H2" s="54"/>
    </row>
    <row r="3" spans="1:8" s="51" customFormat="1" ht="21" customHeight="1" x14ac:dyDescent="0.35">
      <c r="A3" s="46"/>
      <c r="B3" s="44"/>
      <c r="C3" s="46"/>
      <c r="D3" s="46"/>
      <c r="E3" s="44" t="s">
        <v>856</v>
      </c>
      <c r="F3" s="53">
        <v>41061</v>
      </c>
      <c r="G3" s="44"/>
      <c r="H3" s="54"/>
    </row>
    <row r="4" spans="1:8" s="51" customFormat="1" ht="21" customHeight="1" x14ac:dyDescent="0.35">
      <c r="A4" s="46"/>
      <c r="B4" s="44"/>
      <c r="C4" s="46"/>
      <c r="D4" s="46"/>
      <c r="E4" s="44" t="s">
        <v>857</v>
      </c>
      <c r="F4" s="53">
        <v>40813</v>
      </c>
      <c r="G4" s="44" t="s">
        <v>346</v>
      </c>
      <c r="H4" s="54"/>
    </row>
    <row r="5" spans="1:8" s="51" customFormat="1" ht="24" customHeight="1" x14ac:dyDescent="0.35">
      <c r="A5" s="46"/>
      <c r="B5" s="44"/>
      <c r="C5" s="46"/>
      <c r="D5" s="46"/>
      <c r="E5" s="44" t="s">
        <v>858</v>
      </c>
      <c r="F5" s="53">
        <v>40787</v>
      </c>
      <c r="G5" s="44" t="s">
        <v>859</v>
      </c>
      <c r="H5" s="54"/>
    </row>
    <row r="6" spans="1:8" s="51" customFormat="1" ht="6" customHeight="1" x14ac:dyDescent="0.35">
      <c r="A6" s="55"/>
      <c r="B6" s="48"/>
      <c r="C6" s="55"/>
      <c r="D6" s="55"/>
      <c r="E6" s="48"/>
      <c r="F6" s="56"/>
      <c r="G6" s="48"/>
      <c r="H6" s="57"/>
    </row>
    <row r="7" spans="1:8" s="51" customFormat="1" ht="21" customHeight="1" x14ac:dyDescent="0.35">
      <c r="A7" s="46">
        <v>2014</v>
      </c>
      <c r="B7" s="46" t="s">
        <v>755</v>
      </c>
      <c r="C7" s="46" t="s">
        <v>14</v>
      </c>
      <c r="D7" s="52">
        <v>198302</v>
      </c>
      <c r="E7" s="44" t="s">
        <v>860</v>
      </c>
      <c r="F7" s="53">
        <v>41426</v>
      </c>
      <c r="G7" s="44"/>
    </row>
    <row r="8" spans="1:8" s="51" customFormat="1" ht="45.75" customHeight="1" x14ac:dyDescent="0.35">
      <c r="A8" s="46"/>
      <c r="B8" s="58"/>
      <c r="C8" s="46"/>
      <c r="D8" s="46"/>
      <c r="E8" s="44" t="s">
        <v>861</v>
      </c>
      <c r="F8" s="53">
        <v>41244</v>
      </c>
      <c r="G8" s="44" t="s">
        <v>862</v>
      </c>
    </row>
    <row r="9" spans="1:8" s="51" customFormat="1" ht="23.25" customHeight="1" x14ac:dyDescent="0.35">
      <c r="A9" s="46"/>
      <c r="B9" s="58"/>
      <c r="C9" s="46"/>
      <c r="D9" s="46"/>
      <c r="E9" s="44" t="s">
        <v>863</v>
      </c>
      <c r="F9" s="53">
        <v>41122</v>
      </c>
      <c r="G9" s="44" t="s">
        <v>864</v>
      </c>
    </row>
    <row r="10" spans="1:8" s="51" customFormat="1" ht="21.75" customHeight="1" x14ac:dyDescent="0.35">
      <c r="A10" s="46"/>
      <c r="B10" s="58"/>
      <c r="C10" s="46"/>
      <c r="D10" s="46"/>
      <c r="E10" s="44" t="s">
        <v>865</v>
      </c>
      <c r="F10" s="53">
        <v>41061</v>
      </c>
      <c r="G10" s="44"/>
    </row>
    <row r="11" spans="1:8" s="51" customFormat="1" ht="18.75" customHeight="1" x14ac:dyDescent="0.35">
      <c r="A11" s="46"/>
      <c r="B11" s="58"/>
      <c r="C11" s="46"/>
      <c r="D11" s="46"/>
      <c r="E11" s="44" t="s">
        <v>866</v>
      </c>
      <c r="F11" s="53">
        <v>40848</v>
      </c>
      <c r="G11" s="44" t="s">
        <v>867</v>
      </c>
    </row>
    <row r="12" spans="1:8" s="51" customFormat="1" ht="45.75" customHeight="1" x14ac:dyDescent="0.35">
      <c r="A12" s="46"/>
      <c r="B12" s="58"/>
      <c r="C12" s="46"/>
      <c r="D12" s="46"/>
      <c r="E12" s="44" t="s">
        <v>868</v>
      </c>
      <c r="F12" s="53">
        <v>40787</v>
      </c>
      <c r="G12" s="44" t="s">
        <v>869</v>
      </c>
    </row>
    <row r="13" spans="1:8" s="51" customFormat="1" ht="23.25" customHeight="1" x14ac:dyDescent="0.35">
      <c r="A13" s="46"/>
      <c r="B13" s="58"/>
      <c r="C13" s="46"/>
      <c r="D13" s="46"/>
      <c r="E13" s="44" t="s">
        <v>870</v>
      </c>
      <c r="F13" s="53">
        <v>40057</v>
      </c>
      <c r="G13" s="44"/>
    </row>
    <row r="14" spans="1:8" s="51" customFormat="1" ht="23.25" customHeight="1" x14ac:dyDescent="0.35">
      <c r="A14" s="46"/>
      <c r="B14" s="58"/>
      <c r="C14" s="46"/>
      <c r="D14" s="46"/>
      <c r="E14" s="44" t="s">
        <v>871</v>
      </c>
      <c r="F14" s="44"/>
      <c r="G14" s="44"/>
    </row>
    <row r="15" spans="1:8" s="51" customFormat="1" ht="6" customHeight="1" x14ac:dyDescent="0.35">
      <c r="A15" s="55"/>
      <c r="B15" s="48"/>
      <c r="C15" s="55"/>
      <c r="D15" s="55"/>
      <c r="E15" s="48"/>
      <c r="F15" s="56"/>
      <c r="G15" s="48"/>
      <c r="H15" s="57"/>
    </row>
    <row r="16" spans="1:8" s="51" customFormat="1" ht="32.25" customHeight="1" x14ac:dyDescent="0.35">
      <c r="A16" s="46">
        <v>2014</v>
      </c>
      <c r="B16" s="58" t="s">
        <v>781</v>
      </c>
      <c r="C16" s="46" t="s">
        <v>798</v>
      </c>
      <c r="D16" s="52">
        <v>296739</v>
      </c>
      <c r="E16" s="44" t="s">
        <v>872</v>
      </c>
      <c r="F16" s="53">
        <v>41275</v>
      </c>
      <c r="G16" s="44" t="s">
        <v>642</v>
      </c>
    </row>
    <row r="17" spans="1:8" s="51" customFormat="1" ht="25.5" customHeight="1" x14ac:dyDescent="0.35">
      <c r="A17" s="46"/>
      <c r="B17" s="58"/>
      <c r="C17" s="46"/>
      <c r="D17" s="46"/>
      <c r="E17" s="44" t="s">
        <v>873</v>
      </c>
      <c r="F17" s="53">
        <v>40787</v>
      </c>
      <c r="G17" s="44" t="s">
        <v>874</v>
      </c>
    </row>
    <row r="18" spans="1:8" s="51" customFormat="1" ht="6" customHeight="1" x14ac:dyDescent="0.35">
      <c r="A18" s="55"/>
      <c r="B18" s="48"/>
      <c r="C18" s="55"/>
      <c r="D18" s="55"/>
      <c r="E18" s="48"/>
      <c r="F18" s="56"/>
      <c r="G18" s="48"/>
      <c r="H18" s="57"/>
    </row>
    <row r="19" spans="1:8" s="51" customFormat="1" ht="36.75" customHeight="1" x14ac:dyDescent="0.35">
      <c r="A19" s="46">
        <v>2014</v>
      </c>
      <c r="B19" s="46" t="s">
        <v>787</v>
      </c>
      <c r="C19" s="46" t="s">
        <v>846</v>
      </c>
      <c r="D19" s="52">
        <v>186777</v>
      </c>
      <c r="E19" s="44" t="s">
        <v>1114</v>
      </c>
      <c r="F19" s="53">
        <v>41681</v>
      </c>
      <c r="G19" s="44" t="s">
        <v>1113</v>
      </c>
    </row>
    <row r="20" spans="1:8" s="51" customFormat="1" ht="36.75" customHeight="1" x14ac:dyDescent="0.35">
      <c r="A20" s="46"/>
      <c r="B20" s="46"/>
      <c r="C20" s="46"/>
      <c r="D20" s="52"/>
      <c r="E20" s="44" t="s">
        <v>875</v>
      </c>
      <c r="F20" s="53">
        <v>41456</v>
      </c>
      <c r="G20" s="44" t="s">
        <v>876</v>
      </c>
    </row>
    <row r="21" spans="1:8" s="51" customFormat="1" ht="33.75" customHeight="1" x14ac:dyDescent="0.35">
      <c r="A21" s="46"/>
      <c r="B21" s="58"/>
      <c r="C21" s="46"/>
      <c r="D21" s="46"/>
      <c r="E21" s="44" t="s">
        <v>877</v>
      </c>
      <c r="F21" s="53"/>
      <c r="G21" s="44" t="s">
        <v>878</v>
      </c>
    </row>
    <row r="22" spans="1:8" s="51" customFormat="1" ht="6" customHeight="1" x14ac:dyDescent="0.35">
      <c r="A22" s="55"/>
      <c r="B22" s="48"/>
      <c r="C22" s="55"/>
      <c r="D22" s="55"/>
      <c r="E22" s="48"/>
      <c r="F22" s="56"/>
      <c r="G22" s="48"/>
      <c r="H22" s="57"/>
    </row>
    <row r="23" spans="1:8" s="51" customFormat="1" ht="20.25" customHeight="1" x14ac:dyDescent="0.35">
      <c r="A23" s="46">
        <v>2015</v>
      </c>
      <c r="B23" s="46" t="s">
        <v>281</v>
      </c>
      <c r="C23" s="46" t="s">
        <v>14</v>
      </c>
      <c r="D23" s="52">
        <v>201521</v>
      </c>
      <c r="E23" s="44" t="s">
        <v>879</v>
      </c>
      <c r="F23" s="53">
        <v>41760</v>
      </c>
      <c r="G23" s="44"/>
    </row>
    <row r="24" spans="1:8" s="51" customFormat="1" ht="18" customHeight="1" x14ac:dyDescent="0.35">
      <c r="A24" s="46"/>
      <c r="B24" s="58"/>
      <c r="C24" s="46"/>
      <c r="D24" s="46"/>
      <c r="E24" s="44" t="s">
        <v>860</v>
      </c>
      <c r="F24" s="53">
        <v>41426</v>
      </c>
      <c r="G24" s="44"/>
    </row>
    <row r="25" spans="1:8" s="51" customFormat="1" ht="16.5" customHeight="1" x14ac:dyDescent="0.35">
      <c r="A25" s="46"/>
      <c r="B25" s="58"/>
      <c r="C25" s="46"/>
      <c r="D25" s="46"/>
      <c r="E25" s="44" t="s">
        <v>880</v>
      </c>
      <c r="F25" s="53">
        <v>41061</v>
      </c>
      <c r="G25" s="44"/>
    </row>
    <row r="26" spans="1:8" s="51" customFormat="1" ht="21" customHeight="1" x14ac:dyDescent="0.35">
      <c r="A26" s="46"/>
      <c r="B26" s="58"/>
      <c r="C26" s="46"/>
      <c r="D26" s="46"/>
      <c r="E26" s="44" t="s">
        <v>881</v>
      </c>
      <c r="F26" s="53">
        <v>40940</v>
      </c>
      <c r="G26" s="44"/>
    </row>
    <row r="27" spans="1:8" s="51" customFormat="1" ht="36" customHeight="1" x14ac:dyDescent="0.35">
      <c r="A27" s="46"/>
      <c r="B27" s="58"/>
      <c r="C27" s="46"/>
      <c r="D27" s="46"/>
      <c r="E27" s="44" t="s">
        <v>882</v>
      </c>
      <c r="F27" s="53">
        <v>40787</v>
      </c>
      <c r="G27" s="44" t="s">
        <v>883</v>
      </c>
    </row>
    <row r="28" spans="1:8" s="51" customFormat="1" ht="6" customHeight="1" x14ac:dyDescent="0.35">
      <c r="A28" s="55"/>
      <c r="B28" s="48"/>
      <c r="C28" s="55"/>
      <c r="D28" s="55"/>
      <c r="E28" s="48"/>
      <c r="F28" s="56"/>
      <c r="G28" s="48"/>
      <c r="H28" s="57"/>
    </row>
    <row r="29" spans="1:8" s="51" customFormat="1" ht="19.5" customHeight="1" x14ac:dyDescent="0.35">
      <c r="A29" s="46">
        <v>2015</v>
      </c>
      <c r="B29" s="46" t="s">
        <v>187</v>
      </c>
      <c r="C29" s="46" t="s">
        <v>8</v>
      </c>
      <c r="D29" s="52">
        <v>123799</v>
      </c>
      <c r="E29" s="44" t="s">
        <v>884</v>
      </c>
      <c r="F29" s="53">
        <v>41730</v>
      </c>
      <c r="G29" s="44"/>
    </row>
    <row r="30" spans="1:8" s="51" customFormat="1" ht="19.5" customHeight="1" x14ac:dyDescent="0.35">
      <c r="A30" s="46"/>
      <c r="B30" s="58"/>
      <c r="C30" s="46"/>
      <c r="D30" s="46"/>
      <c r="E30" s="44" t="s">
        <v>885</v>
      </c>
      <c r="F30" s="53">
        <v>41426</v>
      </c>
      <c r="G30" s="44"/>
    </row>
    <row r="31" spans="1:8" s="51" customFormat="1" ht="31.5" customHeight="1" x14ac:dyDescent="0.35">
      <c r="A31" s="46"/>
      <c r="B31" s="58"/>
      <c r="C31" s="46"/>
      <c r="D31" s="46"/>
      <c r="E31" s="44" t="s">
        <v>886</v>
      </c>
      <c r="F31" s="53">
        <v>40787</v>
      </c>
      <c r="G31" s="44" t="s">
        <v>859</v>
      </c>
    </row>
    <row r="32" spans="1:8" s="51" customFormat="1" ht="6" customHeight="1" x14ac:dyDescent="0.35">
      <c r="A32" s="55"/>
      <c r="B32" s="48"/>
      <c r="C32" s="55"/>
      <c r="D32" s="55"/>
      <c r="E32" s="48"/>
      <c r="F32" s="56"/>
      <c r="G32" s="48"/>
      <c r="H32" s="57"/>
    </row>
    <row r="33" spans="1:8" s="51" customFormat="1" ht="59.25" customHeight="1" x14ac:dyDescent="0.35">
      <c r="A33" s="46">
        <v>2015</v>
      </c>
      <c r="B33" s="46" t="s">
        <v>763</v>
      </c>
      <c r="C33" s="46" t="s">
        <v>795</v>
      </c>
      <c r="D33" s="52">
        <v>122850</v>
      </c>
      <c r="E33" s="51" t="s">
        <v>1092</v>
      </c>
      <c r="F33" s="53">
        <v>41935</v>
      </c>
      <c r="G33" s="58" t="s">
        <v>1093</v>
      </c>
      <c r="H33" s="58" t="s">
        <v>1094</v>
      </c>
    </row>
    <row r="34" spans="1:8" s="51" customFormat="1" ht="59.25" customHeight="1" x14ac:dyDescent="0.35">
      <c r="A34" s="46"/>
      <c r="B34" s="46"/>
      <c r="C34" s="46"/>
      <c r="D34" s="52"/>
      <c r="E34" s="44" t="s">
        <v>887</v>
      </c>
      <c r="F34" s="53">
        <v>41518</v>
      </c>
      <c r="G34" s="44" t="s">
        <v>888</v>
      </c>
    </row>
    <row r="35" spans="1:8" s="51" customFormat="1" ht="60.75" customHeight="1" x14ac:dyDescent="0.35">
      <c r="A35" s="46"/>
      <c r="B35" s="58"/>
      <c r="C35" s="46"/>
      <c r="D35" s="46"/>
      <c r="E35" s="44" t="s">
        <v>889</v>
      </c>
      <c r="F35" s="53">
        <v>41061</v>
      </c>
      <c r="G35" s="44" t="s">
        <v>890</v>
      </c>
    </row>
    <row r="36" spans="1:8" s="51" customFormat="1" ht="20.25" customHeight="1" x14ac:dyDescent="0.35">
      <c r="A36" s="46"/>
      <c r="B36" s="58"/>
      <c r="C36" s="46"/>
      <c r="D36" s="46"/>
      <c r="E36" s="44" t="s">
        <v>891</v>
      </c>
      <c r="F36" s="53">
        <v>40787</v>
      </c>
      <c r="G36" s="44"/>
    </row>
    <row r="37" spans="1:8" s="51" customFormat="1" ht="18" customHeight="1" x14ac:dyDescent="0.35">
      <c r="A37" s="46"/>
      <c r="B37" s="58"/>
      <c r="C37" s="46"/>
      <c r="D37" s="46"/>
      <c r="E37" s="44" t="s">
        <v>892</v>
      </c>
      <c r="F37" s="53"/>
      <c r="G37" s="44"/>
    </row>
    <row r="38" spans="1:8" s="51" customFormat="1" ht="37.5" customHeight="1" x14ac:dyDescent="0.35">
      <c r="A38" s="46"/>
      <c r="B38" s="58"/>
      <c r="C38" s="46"/>
      <c r="D38" s="46"/>
      <c r="E38" s="44" t="s">
        <v>893</v>
      </c>
      <c r="F38" s="53">
        <v>40787</v>
      </c>
      <c r="G38" s="44" t="s">
        <v>894</v>
      </c>
    </row>
    <row r="39" spans="1:8" s="51" customFormat="1" ht="45.75" customHeight="1" x14ac:dyDescent="0.35">
      <c r="A39" s="46"/>
      <c r="B39" s="58"/>
      <c r="C39" s="46"/>
      <c r="D39" s="46"/>
      <c r="E39" s="44" t="s">
        <v>895</v>
      </c>
      <c r="F39" s="53">
        <v>41061</v>
      </c>
      <c r="G39" s="44" t="s">
        <v>896</v>
      </c>
    </row>
    <row r="40" spans="1:8" s="51" customFormat="1" ht="6" customHeight="1" x14ac:dyDescent="0.35">
      <c r="A40" s="55"/>
      <c r="B40" s="48"/>
      <c r="C40" s="55"/>
      <c r="D40" s="55"/>
      <c r="E40" s="48"/>
      <c r="F40" s="56"/>
      <c r="G40" s="48"/>
      <c r="H40" s="57"/>
    </row>
    <row r="41" spans="1:8" s="51" customFormat="1" ht="33" customHeight="1" x14ac:dyDescent="0.35">
      <c r="A41" s="46">
        <v>2015</v>
      </c>
      <c r="B41" s="46" t="s">
        <v>438</v>
      </c>
      <c r="C41" s="46" t="s">
        <v>1</v>
      </c>
      <c r="D41" s="52">
        <v>87439</v>
      </c>
      <c r="E41" s="44" t="s">
        <v>897</v>
      </c>
      <c r="F41" s="53">
        <v>41306</v>
      </c>
      <c r="G41" s="44" t="s">
        <v>867</v>
      </c>
    </row>
    <row r="42" spans="1:8" s="51" customFormat="1" ht="58.5" customHeight="1" x14ac:dyDescent="0.35">
      <c r="A42" s="46"/>
      <c r="B42" s="58"/>
      <c r="C42" s="46"/>
      <c r="D42" s="46"/>
      <c r="E42" s="44" t="s">
        <v>898</v>
      </c>
      <c r="F42" s="53">
        <v>40969</v>
      </c>
      <c r="G42" s="44" t="s">
        <v>867</v>
      </c>
    </row>
    <row r="43" spans="1:8" s="51" customFormat="1" ht="20.25" customHeight="1" x14ac:dyDescent="0.35">
      <c r="A43" s="46"/>
      <c r="B43" s="58"/>
      <c r="C43" s="46"/>
      <c r="D43" s="46"/>
      <c r="E43" s="44" t="s">
        <v>899</v>
      </c>
      <c r="F43" s="53">
        <v>40969</v>
      </c>
      <c r="G43" s="44" t="s">
        <v>867</v>
      </c>
    </row>
    <row r="44" spans="1:8" s="51" customFormat="1" ht="18" customHeight="1" x14ac:dyDescent="0.35">
      <c r="A44" s="46"/>
      <c r="B44" s="58"/>
      <c r="C44" s="46"/>
      <c r="D44" s="46"/>
      <c r="E44" s="44" t="s">
        <v>900</v>
      </c>
      <c r="F44" s="53"/>
      <c r="G44" s="44"/>
    </row>
    <row r="45" spans="1:8" s="51" customFormat="1" ht="30.75" customHeight="1" x14ac:dyDescent="0.35">
      <c r="A45" s="46"/>
      <c r="B45" s="58"/>
      <c r="C45" s="46"/>
      <c r="D45" s="46"/>
      <c r="E45" s="44" t="s">
        <v>901</v>
      </c>
      <c r="F45" s="53">
        <v>40787</v>
      </c>
      <c r="G45" s="44" t="s">
        <v>894</v>
      </c>
    </row>
    <row r="46" spans="1:8" s="51" customFormat="1" ht="42.75" customHeight="1" x14ac:dyDescent="0.35">
      <c r="A46" s="46"/>
      <c r="B46" s="58"/>
      <c r="C46" s="46"/>
      <c r="D46" s="46"/>
      <c r="E46" s="44" t="s">
        <v>902</v>
      </c>
      <c r="F46" s="53">
        <v>40787</v>
      </c>
      <c r="G46" s="44" t="s">
        <v>894</v>
      </c>
    </row>
    <row r="47" spans="1:8" s="51" customFormat="1" ht="21" customHeight="1" x14ac:dyDescent="0.35">
      <c r="A47" s="46"/>
      <c r="B47" s="58"/>
      <c r="C47" s="46"/>
      <c r="D47" s="46"/>
      <c r="E47" s="44" t="s">
        <v>903</v>
      </c>
      <c r="F47" s="53"/>
      <c r="G47" s="44"/>
    </row>
    <row r="48" spans="1:8" s="51" customFormat="1" ht="21.75" customHeight="1" x14ac:dyDescent="0.35">
      <c r="A48" s="46"/>
      <c r="B48" s="58"/>
      <c r="C48" s="46"/>
      <c r="D48" s="46"/>
      <c r="E48" s="44" t="s">
        <v>904</v>
      </c>
      <c r="F48" s="53"/>
      <c r="G48" s="44"/>
    </row>
    <row r="49" spans="1:8" s="51" customFormat="1" ht="6" customHeight="1" x14ac:dyDescent="0.35">
      <c r="A49" s="55"/>
      <c r="B49" s="48"/>
      <c r="C49" s="55"/>
      <c r="D49" s="55"/>
      <c r="E49" s="48"/>
      <c r="F49" s="56"/>
      <c r="G49" s="48"/>
      <c r="H49" s="57"/>
    </row>
    <row r="50" spans="1:8" s="51" customFormat="1" ht="49.5" customHeight="1" x14ac:dyDescent="0.35">
      <c r="A50" s="46">
        <v>2015</v>
      </c>
      <c r="B50" s="46" t="s">
        <v>762</v>
      </c>
      <c r="C50" s="46" t="s">
        <v>798</v>
      </c>
      <c r="D50" s="52">
        <v>286150</v>
      </c>
      <c r="E50" s="51" t="s">
        <v>1037</v>
      </c>
      <c r="F50" s="53">
        <v>41844</v>
      </c>
      <c r="G50" s="51" t="s">
        <v>346</v>
      </c>
    </row>
    <row r="51" spans="1:8" s="51" customFormat="1" ht="33" customHeight="1" x14ac:dyDescent="0.35">
      <c r="A51" s="46"/>
      <c r="B51" s="46"/>
      <c r="C51" s="46"/>
      <c r="D51" s="52"/>
      <c r="E51" s="44" t="s">
        <v>905</v>
      </c>
      <c r="F51" s="53">
        <v>41244</v>
      </c>
      <c r="G51" s="44" t="s">
        <v>855</v>
      </c>
    </row>
    <row r="52" spans="1:8" s="51" customFormat="1" ht="18.75" customHeight="1" x14ac:dyDescent="0.35">
      <c r="A52" s="46"/>
      <c r="B52" s="58"/>
      <c r="C52" s="46"/>
      <c r="D52" s="46"/>
      <c r="E52" s="44" t="s">
        <v>198</v>
      </c>
      <c r="F52" s="53">
        <v>41061</v>
      </c>
      <c r="G52" s="44"/>
    </row>
    <row r="53" spans="1:8" s="51" customFormat="1" ht="6" customHeight="1" x14ac:dyDescent="0.35">
      <c r="A53" s="55"/>
      <c r="B53" s="48"/>
      <c r="C53" s="55"/>
      <c r="D53" s="55"/>
      <c r="E53" s="48"/>
      <c r="F53" s="56"/>
      <c r="G53" s="48"/>
      <c r="H53" s="57"/>
    </row>
    <row r="54" spans="1:8" s="51" customFormat="1" ht="46.5" customHeight="1" x14ac:dyDescent="0.35">
      <c r="A54" s="46">
        <v>2015</v>
      </c>
      <c r="B54" s="46" t="s">
        <v>761</v>
      </c>
      <c r="C54" s="46" t="s">
        <v>798</v>
      </c>
      <c r="D54" s="52">
        <v>322799</v>
      </c>
      <c r="E54" s="51" t="s">
        <v>1037</v>
      </c>
      <c r="F54" s="53">
        <v>41844</v>
      </c>
      <c r="G54" s="51" t="s">
        <v>346</v>
      </c>
    </row>
    <row r="55" spans="1:8" s="51" customFormat="1" ht="34.5" customHeight="1" x14ac:dyDescent="0.35">
      <c r="A55" s="46"/>
      <c r="B55" s="46"/>
      <c r="C55" s="46"/>
      <c r="D55" s="52"/>
      <c r="E55" s="44" t="s">
        <v>906</v>
      </c>
      <c r="F55" s="53">
        <v>41244</v>
      </c>
      <c r="G55" s="44"/>
    </row>
    <row r="56" spans="1:8" s="51" customFormat="1" ht="6" customHeight="1" x14ac:dyDescent="0.35">
      <c r="A56" s="55"/>
      <c r="B56" s="48"/>
      <c r="C56" s="55"/>
      <c r="D56" s="55"/>
      <c r="E56" s="48"/>
      <c r="F56" s="56"/>
      <c r="G56" s="48"/>
      <c r="H56" s="57"/>
    </row>
    <row r="57" spans="1:8" s="51" customFormat="1" ht="34.5" customHeight="1" x14ac:dyDescent="0.35">
      <c r="A57" s="46">
        <v>2015</v>
      </c>
      <c r="B57" s="46" t="s">
        <v>206</v>
      </c>
      <c r="C57" s="46" t="s">
        <v>14</v>
      </c>
      <c r="D57" s="52">
        <v>77010.176879999985</v>
      </c>
      <c r="E57" s="44" t="s">
        <v>1041</v>
      </c>
      <c r="F57" s="53">
        <v>41857</v>
      </c>
      <c r="G57" s="44" t="s">
        <v>346</v>
      </c>
      <c r="H57" s="51" t="s">
        <v>1042</v>
      </c>
    </row>
    <row r="58" spans="1:8" s="51" customFormat="1" ht="6" customHeight="1" x14ac:dyDescent="0.35">
      <c r="A58" s="55"/>
      <c r="B58" s="48"/>
      <c r="C58" s="55"/>
      <c r="D58" s="55"/>
      <c r="E58" s="48"/>
      <c r="F58" s="56"/>
      <c r="G58" s="48"/>
      <c r="H58" s="57"/>
    </row>
    <row r="59" spans="1:8" s="51" customFormat="1" ht="72" customHeight="1" x14ac:dyDescent="0.35">
      <c r="A59" s="46">
        <v>2015</v>
      </c>
      <c r="B59" s="46" t="s">
        <v>738</v>
      </c>
      <c r="C59" s="46" t="s">
        <v>14</v>
      </c>
      <c r="D59" s="52">
        <v>694424</v>
      </c>
      <c r="E59" s="44" t="s">
        <v>907</v>
      </c>
      <c r="F59" s="53">
        <v>41807</v>
      </c>
      <c r="G59" s="44" t="s">
        <v>908</v>
      </c>
    </row>
    <row r="60" spans="1:8" s="51" customFormat="1" ht="22.5" customHeight="1" x14ac:dyDescent="0.35">
      <c r="A60" s="46"/>
      <c r="B60" s="58"/>
      <c r="C60" s="46"/>
      <c r="D60" s="46"/>
      <c r="E60" s="44" t="s">
        <v>909</v>
      </c>
      <c r="F60" s="53">
        <v>41760</v>
      </c>
      <c r="G60" s="44"/>
    </row>
    <row r="61" spans="1:8" s="51" customFormat="1" ht="73.5" customHeight="1" x14ac:dyDescent="0.35">
      <c r="A61" s="46"/>
      <c r="B61" s="58"/>
      <c r="C61" s="46"/>
      <c r="D61" s="46"/>
      <c r="E61" s="44" t="s">
        <v>910</v>
      </c>
      <c r="F61" s="53">
        <v>41365</v>
      </c>
      <c r="G61" s="44" t="s">
        <v>911</v>
      </c>
    </row>
    <row r="62" spans="1:8" s="51" customFormat="1" ht="42.75" customHeight="1" x14ac:dyDescent="0.35">
      <c r="A62" s="46"/>
      <c r="B62" s="58"/>
      <c r="C62" s="46"/>
      <c r="D62" s="46"/>
      <c r="E62" s="44" t="s">
        <v>912</v>
      </c>
      <c r="F62" s="53">
        <v>41244</v>
      </c>
      <c r="G62" s="44" t="s">
        <v>864</v>
      </c>
    </row>
    <row r="63" spans="1:8" s="51" customFormat="1" ht="87.75" customHeight="1" x14ac:dyDescent="0.35">
      <c r="A63" s="46"/>
      <c r="B63" s="58"/>
      <c r="C63" s="46"/>
      <c r="D63" s="46"/>
      <c r="E63" s="44" t="s">
        <v>913</v>
      </c>
      <c r="F63" s="53"/>
      <c r="G63" s="44"/>
    </row>
    <row r="64" spans="1:8" s="51" customFormat="1" ht="6" customHeight="1" x14ac:dyDescent="0.35">
      <c r="A64" s="55"/>
      <c r="B64" s="48"/>
      <c r="C64" s="55"/>
      <c r="D64" s="55"/>
      <c r="E64" s="48"/>
      <c r="F64" s="56"/>
      <c r="G64" s="48"/>
      <c r="H64" s="57"/>
    </row>
    <row r="65" spans="1:8" s="51" customFormat="1" ht="30.75" customHeight="1" x14ac:dyDescent="0.35">
      <c r="A65" s="46">
        <v>2015</v>
      </c>
      <c r="B65" s="46" t="s">
        <v>838</v>
      </c>
      <c r="C65" s="46" t="s">
        <v>797</v>
      </c>
      <c r="D65" s="52">
        <v>391725</v>
      </c>
      <c r="E65" s="44" t="s">
        <v>914</v>
      </c>
      <c r="F65" s="53">
        <v>41426</v>
      </c>
      <c r="G65" s="44"/>
    </row>
    <row r="66" spans="1:8" s="51" customFormat="1" ht="23.25" customHeight="1" x14ac:dyDescent="0.35">
      <c r="A66" s="46"/>
      <c r="B66" s="58"/>
      <c r="C66" s="46"/>
      <c r="D66" s="46"/>
      <c r="E66" s="44" t="s">
        <v>915</v>
      </c>
      <c r="F66" s="53">
        <v>41122</v>
      </c>
      <c r="G66" s="44" t="s">
        <v>864</v>
      </c>
    </row>
    <row r="67" spans="1:8" s="51" customFormat="1" ht="24" customHeight="1" x14ac:dyDescent="0.35">
      <c r="A67" s="46"/>
      <c r="B67" s="58"/>
      <c r="C67" s="46"/>
      <c r="D67" s="46"/>
      <c r="E67" s="44" t="s">
        <v>916</v>
      </c>
      <c r="F67" s="53">
        <v>40787</v>
      </c>
      <c r="G67" s="44" t="s">
        <v>874</v>
      </c>
    </row>
    <row r="68" spans="1:8" s="51" customFormat="1" ht="72.75" customHeight="1" x14ac:dyDescent="0.35">
      <c r="A68" s="46"/>
      <c r="B68" s="58"/>
      <c r="C68" s="46"/>
      <c r="D68" s="46"/>
      <c r="E68" s="44" t="s">
        <v>917</v>
      </c>
      <c r="F68" s="53">
        <v>40756</v>
      </c>
      <c r="G68" s="44"/>
    </row>
    <row r="69" spans="1:8" s="51" customFormat="1" ht="6" customHeight="1" x14ac:dyDescent="0.35">
      <c r="A69" s="55"/>
      <c r="B69" s="48"/>
      <c r="C69" s="55"/>
      <c r="D69" s="55"/>
      <c r="E69" s="48"/>
      <c r="F69" s="56"/>
      <c r="G69" s="48"/>
      <c r="H69" s="57"/>
    </row>
    <row r="70" spans="1:8" s="51" customFormat="1" ht="25.5" customHeight="1" x14ac:dyDescent="0.35">
      <c r="A70" s="46">
        <v>2015</v>
      </c>
      <c r="B70" s="46" t="s">
        <v>552</v>
      </c>
      <c r="C70" s="46" t="s">
        <v>846</v>
      </c>
      <c r="D70" s="52">
        <v>67993</v>
      </c>
      <c r="E70" s="44" t="s">
        <v>1035</v>
      </c>
      <c r="F70" s="53">
        <v>41821</v>
      </c>
      <c r="G70" s="44" t="s">
        <v>1036</v>
      </c>
    </row>
    <row r="71" spans="1:8" s="51" customFormat="1" ht="25.5" customHeight="1" x14ac:dyDescent="0.35">
      <c r="A71" s="46"/>
      <c r="B71" s="46"/>
      <c r="C71" s="46"/>
      <c r="D71" s="52"/>
      <c r="E71" s="44" t="s">
        <v>918</v>
      </c>
      <c r="F71" s="53">
        <v>41671</v>
      </c>
      <c r="G71" s="44" t="s">
        <v>919</v>
      </c>
    </row>
    <row r="72" spans="1:8" s="51" customFormat="1" ht="21.75" customHeight="1" x14ac:dyDescent="0.35">
      <c r="A72" s="46"/>
      <c r="B72" s="58"/>
      <c r="C72" s="46"/>
      <c r="D72" s="46"/>
      <c r="E72" s="44" t="s">
        <v>920</v>
      </c>
      <c r="F72" s="53"/>
      <c r="G72" s="44"/>
    </row>
    <row r="73" spans="1:8" s="51" customFormat="1" ht="30.75" customHeight="1" x14ac:dyDescent="0.35">
      <c r="A73" s="46"/>
      <c r="B73" s="58"/>
      <c r="C73" s="46"/>
      <c r="D73" s="46"/>
      <c r="E73" s="44" t="s">
        <v>921</v>
      </c>
      <c r="F73" s="53">
        <v>40756</v>
      </c>
      <c r="G73" s="44" t="s">
        <v>894</v>
      </c>
    </row>
    <row r="74" spans="1:8" s="51" customFormat="1" ht="23.25" customHeight="1" x14ac:dyDescent="0.35">
      <c r="A74" s="46"/>
      <c r="B74" s="58"/>
      <c r="C74" s="46"/>
      <c r="D74" s="46"/>
      <c r="E74" s="44" t="s">
        <v>922</v>
      </c>
      <c r="F74" s="53">
        <v>40756</v>
      </c>
      <c r="G74" s="44" t="s">
        <v>894</v>
      </c>
    </row>
    <row r="75" spans="1:8" s="51" customFormat="1" ht="6" customHeight="1" x14ac:dyDescent="0.35">
      <c r="A75" s="55"/>
      <c r="B75" s="48"/>
      <c r="C75" s="55"/>
      <c r="D75" s="55"/>
      <c r="E75" s="48"/>
      <c r="F75" s="56"/>
      <c r="G75" s="48"/>
      <c r="H75" s="57"/>
    </row>
    <row r="76" spans="1:8" s="51" customFormat="1" ht="75.75" customHeight="1" x14ac:dyDescent="0.35">
      <c r="A76" s="46">
        <v>2015</v>
      </c>
      <c r="B76" s="46" t="s">
        <v>348</v>
      </c>
      <c r="C76" s="46" t="s">
        <v>798</v>
      </c>
      <c r="D76" s="52">
        <v>115286</v>
      </c>
      <c r="E76" s="44" t="s">
        <v>923</v>
      </c>
      <c r="F76" s="53">
        <v>40969</v>
      </c>
      <c r="G76" s="44" t="s">
        <v>874</v>
      </c>
    </row>
    <row r="77" spans="1:8" s="51" customFormat="1" ht="25.5" customHeight="1" x14ac:dyDescent="0.35">
      <c r="A77" s="46"/>
      <c r="B77" s="58"/>
      <c r="C77" s="46"/>
      <c r="D77" s="46"/>
      <c r="E77" s="44" t="s">
        <v>924</v>
      </c>
      <c r="F77" s="53">
        <v>40969</v>
      </c>
      <c r="G77" s="44"/>
    </row>
    <row r="78" spans="1:8" s="51" customFormat="1" ht="6" customHeight="1" x14ac:dyDescent="0.35">
      <c r="A78" s="55"/>
      <c r="B78" s="48"/>
      <c r="C78" s="55"/>
      <c r="D78" s="55"/>
      <c r="E78" s="48"/>
      <c r="F78" s="56"/>
      <c r="G78" s="48"/>
      <c r="H78" s="57"/>
    </row>
    <row r="79" spans="1:8" s="51" customFormat="1" ht="87" x14ac:dyDescent="0.35">
      <c r="A79" s="46">
        <v>2016</v>
      </c>
      <c r="B79" s="46" t="s">
        <v>692</v>
      </c>
      <c r="C79" s="46" t="s">
        <v>14</v>
      </c>
      <c r="D79" s="52">
        <v>359407</v>
      </c>
      <c r="E79" s="51" t="s">
        <v>1043</v>
      </c>
      <c r="F79" s="53">
        <v>41858</v>
      </c>
      <c r="G79" s="51" t="s">
        <v>1044</v>
      </c>
    </row>
    <row r="80" spans="1:8" s="51" customFormat="1" x14ac:dyDescent="0.35">
      <c r="A80" s="46"/>
      <c r="B80" s="46"/>
      <c r="C80" s="46"/>
      <c r="D80" s="52"/>
      <c r="E80" s="44" t="s">
        <v>925</v>
      </c>
      <c r="F80" s="53"/>
      <c r="G80" s="44" t="s">
        <v>926</v>
      </c>
    </row>
    <row r="81" spans="1:8" s="51" customFormat="1" ht="23.25" customHeight="1" x14ac:dyDescent="0.35">
      <c r="A81" s="46"/>
      <c r="B81" s="58"/>
      <c r="C81" s="46"/>
      <c r="D81" s="46"/>
      <c r="E81" s="44" t="s">
        <v>927</v>
      </c>
      <c r="F81" s="53">
        <v>41426</v>
      </c>
      <c r="G81" s="44"/>
    </row>
    <row r="82" spans="1:8" s="51" customFormat="1" ht="25" x14ac:dyDescent="0.35">
      <c r="A82" s="46"/>
      <c r="B82" s="58"/>
      <c r="C82" s="46"/>
      <c r="D82" s="46"/>
      <c r="E82" s="44" t="s">
        <v>928</v>
      </c>
      <c r="F82" s="53">
        <v>40787</v>
      </c>
      <c r="G82" s="44"/>
    </row>
    <row r="83" spans="1:8" s="51" customFormat="1" ht="49.5" customHeight="1" x14ac:dyDescent="0.35">
      <c r="A83" s="46"/>
      <c r="B83" s="58"/>
      <c r="C83" s="46"/>
      <c r="D83" s="46"/>
      <c r="E83" s="44" t="s">
        <v>929</v>
      </c>
      <c r="F83" s="53"/>
      <c r="G83" s="44"/>
    </row>
    <row r="84" spans="1:8" s="51" customFormat="1" ht="21.75" customHeight="1" x14ac:dyDescent="0.35">
      <c r="A84" s="46"/>
      <c r="B84" s="58"/>
      <c r="C84" s="46"/>
      <c r="D84" s="46"/>
      <c r="E84" s="44" t="s">
        <v>930</v>
      </c>
      <c r="F84" s="53" t="s">
        <v>931</v>
      </c>
      <c r="G84" s="44"/>
    </row>
    <row r="85" spans="1:8" s="51" customFormat="1" ht="6" customHeight="1" x14ac:dyDescent="0.35">
      <c r="A85" s="55"/>
      <c r="B85" s="48"/>
      <c r="C85" s="55"/>
      <c r="D85" s="55"/>
      <c r="E85" s="48"/>
      <c r="F85" s="56"/>
      <c r="G85" s="48"/>
      <c r="H85" s="57"/>
    </row>
    <row r="86" spans="1:8" s="51" customFormat="1" ht="45" customHeight="1" x14ac:dyDescent="0.35">
      <c r="A86" s="46">
        <v>2016</v>
      </c>
      <c r="B86" s="46" t="s">
        <v>626</v>
      </c>
      <c r="C86" s="46" t="s">
        <v>932</v>
      </c>
      <c r="D86" s="52">
        <v>286875</v>
      </c>
      <c r="E86" s="44" t="s">
        <v>1038</v>
      </c>
      <c r="F86" s="53">
        <v>41851</v>
      </c>
      <c r="G86" s="51" t="s">
        <v>1040</v>
      </c>
      <c r="H86" s="51" t="s">
        <v>1039</v>
      </c>
    </row>
    <row r="87" spans="1:8" s="51" customFormat="1" ht="45" customHeight="1" x14ac:dyDescent="0.35">
      <c r="A87" s="46"/>
      <c r="B87" s="46"/>
      <c r="C87" s="46"/>
      <c r="D87" s="52"/>
      <c r="E87" s="44" t="s">
        <v>933</v>
      </c>
      <c r="F87" s="53">
        <v>41730</v>
      </c>
      <c r="G87" s="44" t="s">
        <v>934</v>
      </c>
    </row>
    <row r="88" spans="1:8" s="51" customFormat="1" ht="24" customHeight="1" x14ac:dyDescent="0.35">
      <c r="A88" s="46"/>
      <c r="B88" s="58"/>
      <c r="C88" s="46"/>
      <c r="D88" s="46"/>
      <c r="E88" s="44" t="s">
        <v>935</v>
      </c>
      <c r="F88" s="53"/>
      <c r="G88" s="44"/>
    </row>
    <row r="89" spans="1:8" s="51" customFormat="1" ht="33.75" customHeight="1" x14ac:dyDescent="0.35">
      <c r="A89" s="46"/>
      <c r="B89" s="58"/>
      <c r="C89" s="46"/>
      <c r="D89" s="46"/>
      <c r="E89" s="44" t="s">
        <v>936</v>
      </c>
      <c r="F89" s="53">
        <v>41671</v>
      </c>
      <c r="G89" s="44" t="s">
        <v>890</v>
      </c>
    </row>
    <row r="90" spans="1:8" s="51" customFormat="1" ht="79.5" customHeight="1" x14ac:dyDescent="0.35">
      <c r="A90" s="46"/>
      <c r="B90" s="58"/>
      <c r="C90" s="46"/>
      <c r="D90" s="46"/>
      <c r="E90" s="44" t="s">
        <v>937</v>
      </c>
      <c r="F90" s="53">
        <v>41671</v>
      </c>
      <c r="G90" s="44"/>
    </row>
    <row r="91" spans="1:8" s="51" customFormat="1" ht="21" customHeight="1" x14ac:dyDescent="0.35">
      <c r="A91" s="46"/>
      <c r="B91" s="58"/>
      <c r="C91" s="46"/>
      <c r="D91" s="46"/>
      <c r="E91" s="44" t="s">
        <v>938</v>
      </c>
      <c r="F91" s="53">
        <v>40756</v>
      </c>
      <c r="G91" s="44" t="s">
        <v>894</v>
      </c>
    </row>
    <row r="92" spans="1:8" s="51" customFormat="1" ht="6" customHeight="1" x14ac:dyDescent="0.35">
      <c r="A92" s="55"/>
      <c r="B92" s="48"/>
      <c r="C92" s="55"/>
      <c r="D92" s="55"/>
      <c r="E92" s="48"/>
      <c r="F92" s="56"/>
      <c r="G92" s="48"/>
      <c r="H92" s="57"/>
    </row>
    <row r="93" spans="1:8" s="51" customFormat="1" ht="35.25" customHeight="1" x14ac:dyDescent="0.35">
      <c r="A93" s="46">
        <v>2016</v>
      </c>
      <c r="B93" s="46" t="s">
        <v>566</v>
      </c>
      <c r="C93" s="46" t="s">
        <v>1</v>
      </c>
      <c r="D93" s="52">
        <v>67600</v>
      </c>
      <c r="E93" s="44" t="s">
        <v>939</v>
      </c>
      <c r="F93" s="53">
        <v>41395</v>
      </c>
      <c r="G93" s="44"/>
    </row>
    <row r="94" spans="1:8" s="51" customFormat="1" ht="72" customHeight="1" x14ac:dyDescent="0.35">
      <c r="A94" s="46"/>
      <c r="B94" s="58"/>
      <c r="C94" s="46"/>
      <c r="D94" s="46"/>
      <c r="E94" s="44" t="s">
        <v>940</v>
      </c>
      <c r="F94" s="53">
        <v>41306</v>
      </c>
      <c r="G94" s="44" t="s">
        <v>941</v>
      </c>
    </row>
    <row r="95" spans="1:8" s="51" customFormat="1" ht="24" customHeight="1" x14ac:dyDescent="0.35">
      <c r="A95" s="46"/>
      <c r="B95" s="58"/>
      <c r="C95" s="46"/>
      <c r="D95" s="46"/>
      <c r="E95" s="44" t="s">
        <v>942</v>
      </c>
      <c r="F95" s="53">
        <v>41306</v>
      </c>
      <c r="G95" s="44" t="s">
        <v>867</v>
      </c>
    </row>
    <row r="96" spans="1:8" s="51" customFormat="1" ht="25" x14ac:dyDescent="0.35">
      <c r="A96" s="46"/>
      <c r="B96" s="58"/>
      <c r="C96" s="46"/>
      <c r="D96" s="46"/>
      <c r="E96" s="44" t="s">
        <v>943</v>
      </c>
      <c r="F96" s="53">
        <v>41061</v>
      </c>
      <c r="G96" s="44" t="s">
        <v>890</v>
      </c>
    </row>
    <row r="97" spans="1:8" s="51" customFormat="1" ht="21" customHeight="1" x14ac:dyDescent="0.35">
      <c r="A97" s="46"/>
      <c r="B97" s="58"/>
      <c r="C97" s="46"/>
      <c r="D97" s="46"/>
      <c r="E97" s="44" t="s">
        <v>944</v>
      </c>
      <c r="F97" s="53">
        <v>40787</v>
      </c>
      <c r="G97" s="44"/>
    </row>
    <row r="98" spans="1:8" s="51" customFormat="1" ht="23.25" customHeight="1" x14ac:dyDescent="0.35">
      <c r="A98" s="46"/>
      <c r="B98" s="58"/>
      <c r="C98" s="46"/>
      <c r="D98" s="46"/>
      <c r="E98" s="44" t="s">
        <v>945</v>
      </c>
      <c r="F98" s="53"/>
      <c r="G98" s="44"/>
    </row>
    <row r="99" spans="1:8" s="51" customFormat="1" ht="24.75" customHeight="1" x14ac:dyDescent="0.35">
      <c r="A99" s="46"/>
      <c r="B99" s="58"/>
      <c r="C99" s="46"/>
      <c r="D99" s="46"/>
      <c r="E99" s="44" t="s">
        <v>946</v>
      </c>
      <c r="F99" s="53">
        <v>40756</v>
      </c>
      <c r="G99" s="44" t="s">
        <v>894</v>
      </c>
    </row>
    <row r="100" spans="1:8" s="51" customFormat="1" ht="56.25" customHeight="1" x14ac:dyDescent="0.35">
      <c r="A100" s="46"/>
      <c r="B100" s="58"/>
      <c r="C100" s="46"/>
      <c r="D100" s="46"/>
      <c r="E100" s="44" t="s">
        <v>947</v>
      </c>
      <c r="F100" s="53">
        <v>40117</v>
      </c>
      <c r="G100" s="44" t="s">
        <v>896</v>
      </c>
    </row>
    <row r="101" spans="1:8" s="51" customFormat="1" ht="6" customHeight="1" x14ac:dyDescent="0.35">
      <c r="A101" s="55"/>
      <c r="B101" s="48"/>
      <c r="C101" s="55"/>
      <c r="D101" s="55"/>
      <c r="E101" s="48"/>
      <c r="F101" s="56"/>
      <c r="G101" s="48"/>
      <c r="H101" s="57"/>
    </row>
    <row r="102" spans="1:8" s="51" customFormat="1" ht="36.75" customHeight="1" x14ac:dyDescent="0.35">
      <c r="A102" s="46">
        <v>2016</v>
      </c>
      <c r="B102" s="46" t="s">
        <v>336</v>
      </c>
      <c r="C102" s="46" t="s">
        <v>1</v>
      </c>
      <c r="D102" s="52">
        <v>61490</v>
      </c>
      <c r="E102" s="44" t="s">
        <v>948</v>
      </c>
      <c r="F102" s="53">
        <v>41649</v>
      </c>
      <c r="G102" s="44" t="s">
        <v>890</v>
      </c>
    </row>
    <row r="103" spans="1:8" s="51" customFormat="1" ht="25.5" customHeight="1" x14ac:dyDescent="0.35">
      <c r="A103" s="46"/>
      <c r="B103" s="58"/>
      <c r="C103" s="46"/>
      <c r="D103" s="46"/>
      <c r="E103" s="44" t="s">
        <v>949</v>
      </c>
      <c r="F103" s="53">
        <v>41487</v>
      </c>
      <c r="G103" s="44" t="s">
        <v>950</v>
      </c>
    </row>
    <row r="104" spans="1:8" s="51" customFormat="1" ht="63" customHeight="1" x14ac:dyDescent="0.35">
      <c r="A104" s="46"/>
      <c r="B104" s="58"/>
      <c r="C104" s="46"/>
      <c r="D104" s="46"/>
      <c r="E104" s="44" t="s">
        <v>951</v>
      </c>
      <c r="F104" s="53">
        <v>41306</v>
      </c>
      <c r="G104" s="44" t="s">
        <v>952</v>
      </c>
    </row>
    <row r="105" spans="1:8" s="51" customFormat="1" ht="21" customHeight="1" x14ac:dyDescent="0.35">
      <c r="A105" s="46"/>
      <c r="B105" s="58"/>
      <c r="C105" s="46"/>
      <c r="D105" s="46"/>
      <c r="E105" s="44" t="s">
        <v>953</v>
      </c>
      <c r="F105" s="53">
        <v>41306</v>
      </c>
      <c r="G105" s="44" t="s">
        <v>867</v>
      </c>
    </row>
    <row r="106" spans="1:8" s="51" customFormat="1" ht="43.5" customHeight="1" x14ac:dyDescent="0.35">
      <c r="A106" s="46"/>
      <c r="B106" s="58"/>
      <c r="C106" s="46"/>
      <c r="D106" s="46"/>
      <c r="E106" s="44" t="s">
        <v>954</v>
      </c>
      <c r="F106" s="53">
        <v>41061</v>
      </c>
      <c r="G106" s="44" t="s">
        <v>890</v>
      </c>
    </row>
    <row r="107" spans="1:8" s="51" customFormat="1" ht="27" customHeight="1" x14ac:dyDescent="0.35">
      <c r="A107" s="46"/>
      <c r="B107" s="58"/>
      <c r="C107" s="46"/>
      <c r="D107" s="46"/>
      <c r="E107" s="44" t="s">
        <v>955</v>
      </c>
      <c r="F107" s="53">
        <v>40787</v>
      </c>
      <c r="G107" s="44" t="s">
        <v>894</v>
      </c>
    </row>
    <row r="108" spans="1:8" s="51" customFormat="1" ht="32.25" customHeight="1" x14ac:dyDescent="0.35">
      <c r="A108" s="46"/>
      <c r="B108" s="58"/>
      <c r="C108" s="46"/>
      <c r="D108" s="46"/>
      <c r="E108" s="44" t="s">
        <v>956</v>
      </c>
      <c r="F108" s="53">
        <v>40756</v>
      </c>
      <c r="G108" s="44" t="s">
        <v>894</v>
      </c>
    </row>
    <row r="109" spans="1:8" s="51" customFormat="1" ht="24.75" customHeight="1" x14ac:dyDescent="0.35">
      <c r="A109" s="46"/>
      <c r="B109" s="58"/>
      <c r="C109" s="46"/>
      <c r="D109" s="46"/>
      <c r="E109" s="44" t="s">
        <v>924</v>
      </c>
      <c r="F109" s="53">
        <v>40544</v>
      </c>
      <c r="G109" s="44"/>
    </row>
    <row r="110" spans="1:8" s="51" customFormat="1" ht="23.25" customHeight="1" x14ac:dyDescent="0.35">
      <c r="A110" s="46"/>
      <c r="B110" s="58"/>
      <c r="C110" s="46"/>
      <c r="D110" s="46"/>
      <c r="E110" s="44" t="s">
        <v>957</v>
      </c>
      <c r="F110" s="53">
        <v>40575</v>
      </c>
      <c r="G110" s="44"/>
    </row>
    <row r="111" spans="1:8" s="51" customFormat="1" ht="65.25" customHeight="1" x14ac:dyDescent="0.35">
      <c r="A111" s="46"/>
      <c r="B111" s="58"/>
      <c r="C111" s="46"/>
      <c r="D111" s="46"/>
      <c r="E111" s="44" t="s">
        <v>958</v>
      </c>
      <c r="F111" s="53">
        <v>40117</v>
      </c>
      <c r="G111" s="44" t="s">
        <v>896</v>
      </c>
    </row>
    <row r="112" spans="1:8" s="51" customFormat="1" ht="6" customHeight="1" x14ac:dyDescent="0.35">
      <c r="A112" s="55"/>
      <c r="B112" s="48"/>
      <c r="C112" s="55"/>
      <c r="D112" s="55"/>
      <c r="E112" s="48"/>
      <c r="F112" s="56"/>
      <c r="G112" s="48"/>
      <c r="H112" s="57"/>
    </row>
    <row r="113" spans="1:8" s="51" customFormat="1" ht="65.25" customHeight="1" x14ac:dyDescent="0.35">
      <c r="A113" s="46">
        <v>2016</v>
      </c>
      <c r="B113" s="46" t="s">
        <v>783</v>
      </c>
      <c r="C113" s="46" t="s">
        <v>14</v>
      </c>
      <c r="D113" s="52">
        <v>639278</v>
      </c>
      <c r="E113" s="44" t="s">
        <v>959</v>
      </c>
      <c r="F113" s="53">
        <v>41527</v>
      </c>
      <c r="G113" s="44" t="s">
        <v>960</v>
      </c>
    </row>
    <row r="114" spans="1:8" s="51" customFormat="1" ht="20.25" customHeight="1" x14ac:dyDescent="0.35">
      <c r="A114" s="46"/>
      <c r="B114" s="58"/>
      <c r="C114" s="46"/>
      <c r="D114" s="46"/>
      <c r="E114" s="44" t="s">
        <v>961</v>
      </c>
      <c r="F114" s="53">
        <v>41061</v>
      </c>
      <c r="G114" s="44"/>
    </row>
    <row r="115" spans="1:8" s="51" customFormat="1" ht="24.75" customHeight="1" x14ac:dyDescent="0.35">
      <c r="A115" s="46"/>
      <c r="B115" s="58"/>
      <c r="C115" s="46"/>
      <c r="D115" s="46"/>
      <c r="E115" s="44" t="s">
        <v>962</v>
      </c>
      <c r="F115" s="53">
        <v>40787</v>
      </c>
      <c r="G115" s="44"/>
    </row>
    <row r="116" spans="1:8" s="51" customFormat="1" ht="90.75" customHeight="1" x14ac:dyDescent="0.35">
      <c r="A116" s="46"/>
      <c r="B116" s="58"/>
      <c r="C116" s="46"/>
      <c r="D116" s="46"/>
      <c r="E116" s="44" t="s">
        <v>963</v>
      </c>
      <c r="F116" s="53">
        <v>40725</v>
      </c>
      <c r="G116" s="44" t="s">
        <v>964</v>
      </c>
    </row>
    <row r="117" spans="1:8" s="51" customFormat="1" ht="6" customHeight="1" x14ac:dyDescent="0.35">
      <c r="A117" s="55"/>
      <c r="B117" s="48"/>
      <c r="C117" s="55"/>
      <c r="D117" s="55"/>
      <c r="E117" s="48"/>
      <c r="F117" s="56"/>
      <c r="G117" s="48"/>
      <c r="H117" s="57"/>
    </row>
    <row r="118" spans="1:8" s="51" customFormat="1" ht="25" x14ac:dyDescent="0.35">
      <c r="A118" s="46">
        <v>2016</v>
      </c>
      <c r="B118" s="46" t="s">
        <v>512</v>
      </c>
      <c r="C118" s="46" t="s">
        <v>798</v>
      </c>
      <c r="D118" s="52">
        <v>235663</v>
      </c>
      <c r="E118" s="44" t="s">
        <v>965</v>
      </c>
      <c r="F118" s="53">
        <v>41426</v>
      </c>
      <c r="G118" s="44"/>
    </row>
    <row r="119" spans="1:8" s="51" customFormat="1" ht="26.25" customHeight="1" x14ac:dyDescent="0.35">
      <c r="A119" s="46"/>
      <c r="B119" s="58"/>
      <c r="C119" s="46"/>
      <c r="D119" s="46"/>
      <c r="E119" s="44" t="s">
        <v>966</v>
      </c>
      <c r="F119" s="53">
        <v>41244</v>
      </c>
      <c r="G119" s="44"/>
    </row>
    <row r="120" spans="1:8" s="51" customFormat="1" ht="32.25" customHeight="1" x14ac:dyDescent="0.35">
      <c r="A120" s="46"/>
      <c r="B120" s="58"/>
      <c r="C120" s="46"/>
      <c r="D120" s="46"/>
      <c r="E120" s="44" t="s">
        <v>967</v>
      </c>
      <c r="F120" s="53">
        <v>41122</v>
      </c>
      <c r="G120" s="44" t="s">
        <v>864</v>
      </c>
    </row>
    <row r="121" spans="1:8" s="51" customFormat="1" ht="35.25" customHeight="1" x14ac:dyDescent="0.35">
      <c r="A121" s="46"/>
      <c r="B121" s="58"/>
      <c r="C121" s="46"/>
      <c r="D121" s="46"/>
      <c r="E121" s="44" t="s">
        <v>968</v>
      </c>
      <c r="F121" s="53">
        <v>40940</v>
      </c>
      <c r="G121" s="44"/>
    </row>
    <row r="122" spans="1:8" s="51" customFormat="1" ht="27.75" customHeight="1" x14ac:dyDescent="0.35">
      <c r="A122" s="46"/>
      <c r="B122" s="58"/>
      <c r="C122" s="46"/>
      <c r="D122" s="46"/>
      <c r="E122" s="44" t="s">
        <v>969</v>
      </c>
      <c r="F122" s="53">
        <v>40813</v>
      </c>
      <c r="G122" s="44"/>
    </row>
    <row r="123" spans="1:8" s="51" customFormat="1" ht="59.25" customHeight="1" x14ac:dyDescent="0.35">
      <c r="A123" s="46"/>
      <c r="B123" s="58"/>
      <c r="C123" s="46"/>
      <c r="D123" s="46"/>
      <c r="E123" s="44" t="s">
        <v>970</v>
      </c>
      <c r="F123" s="53">
        <v>40787</v>
      </c>
      <c r="G123" s="44" t="s">
        <v>971</v>
      </c>
    </row>
    <row r="124" spans="1:8" s="51" customFormat="1" ht="6" customHeight="1" x14ac:dyDescent="0.35">
      <c r="A124" s="55"/>
      <c r="B124" s="48"/>
      <c r="C124" s="55"/>
      <c r="D124" s="55"/>
      <c r="E124" s="48"/>
      <c r="F124" s="56"/>
      <c r="G124" s="48"/>
      <c r="H124" s="57"/>
    </row>
    <row r="125" spans="1:8" s="51" customFormat="1" ht="38.25" customHeight="1" x14ac:dyDescent="0.35">
      <c r="A125" s="46">
        <v>2016</v>
      </c>
      <c r="B125" s="46" t="s">
        <v>753</v>
      </c>
      <c r="C125" s="46" t="s">
        <v>798</v>
      </c>
      <c r="D125" s="52">
        <v>225000</v>
      </c>
      <c r="E125" s="44" t="s">
        <v>972</v>
      </c>
      <c r="F125" s="53">
        <v>41426</v>
      </c>
      <c r="G125" s="44"/>
    </row>
    <row r="126" spans="1:8" s="51" customFormat="1" ht="6" customHeight="1" x14ac:dyDescent="0.35">
      <c r="A126" s="55"/>
      <c r="B126" s="48"/>
      <c r="C126" s="55"/>
      <c r="D126" s="55"/>
      <c r="E126" s="48"/>
      <c r="F126" s="56"/>
      <c r="G126" s="48"/>
      <c r="H126" s="57"/>
    </row>
    <row r="127" spans="1:8" s="51" customFormat="1" ht="44.25" customHeight="1" x14ac:dyDescent="0.35">
      <c r="A127" s="46">
        <v>2017</v>
      </c>
      <c r="B127" s="46" t="s">
        <v>421</v>
      </c>
      <c r="C127" s="46" t="s">
        <v>795</v>
      </c>
      <c r="D127" s="52">
        <v>236252</v>
      </c>
      <c r="E127" s="44" t="s">
        <v>973</v>
      </c>
      <c r="F127" s="53">
        <v>41760</v>
      </c>
      <c r="G127" s="44" t="s">
        <v>974</v>
      </c>
    </row>
    <row r="128" spans="1:8" s="51" customFormat="1" ht="27.75" customHeight="1" x14ac:dyDescent="0.35">
      <c r="A128" s="46"/>
      <c r="B128" s="58"/>
      <c r="C128" s="46"/>
      <c r="D128" s="46"/>
      <c r="E128" s="44" t="s">
        <v>924</v>
      </c>
      <c r="F128" s="53">
        <v>41579</v>
      </c>
      <c r="G128" s="44"/>
    </row>
    <row r="129" spans="1:8" s="51" customFormat="1" ht="25.5" customHeight="1" x14ac:dyDescent="0.35">
      <c r="A129" s="46"/>
      <c r="B129" s="58"/>
      <c r="C129" s="46"/>
      <c r="D129" s="46"/>
      <c r="E129" s="44" t="s">
        <v>975</v>
      </c>
      <c r="F129" s="53">
        <v>41426</v>
      </c>
      <c r="G129" s="44"/>
    </row>
    <row r="130" spans="1:8" s="51" customFormat="1" ht="75.75" customHeight="1" x14ac:dyDescent="0.35">
      <c r="A130" s="46"/>
      <c r="B130" s="58"/>
      <c r="C130" s="46"/>
      <c r="D130" s="46"/>
      <c r="E130" s="44" t="s">
        <v>976</v>
      </c>
      <c r="F130" s="53">
        <v>41275</v>
      </c>
      <c r="G130" s="44" t="s">
        <v>890</v>
      </c>
    </row>
    <row r="131" spans="1:8" s="51" customFormat="1" ht="24" customHeight="1" x14ac:dyDescent="0.35">
      <c r="A131" s="46"/>
      <c r="B131" s="58"/>
      <c r="C131" s="46"/>
      <c r="D131" s="46"/>
      <c r="E131" s="44" t="s">
        <v>977</v>
      </c>
      <c r="F131" s="53">
        <v>41061</v>
      </c>
      <c r="G131" s="44"/>
    </row>
    <row r="132" spans="1:8" s="51" customFormat="1" ht="25.5" customHeight="1" x14ac:dyDescent="0.35">
      <c r="A132" s="46"/>
      <c r="B132" s="58"/>
      <c r="C132" s="46"/>
      <c r="D132" s="46"/>
      <c r="E132" s="44" t="s">
        <v>955</v>
      </c>
      <c r="F132" s="53">
        <v>40787</v>
      </c>
      <c r="G132" s="44" t="s">
        <v>894</v>
      </c>
    </row>
    <row r="133" spans="1:8" s="51" customFormat="1" ht="26.25" customHeight="1" x14ac:dyDescent="0.35">
      <c r="A133" s="46"/>
      <c r="B133" s="58"/>
      <c r="C133" s="46"/>
      <c r="D133" s="46"/>
      <c r="E133" s="44" t="s">
        <v>978</v>
      </c>
      <c r="F133" s="53"/>
      <c r="G133" s="44"/>
    </row>
    <row r="134" spans="1:8" s="51" customFormat="1" ht="25" x14ac:dyDescent="0.35">
      <c r="A134" s="46"/>
      <c r="B134" s="58"/>
      <c r="C134" s="46"/>
      <c r="D134" s="46"/>
      <c r="E134" s="44" t="s">
        <v>979</v>
      </c>
      <c r="F134" s="53">
        <v>40756</v>
      </c>
      <c r="G134" s="44" t="s">
        <v>894</v>
      </c>
    </row>
    <row r="135" spans="1:8" s="51" customFormat="1" ht="6" customHeight="1" x14ac:dyDescent="0.35">
      <c r="A135" s="55"/>
      <c r="B135" s="48"/>
      <c r="C135" s="55"/>
      <c r="D135" s="55"/>
      <c r="E135" s="48"/>
      <c r="F135" s="56"/>
      <c r="G135" s="48"/>
      <c r="H135" s="57"/>
    </row>
    <row r="136" spans="1:8" s="51" customFormat="1" ht="24.75" customHeight="1" x14ac:dyDescent="0.35">
      <c r="A136" s="46">
        <v>2017</v>
      </c>
      <c r="B136" s="46" t="s">
        <v>492</v>
      </c>
      <c r="C136" s="46" t="s">
        <v>797</v>
      </c>
      <c r="D136" s="52">
        <v>120750</v>
      </c>
      <c r="E136" s="44" t="s">
        <v>1047</v>
      </c>
      <c r="F136" s="53">
        <v>41870</v>
      </c>
      <c r="G136" s="44" t="s">
        <v>1046</v>
      </c>
    </row>
    <row r="137" spans="1:8" s="51" customFormat="1" ht="24.75" customHeight="1" x14ac:dyDescent="0.35">
      <c r="A137" s="46"/>
      <c r="B137" s="46"/>
      <c r="C137" s="46"/>
      <c r="D137" s="52"/>
      <c r="E137" s="44" t="s">
        <v>980</v>
      </c>
      <c r="F137" s="53">
        <v>40787</v>
      </c>
      <c r="G137" s="44"/>
    </row>
    <row r="138" spans="1:8" s="51" customFormat="1" ht="24.75" customHeight="1" x14ac:dyDescent="0.35">
      <c r="A138" s="46"/>
      <c r="B138" s="58"/>
      <c r="C138" s="46"/>
      <c r="D138" s="46"/>
      <c r="E138" s="44" t="s">
        <v>981</v>
      </c>
      <c r="F138" s="53">
        <v>40787</v>
      </c>
      <c r="G138" s="44" t="s">
        <v>883</v>
      </c>
    </row>
    <row r="139" spans="1:8" s="51" customFormat="1" ht="6" customHeight="1" x14ac:dyDescent="0.35">
      <c r="A139" s="55"/>
      <c r="B139" s="48"/>
      <c r="C139" s="55"/>
      <c r="D139" s="55"/>
      <c r="E139" s="48"/>
      <c r="F139" s="56"/>
      <c r="G139" s="48"/>
      <c r="H139" s="57"/>
    </row>
    <row r="140" spans="1:8" s="51" customFormat="1" ht="45.75" customHeight="1" x14ac:dyDescent="0.35">
      <c r="A140" s="46">
        <v>2017</v>
      </c>
      <c r="B140" s="46" t="s">
        <v>451</v>
      </c>
      <c r="C140" s="46" t="s">
        <v>14</v>
      </c>
      <c r="D140" s="52">
        <v>249840</v>
      </c>
      <c r="E140" s="44" t="s">
        <v>982</v>
      </c>
      <c r="F140" s="53">
        <v>41334</v>
      </c>
      <c r="G140" s="44" t="s">
        <v>983</v>
      </c>
    </row>
    <row r="141" spans="1:8" s="51" customFormat="1" ht="27" customHeight="1" x14ac:dyDescent="0.35">
      <c r="A141" s="46"/>
      <c r="B141" s="58"/>
      <c r="C141" s="46"/>
      <c r="D141" s="46"/>
      <c r="E141" s="44" t="s">
        <v>984</v>
      </c>
      <c r="F141" s="53">
        <v>41275</v>
      </c>
      <c r="G141" s="44" t="s">
        <v>983</v>
      </c>
    </row>
    <row r="142" spans="1:8" s="51" customFormat="1" ht="58.5" customHeight="1" x14ac:dyDescent="0.35">
      <c r="A142" s="46"/>
      <c r="B142" s="58"/>
      <c r="C142" s="46"/>
      <c r="D142" s="46"/>
      <c r="E142" s="44" t="s">
        <v>985</v>
      </c>
      <c r="F142" s="53">
        <v>41242</v>
      </c>
      <c r="G142" s="44" t="s">
        <v>896</v>
      </c>
    </row>
    <row r="143" spans="1:8" s="51" customFormat="1" ht="39" customHeight="1" x14ac:dyDescent="0.35">
      <c r="A143" s="46"/>
      <c r="B143" s="58"/>
      <c r="C143" s="46"/>
      <c r="D143" s="46"/>
      <c r="E143" s="44" t="s">
        <v>986</v>
      </c>
      <c r="F143" s="53">
        <v>41204</v>
      </c>
      <c r="G143" s="44"/>
    </row>
    <row r="144" spans="1:8" s="51" customFormat="1" ht="81.75" customHeight="1" x14ac:dyDescent="0.35">
      <c r="A144" s="46"/>
      <c r="B144" s="58"/>
      <c r="C144" s="46"/>
      <c r="D144" s="46"/>
      <c r="E144" s="44" t="s">
        <v>987</v>
      </c>
      <c r="F144" s="53">
        <v>41153</v>
      </c>
      <c r="G144" s="44" t="s">
        <v>988</v>
      </c>
    </row>
    <row r="145" spans="1:8" s="51" customFormat="1" ht="31.5" customHeight="1" x14ac:dyDescent="0.35">
      <c r="A145" s="46"/>
      <c r="B145" s="58"/>
      <c r="C145" s="46"/>
      <c r="D145" s="46"/>
      <c r="E145" s="44" t="s">
        <v>989</v>
      </c>
      <c r="F145" s="53">
        <v>40817</v>
      </c>
      <c r="G145" s="44" t="s">
        <v>346</v>
      </c>
    </row>
    <row r="146" spans="1:8" s="51" customFormat="1" ht="6" customHeight="1" x14ac:dyDescent="0.35">
      <c r="A146" s="55"/>
      <c r="B146" s="48"/>
      <c r="C146" s="55"/>
      <c r="D146" s="55"/>
      <c r="E146" s="48"/>
      <c r="F146" s="56"/>
      <c r="G146" s="48"/>
      <c r="H146" s="57"/>
    </row>
    <row r="147" spans="1:8" s="51" customFormat="1" ht="33.75" customHeight="1" x14ac:dyDescent="0.35">
      <c r="A147" s="46">
        <v>2017</v>
      </c>
      <c r="B147" s="46" t="s">
        <v>739</v>
      </c>
      <c r="C147" s="46" t="s">
        <v>796</v>
      </c>
      <c r="D147" s="52">
        <v>247308</v>
      </c>
      <c r="E147" s="44" t="s">
        <v>990</v>
      </c>
      <c r="F147" s="53">
        <v>41395</v>
      </c>
      <c r="G147" s="44"/>
    </row>
    <row r="148" spans="1:8" s="51" customFormat="1" ht="69.75" customHeight="1" x14ac:dyDescent="0.35">
      <c r="A148" s="46"/>
      <c r="B148" s="58"/>
      <c r="C148" s="46"/>
      <c r="D148" s="46"/>
      <c r="E148" s="44" t="s">
        <v>991</v>
      </c>
      <c r="F148" s="53">
        <v>41974</v>
      </c>
      <c r="G148" s="44"/>
    </row>
    <row r="149" spans="1:8" s="51" customFormat="1" ht="6" customHeight="1" x14ac:dyDescent="0.35">
      <c r="A149" s="55"/>
      <c r="B149" s="48"/>
      <c r="C149" s="55"/>
      <c r="D149" s="55"/>
      <c r="E149" s="48"/>
      <c r="F149" s="56"/>
      <c r="G149" s="48"/>
      <c r="H149" s="57"/>
    </row>
    <row r="150" spans="1:8" s="51" customFormat="1" ht="37.5" x14ac:dyDescent="0.35">
      <c r="A150" s="46">
        <v>2017</v>
      </c>
      <c r="B150" s="46" t="s">
        <v>339</v>
      </c>
      <c r="C150" s="46" t="s">
        <v>8</v>
      </c>
      <c r="D150" s="52">
        <v>225000</v>
      </c>
      <c r="E150" s="44" t="s">
        <v>992</v>
      </c>
      <c r="F150" s="53">
        <v>41122</v>
      </c>
      <c r="G150" s="44" t="s">
        <v>864</v>
      </c>
    </row>
    <row r="151" spans="1:8" s="51" customFormat="1" ht="40.5" customHeight="1" x14ac:dyDescent="0.35">
      <c r="A151" s="46"/>
      <c r="B151" s="58"/>
      <c r="C151" s="46"/>
      <c r="D151" s="46"/>
      <c r="E151" s="44" t="s">
        <v>993</v>
      </c>
      <c r="F151" s="53">
        <v>41122</v>
      </c>
      <c r="G151" s="44"/>
    </row>
    <row r="152" spans="1:8" s="51" customFormat="1" ht="20.25" customHeight="1" x14ac:dyDescent="0.35">
      <c r="A152" s="46"/>
      <c r="B152" s="58"/>
      <c r="C152" s="46"/>
      <c r="D152" s="46"/>
      <c r="E152" s="44" t="s">
        <v>994</v>
      </c>
      <c r="F152" s="53">
        <v>41061</v>
      </c>
      <c r="G152" s="44"/>
    </row>
    <row r="153" spans="1:8" s="51" customFormat="1" ht="69" customHeight="1" x14ac:dyDescent="0.35">
      <c r="A153" s="46"/>
      <c r="B153" s="58"/>
      <c r="C153" s="46"/>
      <c r="D153" s="46"/>
      <c r="E153" s="44" t="s">
        <v>995</v>
      </c>
      <c r="F153" s="53">
        <v>40603</v>
      </c>
      <c r="G153" s="44" t="s">
        <v>874</v>
      </c>
    </row>
    <row r="154" spans="1:8" s="51" customFormat="1" ht="33.75" customHeight="1" x14ac:dyDescent="0.35">
      <c r="A154" s="46"/>
      <c r="B154" s="58"/>
      <c r="C154" s="46"/>
      <c r="D154" s="46"/>
      <c r="E154" s="44" t="s">
        <v>996</v>
      </c>
      <c r="F154" s="53">
        <v>40787</v>
      </c>
      <c r="G154" s="44" t="s">
        <v>874</v>
      </c>
    </row>
    <row r="155" spans="1:8" s="51" customFormat="1" ht="21.75" customHeight="1" x14ac:dyDescent="0.35">
      <c r="A155" s="46"/>
      <c r="B155" s="58"/>
      <c r="C155" s="46"/>
      <c r="D155" s="46"/>
      <c r="E155" s="44" t="s">
        <v>997</v>
      </c>
      <c r="F155" s="53">
        <v>40544</v>
      </c>
      <c r="G155" s="44" t="s">
        <v>998</v>
      </c>
    </row>
    <row r="156" spans="1:8" s="51" customFormat="1" ht="26.25" customHeight="1" x14ac:dyDescent="0.35">
      <c r="A156" s="46"/>
      <c r="B156" s="58"/>
      <c r="C156" s="46"/>
      <c r="D156" s="46"/>
      <c r="E156" s="44" t="s">
        <v>999</v>
      </c>
      <c r="F156" s="53">
        <v>40108</v>
      </c>
      <c r="G156" s="44" t="s">
        <v>1000</v>
      </c>
    </row>
    <row r="157" spans="1:8" s="51" customFormat="1" ht="6" customHeight="1" x14ac:dyDescent="0.35">
      <c r="A157" s="55"/>
      <c r="B157" s="48"/>
      <c r="C157" s="55"/>
      <c r="D157" s="55"/>
      <c r="E157" s="48"/>
      <c r="F157" s="56"/>
      <c r="G157" s="48"/>
      <c r="H157" s="57"/>
    </row>
    <row r="158" spans="1:8" s="51" customFormat="1" ht="32.25" customHeight="1" x14ac:dyDescent="0.35">
      <c r="A158" s="46">
        <v>2017</v>
      </c>
      <c r="B158" s="46" t="s">
        <v>448</v>
      </c>
      <c r="C158" s="46" t="s">
        <v>14</v>
      </c>
      <c r="D158" s="52">
        <v>450946</v>
      </c>
      <c r="E158" s="44" t="s">
        <v>1001</v>
      </c>
      <c r="F158" s="53">
        <v>41609</v>
      </c>
      <c r="G158" s="44" t="s">
        <v>779</v>
      </c>
    </row>
    <row r="159" spans="1:8" s="51" customFormat="1" ht="72.75" customHeight="1" x14ac:dyDescent="0.35">
      <c r="A159" s="46"/>
      <c r="B159" s="58"/>
      <c r="C159" s="46"/>
      <c r="D159" s="46"/>
      <c r="E159" s="44" t="s">
        <v>1002</v>
      </c>
      <c r="F159" s="53">
        <v>41536</v>
      </c>
      <c r="G159" s="44"/>
    </row>
    <row r="160" spans="1:8" s="51" customFormat="1" ht="44.25" customHeight="1" x14ac:dyDescent="0.35">
      <c r="A160" s="46"/>
      <c r="B160" s="58"/>
      <c r="C160" s="46"/>
      <c r="D160" s="46"/>
      <c r="E160" s="44" t="s">
        <v>1003</v>
      </c>
      <c r="F160" s="53">
        <v>41334</v>
      </c>
      <c r="G160" s="44"/>
    </row>
    <row r="161" spans="1:8" s="51" customFormat="1" ht="50.25" customHeight="1" x14ac:dyDescent="0.35">
      <c r="A161" s="46"/>
      <c r="B161" s="58"/>
      <c r="C161" s="46"/>
      <c r="D161" s="46"/>
      <c r="E161" s="44" t="s">
        <v>1004</v>
      </c>
      <c r="F161" s="53">
        <v>40830</v>
      </c>
      <c r="G161" s="44" t="s">
        <v>1005</v>
      </c>
    </row>
    <row r="162" spans="1:8" s="51" customFormat="1" ht="6" customHeight="1" x14ac:dyDescent="0.35">
      <c r="A162" s="55"/>
      <c r="B162" s="48"/>
      <c r="C162" s="55"/>
      <c r="D162" s="55"/>
      <c r="E162" s="48"/>
      <c r="F162" s="56"/>
      <c r="G162" s="48"/>
      <c r="H162" s="57"/>
    </row>
    <row r="163" spans="1:8" s="51" customFormat="1" ht="36" customHeight="1" x14ac:dyDescent="0.35">
      <c r="A163" s="46">
        <v>2017</v>
      </c>
      <c r="B163" s="46" t="s">
        <v>784</v>
      </c>
      <c r="C163" s="46" t="s">
        <v>798</v>
      </c>
      <c r="D163" s="52">
        <v>145314</v>
      </c>
      <c r="E163" s="44" t="s">
        <v>1006</v>
      </c>
      <c r="F163" s="53">
        <v>41821</v>
      </c>
      <c r="G163" s="44" t="s">
        <v>1007</v>
      </c>
    </row>
    <row r="164" spans="1:8" s="51" customFormat="1" ht="57" customHeight="1" x14ac:dyDescent="0.35">
      <c r="A164" s="46"/>
      <c r="B164" s="58"/>
      <c r="C164" s="46"/>
      <c r="D164" s="46"/>
      <c r="E164" s="44" t="s">
        <v>1008</v>
      </c>
      <c r="F164" s="53">
        <v>41730</v>
      </c>
      <c r="G164" s="44" t="s">
        <v>1009</v>
      </c>
    </row>
    <row r="165" spans="1:8" s="51" customFormat="1" ht="44.25" customHeight="1" x14ac:dyDescent="0.35">
      <c r="A165" s="46"/>
      <c r="B165" s="58"/>
      <c r="C165" s="46"/>
      <c r="D165" s="46"/>
      <c r="E165" s="44" t="s">
        <v>1010</v>
      </c>
      <c r="F165" s="53">
        <v>41334</v>
      </c>
      <c r="G165" s="44"/>
    </row>
    <row r="166" spans="1:8" s="51" customFormat="1" ht="6" customHeight="1" x14ac:dyDescent="0.35">
      <c r="A166" s="55"/>
      <c r="B166" s="48"/>
      <c r="C166" s="55"/>
      <c r="D166" s="55"/>
      <c r="E166" s="48"/>
      <c r="F166" s="56"/>
      <c r="G166" s="48"/>
      <c r="H166" s="57"/>
    </row>
    <row r="167" spans="1:8" s="51" customFormat="1" ht="104.25" customHeight="1" x14ac:dyDescent="0.35">
      <c r="A167" s="46">
        <v>2018</v>
      </c>
      <c r="B167" s="46" t="s">
        <v>725</v>
      </c>
      <c r="C167" s="46" t="s">
        <v>795</v>
      </c>
      <c r="D167" s="52">
        <v>346785</v>
      </c>
      <c r="E167" s="44" t="s">
        <v>1011</v>
      </c>
      <c r="F167" s="53">
        <v>41682</v>
      </c>
      <c r="G167" s="44" t="s">
        <v>1012</v>
      </c>
    </row>
    <row r="168" spans="1:8" s="51" customFormat="1" ht="62.5" x14ac:dyDescent="0.35">
      <c r="A168" s="46"/>
      <c r="B168" s="58"/>
      <c r="C168" s="46"/>
      <c r="D168" s="46"/>
      <c r="E168" s="44" t="s">
        <v>1013</v>
      </c>
      <c r="F168" s="53">
        <v>41492</v>
      </c>
      <c r="G168" s="47" t="s">
        <v>1014</v>
      </c>
    </row>
    <row r="169" spans="1:8" s="51" customFormat="1" ht="88.5" customHeight="1" x14ac:dyDescent="0.35">
      <c r="A169" s="46"/>
      <c r="B169" s="58"/>
      <c r="C169" s="46"/>
      <c r="D169" s="46"/>
      <c r="E169" s="44" t="s">
        <v>1015</v>
      </c>
      <c r="F169" s="53">
        <v>41334</v>
      </c>
      <c r="G169" s="44"/>
    </row>
    <row r="170" spans="1:8" s="51" customFormat="1" ht="87.75" customHeight="1" x14ac:dyDescent="0.35">
      <c r="A170" s="46"/>
      <c r="B170" s="58"/>
      <c r="C170" s="46"/>
      <c r="D170" s="46"/>
      <c r="E170" s="44" t="s">
        <v>1016</v>
      </c>
      <c r="F170" s="53">
        <v>41153</v>
      </c>
      <c r="G170" s="44" t="s">
        <v>1017</v>
      </c>
    </row>
    <row r="171" spans="1:8" s="51" customFormat="1" ht="27.75" customHeight="1" x14ac:dyDescent="0.35">
      <c r="A171" s="46"/>
      <c r="B171" s="58"/>
      <c r="C171" s="46"/>
      <c r="D171" s="46"/>
      <c r="E171" s="44" t="s">
        <v>1018</v>
      </c>
      <c r="F171" s="53">
        <v>39951</v>
      </c>
      <c r="G171" s="44" t="s">
        <v>1019</v>
      </c>
    </row>
    <row r="172" spans="1:8" s="51" customFormat="1" ht="6" customHeight="1" x14ac:dyDescent="0.35">
      <c r="A172" s="55"/>
      <c r="B172" s="48"/>
      <c r="C172" s="55"/>
      <c r="D172" s="55"/>
      <c r="E172" s="48"/>
      <c r="F172" s="56"/>
      <c r="G172" s="48"/>
      <c r="H172" s="57"/>
    </row>
    <row r="173" spans="1:8" s="51" customFormat="1" ht="33.75" customHeight="1" x14ac:dyDescent="0.35">
      <c r="A173" s="46">
        <v>2018</v>
      </c>
      <c r="B173" s="46" t="s">
        <v>768</v>
      </c>
      <c r="C173" s="46" t="s">
        <v>14</v>
      </c>
      <c r="D173" s="52">
        <v>495230</v>
      </c>
      <c r="E173" s="44" t="s">
        <v>1048</v>
      </c>
      <c r="F173" s="53">
        <v>41877</v>
      </c>
      <c r="G173" s="44" t="s">
        <v>1049</v>
      </c>
    </row>
    <row r="174" spans="1:8" s="51" customFormat="1" ht="33.75" customHeight="1" x14ac:dyDescent="0.35">
      <c r="A174" s="46"/>
      <c r="B174" s="46"/>
      <c r="C174" s="46"/>
      <c r="D174" s="52"/>
      <c r="E174" s="44" t="s">
        <v>1020</v>
      </c>
      <c r="F174" s="53">
        <v>41760</v>
      </c>
      <c r="G174" s="44"/>
    </row>
    <row r="175" spans="1:8" s="51" customFormat="1" ht="21.75" customHeight="1" x14ac:dyDescent="0.35">
      <c r="A175" s="46"/>
      <c r="B175" s="58"/>
      <c r="C175" s="46"/>
      <c r="D175" s="46"/>
      <c r="E175" s="44" t="s">
        <v>1021</v>
      </c>
      <c r="F175" s="53">
        <v>41654</v>
      </c>
      <c r="G175" s="44"/>
    </row>
    <row r="176" spans="1:8" s="51" customFormat="1" ht="129" customHeight="1" x14ac:dyDescent="0.35">
      <c r="A176" s="46"/>
      <c r="B176" s="58"/>
      <c r="C176" s="46"/>
      <c r="D176" s="46"/>
      <c r="E176" s="44" t="s">
        <v>1022</v>
      </c>
      <c r="F176" s="53">
        <v>41656</v>
      </c>
      <c r="G176" s="44" t="s">
        <v>1023</v>
      </c>
    </row>
    <row r="177" spans="1:8" s="51" customFormat="1" ht="55.5" customHeight="1" x14ac:dyDescent="0.35">
      <c r="A177" s="46"/>
      <c r="B177" s="58"/>
      <c r="C177" s="46"/>
      <c r="D177" s="46"/>
      <c r="E177" s="44" t="s">
        <v>1024</v>
      </c>
      <c r="F177" s="53">
        <v>41548</v>
      </c>
      <c r="G177" s="44" t="s">
        <v>346</v>
      </c>
    </row>
    <row r="178" spans="1:8" s="51" customFormat="1" ht="6" customHeight="1" x14ac:dyDescent="0.35">
      <c r="A178" s="55"/>
      <c r="B178" s="48"/>
      <c r="C178" s="55"/>
      <c r="D178" s="55"/>
      <c r="E178" s="48"/>
      <c r="F178" s="56"/>
      <c r="G178" s="48"/>
      <c r="H178" s="57"/>
    </row>
    <row r="179" spans="1:8" s="51" customFormat="1" ht="44.25" customHeight="1" x14ac:dyDescent="0.35">
      <c r="A179" s="46">
        <v>2018</v>
      </c>
      <c r="B179" s="46" t="s">
        <v>475</v>
      </c>
      <c r="C179" s="46" t="s">
        <v>796</v>
      </c>
      <c r="D179" s="52">
        <v>856800</v>
      </c>
      <c r="E179" s="44" t="s">
        <v>1025</v>
      </c>
      <c r="F179" s="53">
        <v>40830</v>
      </c>
      <c r="G179" s="44" t="s">
        <v>1026</v>
      </c>
    </row>
    <row r="180" spans="1:8" s="51" customFormat="1" ht="75" customHeight="1" x14ac:dyDescent="0.35">
      <c r="A180" s="46"/>
      <c r="B180" s="58"/>
      <c r="C180" s="46"/>
      <c r="D180" s="46"/>
      <c r="E180" s="44" t="s">
        <v>1027</v>
      </c>
      <c r="F180" s="53">
        <v>41671</v>
      </c>
      <c r="G180" s="44" t="s">
        <v>779</v>
      </c>
    </row>
    <row r="181" spans="1:8" s="51" customFormat="1" ht="108.75" customHeight="1" x14ac:dyDescent="0.35">
      <c r="A181" s="46"/>
      <c r="B181" s="58"/>
      <c r="C181" s="46"/>
      <c r="D181" s="46"/>
      <c r="E181" s="44" t="s">
        <v>1028</v>
      </c>
      <c r="F181" s="53">
        <v>41698</v>
      </c>
      <c r="G181" s="44" t="s">
        <v>779</v>
      </c>
    </row>
    <row r="182" spans="1:8" s="51" customFormat="1" ht="39.75" customHeight="1" x14ac:dyDescent="0.35">
      <c r="A182" s="46"/>
      <c r="B182" s="58"/>
      <c r="C182" s="46"/>
      <c r="D182" s="46"/>
      <c r="E182" s="44" t="s">
        <v>1029</v>
      </c>
      <c r="F182" s="53">
        <v>41306</v>
      </c>
      <c r="G182" s="44" t="s">
        <v>1030</v>
      </c>
    </row>
    <row r="183" spans="1:8" s="51" customFormat="1" ht="68.25" customHeight="1" x14ac:dyDescent="0.35">
      <c r="A183" s="46"/>
      <c r="B183" s="58"/>
      <c r="C183" s="46"/>
      <c r="D183" s="46"/>
      <c r="E183" s="44" t="s">
        <v>1031</v>
      </c>
      <c r="F183" s="53">
        <v>41122</v>
      </c>
      <c r="G183" s="44" t="s">
        <v>896</v>
      </c>
    </row>
    <row r="184" spans="1:8" s="51" customFormat="1" ht="27.75" customHeight="1" x14ac:dyDescent="0.35">
      <c r="A184" s="46"/>
      <c r="B184" s="58"/>
      <c r="C184" s="46"/>
      <c r="D184" s="46"/>
      <c r="E184" s="44" t="s">
        <v>1032</v>
      </c>
      <c r="F184" s="53">
        <v>41061</v>
      </c>
      <c r="G184" s="44"/>
    </row>
    <row r="185" spans="1:8" s="51" customFormat="1" ht="59.25" customHeight="1" x14ac:dyDescent="0.35">
      <c r="A185" s="46"/>
      <c r="B185" s="58"/>
      <c r="C185" s="46"/>
      <c r="D185" s="46"/>
      <c r="E185" s="44" t="s">
        <v>1033</v>
      </c>
      <c r="F185" s="53">
        <v>40969</v>
      </c>
      <c r="G185" s="44" t="s">
        <v>1030</v>
      </c>
    </row>
    <row r="186" spans="1:8" s="51" customFormat="1" ht="25" x14ac:dyDescent="0.35">
      <c r="A186" s="46"/>
      <c r="B186" s="58"/>
      <c r="C186" s="46"/>
      <c r="D186" s="46"/>
      <c r="E186" s="44" t="s">
        <v>1034</v>
      </c>
      <c r="F186" s="53">
        <v>40756</v>
      </c>
      <c r="G186" s="44" t="s">
        <v>894</v>
      </c>
    </row>
  </sheetData>
  <autoFilter ref="A1:H186" xr:uid="{00000000-0009-0000-0000-00000A000000}"/>
  <conditionalFormatting sqref="B7">
    <cfRule type="expression" dxfId="107" priority="91">
      <formula>$Q7="Potential"</formula>
    </cfRule>
    <cfRule type="expression" dxfId="106" priority="92">
      <formula>$Q7="Completed"</formula>
    </cfRule>
    <cfRule type="expression" dxfId="105" priority="93">
      <formula>$Q7="Taken Out"</formula>
    </cfRule>
  </conditionalFormatting>
  <conditionalFormatting sqref="B16">
    <cfRule type="expression" dxfId="104" priority="87">
      <formula>$Q16="Taken Out"</formula>
    </cfRule>
    <cfRule type="expression" dxfId="103" priority="86">
      <formula>$Q16="Completed"</formula>
    </cfRule>
    <cfRule type="expression" dxfId="102" priority="85">
      <formula>$Q16="Potential"</formula>
    </cfRule>
  </conditionalFormatting>
  <conditionalFormatting sqref="B19:B20">
    <cfRule type="expression" dxfId="101" priority="83">
      <formula>$Q19="Completed"</formula>
    </cfRule>
    <cfRule type="expression" dxfId="100" priority="84">
      <formula>$Q19="Taken Out"</formula>
    </cfRule>
    <cfRule type="expression" dxfId="99" priority="82">
      <formula>$Q19="Potential"</formula>
    </cfRule>
  </conditionalFormatting>
  <conditionalFormatting sqref="B23">
    <cfRule type="expression" dxfId="98" priority="81">
      <formula>$Q23="Taken Out"</formula>
    </cfRule>
    <cfRule type="expression" dxfId="97" priority="80">
      <formula>$Q23="Completed"</formula>
    </cfRule>
    <cfRule type="expression" dxfId="96" priority="79">
      <formula>$Q23="Potential"</formula>
    </cfRule>
  </conditionalFormatting>
  <conditionalFormatting sqref="B29">
    <cfRule type="expression" dxfId="95" priority="78">
      <formula>$P27="Taken Out"</formula>
    </cfRule>
    <cfRule type="expression" dxfId="94" priority="77">
      <formula>$P27="Completed"</formula>
    </cfRule>
    <cfRule type="expression" dxfId="93" priority="76">
      <formula>$P27="Potential"</formula>
    </cfRule>
  </conditionalFormatting>
  <conditionalFormatting sqref="B33:B34">
    <cfRule type="expression" dxfId="92" priority="75">
      <formula>$P33="Taken Out"</formula>
    </cfRule>
    <cfRule type="expression" dxfId="91" priority="74">
      <formula>$P33="Completed"</formula>
    </cfRule>
    <cfRule type="expression" dxfId="90" priority="73">
      <formula>$P33="Potential"</formula>
    </cfRule>
  </conditionalFormatting>
  <conditionalFormatting sqref="B41">
    <cfRule type="expression" dxfId="89" priority="72">
      <formula>$P41="Taken Out"</formula>
    </cfRule>
    <cfRule type="expression" dxfId="88" priority="70">
      <formula>$P41="Potential"</formula>
    </cfRule>
    <cfRule type="expression" dxfId="87" priority="71">
      <formula>$P41="Completed"</formula>
    </cfRule>
  </conditionalFormatting>
  <conditionalFormatting sqref="B50:B51">
    <cfRule type="expression" dxfId="86" priority="69">
      <formula>$P50="Taken Out"</formula>
    </cfRule>
    <cfRule type="expression" dxfId="85" priority="68">
      <formula>$P50="Completed"</formula>
    </cfRule>
    <cfRule type="expression" dxfId="84" priority="67">
      <formula>$P50="Potential"</formula>
    </cfRule>
  </conditionalFormatting>
  <conditionalFormatting sqref="B54:B55 B57">
    <cfRule type="expression" dxfId="83" priority="66">
      <formula>$P54="Taken Out"</formula>
    </cfRule>
    <cfRule type="expression" dxfId="82" priority="65">
      <formula>$P54="Completed"</formula>
    </cfRule>
    <cfRule type="expression" dxfId="81" priority="64">
      <formula>$P54="Potential"</formula>
    </cfRule>
  </conditionalFormatting>
  <conditionalFormatting sqref="B59">
    <cfRule type="expression" dxfId="80" priority="63">
      <formula>$P60="Taken Out"</formula>
    </cfRule>
    <cfRule type="expression" dxfId="79" priority="62">
      <formula>$P60="Completed"</formula>
    </cfRule>
    <cfRule type="expression" dxfId="78" priority="61">
      <formula>$P60="Potential"</formula>
    </cfRule>
  </conditionalFormatting>
  <conditionalFormatting sqref="B65">
    <cfRule type="expression" dxfId="77" priority="60">
      <formula>$P65="Taken Out"</formula>
    </cfRule>
    <cfRule type="expression" dxfId="76" priority="59">
      <formula>$P65="Completed"</formula>
    </cfRule>
    <cfRule type="expression" dxfId="75" priority="58">
      <formula>$P65="Potential"</formula>
    </cfRule>
  </conditionalFormatting>
  <conditionalFormatting sqref="B76">
    <cfRule type="expression" dxfId="74" priority="57">
      <formula>$P76="Taken Out"</formula>
    </cfRule>
    <cfRule type="expression" dxfId="73" priority="56">
      <formula>$P76="Completed"</formula>
    </cfRule>
    <cfRule type="expression" dxfId="72" priority="55">
      <formula>$P76="Potential"</formula>
    </cfRule>
  </conditionalFormatting>
  <conditionalFormatting sqref="B79:B80">
    <cfRule type="expression" dxfId="71" priority="54">
      <formula>$P79="Taken Out"</formula>
    </cfRule>
    <cfRule type="expression" dxfId="70" priority="53">
      <formula>$P79="Completed"</formula>
    </cfRule>
    <cfRule type="expression" dxfId="69" priority="52">
      <formula>$P79="Potential"</formula>
    </cfRule>
  </conditionalFormatting>
  <conditionalFormatting sqref="B86:B87">
    <cfRule type="expression" dxfId="68" priority="50">
      <formula>$P86="Completed"</formula>
    </cfRule>
    <cfRule type="expression" dxfId="67" priority="49">
      <formula>$P86="Potential"</formula>
    </cfRule>
    <cfRule type="expression" dxfId="66" priority="51">
      <formula>$P86="Taken Out"</formula>
    </cfRule>
  </conditionalFormatting>
  <conditionalFormatting sqref="B93">
    <cfRule type="expression" dxfId="65" priority="46">
      <formula>$P91="Potential"</formula>
    </cfRule>
    <cfRule type="expression" dxfId="64" priority="47">
      <formula>$P91="Completed"</formula>
    </cfRule>
    <cfRule type="expression" dxfId="63" priority="48">
      <formula>$P91="Taken Out"</formula>
    </cfRule>
  </conditionalFormatting>
  <conditionalFormatting sqref="B102">
    <cfRule type="expression" dxfId="62" priority="45">
      <formula>$P102="Taken Out"</formula>
    </cfRule>
    <cfRule type="expression" dxfId="61" priority="44">
      <formula>$P102="Completed"</formula>
    </cfRule>
    <cfRule type="expression" dxfId="60" priority="43">
      <formula>$P102="Potential"</formula>
    </cfRule>
  </conditionalFormatting>
  <conditionalFormatting sqref="B113">
    <cfRule type="expression" dxfId="59" priority="42">
      <formula>$P114="Taken Out"</formula>
    </cfRule>
    <cfRule type="expression" dxfId="58" priority="41">
      <formula>$P114="Completed"</formula>
    </cfRule>
    <cfRule type="expression" dxfId="57" priority="40">
      <formula>$P114="Potential"</formula>
    </cfRule>
  </conditionalFormatting>
  <conditionalFormatting sqref="B118">
    <cfRule type="expression" dxfId="56" priority="39">
      <formula>$P118="Taken Out"</formula>
    </cfRule>
    <cfRule type="expression" dxfId="55" priority="38">
      <formula>$P118="Completed"</formula>
    </cfRule>
    <cfRule type="expression" dxfId="54" priority="37">
      <formula>$P118="Potential"</formula>
    </cfRule>
  </conditionalFormatting>
  <conditionalFormatting sqref="B125">
    <cfRule type="expression" dxfId="53" priority="36">
      <formula>$P125="Taken Out"</formula>
    </cfRule>
    <cfRule type="expression" dxfId="52" priority="35">
      <formula>$P125="Completed"</formula>
    </cfRule>
    <cfRule type="expression" dxfId="51" priority="34">
      <formula>$P125="Potential"</formula>
    </cfRule>
  </conditionalFormatting>
  <conditionalFormatting sqref="B127">
    <cfRule type="expression" dxfId="50" priority="33">
      <formula>$P127="Taken Out"</formula>
    </cfRule>
    <cfRule type="expression" dxfId="49" priority="32">
      <formula>$P127="Completed"</formula>
    </cfRule>
    <cfRule type="expression" dxfId="48" priority="31">
      <formula>$P127="Potential"</formula>
    </cfRule>
  </conditionalFormatting>
  <conditionalFormatting sqref="B136:B137">
    <cfRule type="expression" dxfId="47" priority="30">
      <formula>$P136="Taken Out"</formula>
    </cfRule>
    <cfRule type="expression" dxfId="46" priority="29">
      <formula>$P136="Completed"</formula>
    </cfRule>
    <cfRule type="expression" dxfId="45" priority="28">
      <formula>$P136="Potential"</formula>
    </cfRule>
  </conditionalFormatting>
  <conditionalFormatting sqref="B140">
    <cfRule type="expression" dxfId="44" priority="27">
      <formula>$P140="Taken Out"</formula>
    </cfRule>
    <cfRule type="expression" dxfId="43" priority="26">
      <formula>$P140="Completed"</formula>
    </cfRule>
    <cfRule type="expression" dxfId="42" priority="25">
      <formula>$P140="Potential"</formula>
    </cfRule>
  </conditionalFormatting>
  <conditionalFormatting sqref="B147">
    <cfRule type="expression" dxfId="41" priority="24">
      <formula>$P147="Taken Out"</formula>
    </cfRule>
    <cfRule type="expression" dxfId="40" priority="22">
      <formula>$P147="Potential"</formula>
    </cfRule>
    <cfRule type="expression" dxfId="39" priority="23">
      <formula>$P147="Completed"</formula>
    </cfRule>
  </conditionalFormatting>
  <conditionalFormatting sqref="B150">
    <cfRule type="expression" dxfId="38" priority="21">
      <formula>$P150="Taken Out"</formula>
    </cfRule>
    <cfRule type="expression" dxfId="37" priority="20">
      <formula>$P150="Completed"</formula>
    </cfRule>
    <cfRule type="expression" dxfId="36" priority="19">
      <formula>$P150="Potential"</formula>
    </cfRule>
  </conditionalFormatting>
  <conditionalFormatting sqref="B158">
    <cfRule type="expression" dxfId="35" priority="18">
      <formula>$P158="Taken Out"</formula>
    </cfRule>
    <cfRule type="expression" dxfId="34" priority="17">
      <formula>$P158="Completed"</formula>
    </cfRule>
    <cfRule type="expression" dxfId="33" priority="16">
      <formula>$P158="Potential"</formula>
    </cfRule>
  </conditionalFormatting>
  <conditionalFormatting sqref="B163">
    <cfRule type="expression" dxfId="32" priority="15">
      <formula>$P163="Taken Out"</formula>
    </cfRule>
    <cfRule type="expression" dxfId="31" priority="14">
      <formula>$P163="Completed"</formula>
    </cfRule>
    <cfRule type="expression" dxfId="30" priority="13">
      <formula>$P163="Potential"</formula>
    </cfRule>
  </conditionalFormatting>
  <conditionalFormatting sqref="B167">
    <cfRule type="expression" dxfId="29" priority="12">
      <formula>$P168="Taken Out"</formula>
    </cfRule>
    <cfRule type="expression" dxfId="28" priority="11">
      <formula>$P168="Completed"</formula>
    </cfRule>
    <cfRule type="expression" dxfId="27" priority="10">
      <formula>$P168="Potential"</formula>
    </cfRule>
  </conditionalFormatting>
  <conditionalFormatting sqref="B173:B174">
    <cfRule type="expression" dxfId="26" priority="9">
      <formula>$P171="Taken Out"</formula>
    </cfRule>
    <cfRule type="expression" dxfId="25" priority="8">
      <formula>$P171="Completed"</formula>
    </cfRule>
    <cfRule type="expression" dxfId="24" priority="7">
      <formula>$P171="Potential"</formula>
    </cfRule>
  </conditionalFormatting>
  <conditionalFormatting sqref="B179">
    <cfRule type="expression" dxfId="23" priority="6">
      <formula>$P179="Taken Out"</formula>
    </cfRule>
    <cfRule type="expression" dxfId="22" priority="5">
      <formula>$P179="Completed"</formula>
    </cfRule>
    <cfRule type="expression" dxfId="21" priority="4">
      <formula>$P179="Potential"</formula>
    </cfRule>
  </conditionalFormatting>
  <conditionalFormatting sqref="D2">
    <cfRule type="expression" dxfId="20" priority="2">
      <formula>$Q2="Completed"</formula>
    </cfRule>
    <cfRule type="expression" dxfId="19" priority="3">
      <formula>$Q2="Taken Out"</formula>
    </cfRule>
    <cfRule type="expression" dxfId="18" priority="1">
      <formula>$Q2="Potential"</formula>
    </cfRule>
  </conditionalFormatting>
  <conditionalFormatting sqref="D7">
    <cfRule type="expression" dxfId="17" priority="88">
      <formula>$Q7="Potential"</formula>
    </cfRule>
    <cfRule type="expression" dxfId="16" priority="89">
      <formula>$Q7="Completed"</formula>
    </cfRule>
    <cfRule type="expression" dxfId="15" priority="90">
      <formula>$Q7="Taken Out"</formula>
    </cfRule>
  </conditionalFormatting>
  <hyperlinks>
    <hyperlink ref="G168" r:id="rId1" xr:uid="{00000000-0004-0000-0A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C7188-F346-4565-9E0C-325A500209E5}">
  <sheetPr codeName="Sheet2">
    <tabColor theme="8"/>
  </sheetPr>
  <dimension ref="A1:N45"/>
  <sheetViews>
    <sheetView zoomScale="85" zoomScaleNormal="85" workbookViewId="0">
      <selection activeCell="D14" sqref="D14 F14"/>
      <pivotSelection pane="bottomRight" showHeader="1" extendable="1" axis="axisRow" dimension="3" start="9" min="9" max="10" activeRow="13" activeCol="3" previousRow="13" previousCol="3" click="1" r:id="rId1">
        <pivotArea dataOnly="0" outline="0" fieldPosition="0">
          <references count="1">
            <reference field="1" count="1">
              <x v="271"/>
            </reference>
          </references>
        </pivotArea>
      </pivotSelection>
    </sheetView>
  </sheetViews>
  <sheetFormatPr defaultRowHeight="14.5" x14ac:dyDescent="0.35"/>
  <cols>
    <col min="1" max="1" width="13.453125" customWidth="1"/>
    <col min="2" max="2" width="16.54296875" customWidth="1"/>
    <col min="3" max="3" width="12.453125" customWidth="1"/>
    <col min="4" max="4" width="77.453125" bestFit="1" customWidth="1"/>
    <col min="5" max="5" width="26.453125" bestFit="1" customWidth="1"/>
    <col min="6" max="6" width="19" bestFit="1" customWidth="1"/>
    <col min="7" max="7" width="19" customWidth="1"/>
    <col min="8" max="8" width="19" bestFit="1" customWidth="1"/>
    <col min="9" max="9" width="11.453125" bestFit="1" customWidth="1"/>
    <col min="10" max="10" width="19" bestFit="1" customWidth="1"/>
    <col min="11" max="11" width="67.453125" bestFit="1" customWidth="1"/>
    <col min="12" max="23" width="19" bestFit="1" customWidth="1"/>
    <col min="24" max="24" width="11.453125" bestFit="1" customWidth="1"/>
    <col min="25" max="25" width="12.453125" bestFit="1" customWidth="1"/>
    <col min="26" max="29" width="16.453125" bestFit="1" customWidth="1"/>
    <col min="30" max="30" width="11.453125" bestFit="1" customWidth="1"/>
  </cols>
  <sheetData>
    <row r="1" spans="1:14" x14ac:dyDescent="0.35">
      <c r="A1" s="7" t="s">
        <v>78</v>
      </c>
      <c r="B1" t="s">
        <v>794</v>
      </c>
      <c r="H1" s="7" t="s">
        <v>78</v>
      </c>
      <c r="I1" t="s">
        <v>794</v>
      </c>
    </row>
    <row r="2" spans="1:14" x14ac:dyDescent="0.35">
      <c r="A2" s="7" t="s">
        <v>19</v>
      </c>
      <c r="B2" t="s">
        <v>20</v>
      </c>
      <c r="H2" s="7" t="s">
        <v>19</v>
      </c>
      <c r="I2" t="s">
        <v>20</v>
      </c>
    </row>
    <row r="4" spans="1:14" x14ac:dyDescent="0.35">
      <c r="A4" s="7" t="s">
        <v>1407</v>
      </c>
      <c r="B4" s="7" t="s">
        <v>1643</v>
      </c>
      <c r="C4" s="7" t="s">
        <v>1705</v>
      </c>
      <c r="D4" s="7" t="s">
        <v>28</v>
      </c>
      <c r="E4" s="7" t="s">
        <v>845</v>
      </c>
      <c r="F4" t="s">
        <v>1530</v>
      </c>
      <c r="H4" s="7" t="s">
        <v>1407</v>
      </c>
      <c r="I4" s="7" t="s">
        <v>1705</v>
      </c>
      <c r="J4" s="7" t="s">
        <v>28</v>
      </c>
      <c r="K4" s="7" t="s">
        <v>71</v>
      </c>
      <c r="L4" s="7" t="s">
        <v>1196</v>
      </c>
      <c r="M4" s="7" t="s">
        <v>1124</v>
      </c>
      <c r="N4" t="s">
        <v>1530</v>
      </c>
    </row>
    <row r="5" spans="1:14" x14ac:dyDescent="0.35">
      <c r="A5">
        <v>2023</v>
      </c>
      <c r="B5">
        <v>7</v>
      </c>
      <c r="C5" t="s">
        <v>2382</v>
      </c>
      <c r="D5" t="s">
        <v>2322</v>
      </c>
      <c r="E5">
        <v>10756.5</v>
      </c>
      <c r="F5" s="76">
        <v>179848.68000000002</v>
      </c>
      <c r="G5" s="76"/>
      <c r="H5">
        <v>2021</v>
      </c>
      <c r="I5" t="s">
        <v>2373</v>
      </c>
      <c r="J5" t="s">
        <v>1956</v>
      </c>
      <c r="K5" t="s">
        <v>1225</v>
      </c>
      <c r="L5" t="s">
        <v>1128</v>
      </c>
      <c r="M5" t="s">
        <v>12</v>
      </c>
      <c r="N5" s="76">
        <v>435501.75</v>
      </c>
    </row>
    <row r="6" spans="1:14" x14ac:dyDescent="0.35">
      <c r="A6">
        <v>2023</v>
      </c>
      <c r="B6">
        <v>7</v>
      </c>
      <c r="C6" t="s">
        <v>2379</v>
      </c>
      <c r="D6" t="s">
        <v>2307</v>
      </c>
      <c r="E6">
        <v>15522.170454545454</v>
      </c>
      <c r="F6" s="76">
        <v>45000.418064084581</v>
      </c>
      <c r="G6" s="76"/>
      <c r="H6">
        <v>2021</v>
      </c>
      <c r="I6" t="s">
        <v>2372</v>
      </c>
      <c r="J6" t="s">
        <v>1892</v>
      </c>
      <c r="K6" t="s">
        <v>1891</v>
      </c>
      <c r="L6" t="s">
        <v>42</v>
      </c>
      <c r="M6" t="s">
        <v>15</v>
      </c>
      <c r="N6" s="76">
        <v>136120.04510785255</v>
      </c>
    </row>
    <row r="7" spans="1:14" x14ac:dyDescent="0.35">
      <c r="A7">
        <v>2023</v>
      </c>
      <c r="B7">
        <v>7</v>
      </c>
      <c r="C7" t="s">
        <v>2394</v>
      </c>
      <c r="D7" t="s">
        <v>2479</v>
      </c>
      <c r="E7">
        <v>15172.194374999999</v>
      </c>
      <c r="F7" s="76">
        <v>121377.55499999999</v>
      </c>
      <c r="G7" s="76"/>
      <c r="H7">
        <v>2022</v>
      </c>
      <c r="I7" t="s">
        <v>2377</v>
      </c>
      <c r="J7" t="s">
        <v>1624</v>
      </c>
      <c r="K7" t="s">
        <v>99</v>
      </c>
      <c r="L7" t="s">
        <v>7</v>
      </c>
      <c r="M7" t="s">
        <v>360</v>
      </c>
      <c r="N7" s="76">
        <v>718002</v>
      </c>
    </row>
    <row r="8" spans="1:14" x14ac:dyDescent="0.35">
      <c r="A8">
        <v>2023</v>
      </c>
      <c r="B8">
        <v>8</v>
      </c>
      <c r="C8" t="s">
        <v>2381</v>
      </c>
      <c r="D8" t="s">
        <v>2252</v>
      </c>
      <c r="E8">
        <v>11250</v>
      </c>
      <c r="F8" s="76">
        <v>330606.75</v>
      </c>
      <c r="G8" s="76"/>
      <c r="H8">
        <v>2022</v>
      </c>
      <c r="I8" t="s">
        <v>2386</v>
      </c>
      <c r="J8" t="s">
        <v>1921</v>
      </c>
      <c r="K8" t="s">
        <v>839</v>
      </c>
      <c r="L8" t="s">
        <v>42</v>
      </c>
      <c r="M8" t="s">
        <v>15</v>
      </c>
      <c r="N8" s="76">
        <v>117758</v>
      </c>
    </row>
    <row r="9" spans="1:14" x14ac:dyDescent="0.35">
      <c r="A9">
        <v>2023</v>
      </c>
      <c r="B9">
        <v>8</v>
      </c>
      <c r="C9" t="s">
        <v>2380</v>
      </c>
      <c r="D9" t="s">
        <v>2304</v>
      </c>
      <c r="E9" t="s">
        <v>2179</v>
      </c>
      <c r="F9" s="76">
        <v>842152.5</v>
      </c>
      <c r="G9" s="76"/>
      <c r="H9">
        <v>2022</v>
      </c>
      <c r="I9" t="s">
        <v>2436</v>
      </c>
      <c r="J9" t="s">
        <v>2480</v>
      </c>
      <c r="K9" t="s">
        <v>501</v>
      </c>
      <c r="L9" t="s">
        <v>42</v>
      </c>
      <c r="M9" t="s">
        <v>15</v>
      </c>
      <c r="N9" s="76">
        <v>373691</v>
      </c>
    </row>
    <row r="10" spans="1:14" x14ac:dyDescent="0.35">
      <c r="A10">
        <v>2023</v>
      </c>
      <c r="B10">
        <v>8</v>
      </c>
      <c r="C10" t="s">
        <v>2384</v>
      </c>
      <c r="D10" t="s">
        <v>2250</v>
      </c>
      <c r="E10">
        <v>4410.3571428571431</v>
      </c>
      <c r="F10" s="76">
        <v>92617.5</v>
      </c>
      <c r="G10" s="76"/>
      <c r="H10">
        <v>2022</v>
      </c>
      <c r="I10" t="s">
        <v>2385</v>
      </c>
      <c r="J10" t="s">
        <v>1958</v>
      </c>
      <c r="K10" t="s">
        <v>501</v>
      </c>
      <c r="L10" t="s">
        <v>14</v>
      </c>
      <c r="M10" t="s">
        <v>50</v>
      </c>
      <c r="N10" s="76">
        <v>201870.375</v>
      </c>
    </row>
    <row r="11" spans="1:14" x14ac:dyDescent="0.35">
      <c r="A11">
        <v>2024</v>
      </c>
      <c r="B11">
        <v>1</v>
      </c>
      <c r="C11" t="s">
        <v>2376</v>
      </c>
      <c r="D11" t="s">
        <v>1903</v>
      </c>
      <c r="E11" t="s">
        <v>1919</v>
      </c>
      <c r="F11" s="76">
        <v>332392.23000000004</v>
      </c>
      <c r="G11" s="76"/>
      <c r="H11">
        <v>2022</v>
      </c>
      <c r="I11" t="s">
        <v>2378</v>
      </c>
      <c r="J11" t="s">
        <v>1859</v>
      </c>
      <c r="K11" t="s">
        <v>1396</v>
      </c>
      <c r="L11" t="s">
        <v>14</v>
      </c>
      <c r="M11" t="s">
        <v>567</v>
      </c>
      <c r="N11" s="76">
        <v>953120</v>
      </c>
    </row>
    <row r="12" spans="1:14" x14ac:dyDescent="0.35">
      <c r="A12">
        <v>2024</v>
      </c>
      <c r="B12">
        <v>1</v>
      </c>
      <c r="C12" t="s">
        <v>2437</v>
      </c>
      <c r="D12" t="s">
        <v>1905</v>
      </c>
      <c r="E12">
        <v>13148</v>
      </c>
      <c r="F12" s="76">
        <v>419617.28000000003</v>
      </c>
      <c r="G12" s="76"/>
      <c r="H12">
        <v>2022</v>
      </c>
      <c r="I12" t="s">
        <v>2435</v>
      </c>
      <c r="J12" t="s">
        <v>2243</v>
      </c>
      <c r="K12" t="s">
        <v>2248</v>
      </c>
      <c r="L12" t="s">
        <v>14</v>
      </c>
      <c r="M12" t="s">
        <v>50</v>
      </c>
      <c r="N12" s="76">
        <v>465000</v>
      </c>
    </row>
    <row r="13" spans="1:14" x14ac:dyDescent="0.35">
      <c r="A13">
        <v>2024</v>
      </c>
      <c r="B13">
        <v>3</v>
      </c>
      <c r="C13" t="s">
        <v>2393</v>
      </c>
      <c r="D13" t="s">
        <v>1904</v>
      </c>
      <c r="E13" t="s">
        <v>2181</v>
      </c>
      <c r="F13" s="76">
        <v>160545.60000000001</v>
      </c>
      <c r="G13" s="76"/>
      <c r="H13">
        <v>2022</v>
      </c>
      <c r="I13" t="s">
        <v>2383</v>
      </c>
      <c r="J13" t="s">
        <v>2477</v>
      </c>
      <c r="K13" t="s">
        <v>2256</v>
      </c>
      <c r="L13" t="s">
        <v>14</v>
      </c>
      <c r="M13" t="s">
        <v>50</v>
      </c>
      <c r="N13" s="76">
        <v>260207.49999999997</v>
      </c>
    </row>
    <row r="14" spans="1:14" x14ac:dyDescent="0.35">
      <c r="A14">
        <v>2024</v>
      </c>
      <c r="B14">
        <v>3</v>
      </c>
      <c r="C14" t="s">
        <v>2450</v>
      </c>
      <c r="D14" t="s">
        <v>2454</v>
      </c>
      <c r="E14">
        <v>10609.213787083332</v>
      </c>
      <c r="F14" s="76">
        <v>190965.84816749999</v>
      </c>
      <c r="G14" s="76"/>
      <c r="H14">
        <v>2022</v>
      </c>
      <c r="I14" t="s">
        <v>2434</v>
      </c>
      <c r="J14" t="s">
        <v>1704</v>
      </c>
      <c r="K14" t="s">
        <v>1225</v>
      </c>
      <c r="L14" t="s">
        <v>42</v>
      </c>
      <c r="M14" t="s">
        <v>18</v>
      </c>
      <c r="N14" s="76">
        <v>421800</v>
      </c>
    </row>
    <row r="15" spans="1:14" x14ac:dyDescent="0.35">
      <c r="A15">
        <v>2024</v>
      </c>
      <c r="B15">
        <v>5</v>
      </c>
      <c r="C15" t="s">
        <v>2388</v>
      </c>
      <c r="D15" t="s">
        <v>2278</v>
      </c>
      <c r="E15" t="s">
        <v>2281</v>
      </c>
      <c r="F15" s="76">
        <v>241267.41</v>
      </c>
      <c r="G15" s="76"/>
      <c r="H15">
        <v>2022</v>
      </c>
      <c r="I15" t="s">
        <v>2374</v>
      </c>
      <c r="J15" t="s">
        <v>1509</v>
      </c>
      <c r="K15" t="s">
        <v>1368</v>
      </c>
      <c r="L15" t="s">
        <v>130</v>
      </c>
      <c r="M15" t="s">
        <v>130</v>
      </c>
      <c r="N15" s="76">
        <v>169122.05000000002</v>
      </c>
    </row>
    <row r="16" spans="1:14" x14ac:dyDescent="0.35">
      <c r="A16">
        <v>2024</v>
      </c>
      <c r="B16">
        <v>7</v>
      </c>
      <c r="C16" t="s">
        <v>2449</v>
      </c>
      <c r="D16" t="s">
        <v>2478</v>
      </c>
      <c r="E16">
        <v>7509.4671266999994</v>
      </c>
      <c r="F16" s="76">
        <v>211444.8</v>
      </c>
      <c r="G16" s="76"/>
      <c r="H16">
        <v>2022</v>
      </c>
      <c r="I16" t="s">
        <v>2387</v>
      </c>
      <c r="J16" t="s">
        <v>2264</v>
      </c>
      <c r="K16" t="s">
        <v>1461</v>
      </c>
      <c r="L16" t="s">
        <v>130</v>
      </c>
      <c r="M16" t="s">
        <v>130</v>
      </c>
      <c r="N16" s="76">
        <v>122390.79999999999</v>
      </c>
    </row>
    <row r="17" spans="1:14" x14ac:dyDescent="0.35">
      <c r="A17">
        <v>2025</v>
      </c>
      <c r="B17">
        <v>1</v>
      </c>
      <c r="C17" t="s">
        <v>1739</v>
      </c>
      <c r="D17" t="s">
        <v>2475</v>
      </c>
      <c r="E17">
        <v>4500</v>
      </c>
      <c r="F17" s="76">
        <v>78036.800000000003</v>
      </c>
      <c r="G17" s="76"/>
      <c r="H17">
        <v>2022</v>
      </c>
      <c r="I17" t="s">
        <v>2375</v>
      </c>
      <c r="J17" t="s">
        <v>1933</v>
      </c>
      <c r="K17" t="s">
        <v>1597</v>
      </c>
      <c r="L17" t="s">
        <v>42</v>
      </c>
      <c r="M17" t="s">
        <v>54</v>
      </c>
      <c r="N17" s="76">
        <v>333750</v>
      </c>
    </row>
    <row r="18" spans="1:14" x14ac:dyDescent="0.35">
      <c r="A18">
        <v>2025</v>
      </c>
      <c r="B18">
        <v>2</v>
      </c>
      <c r="C18" t="s">
        <v>1846</v>
      </c>
      <c r="D18" t="s">
        <v>2456</v>
      </c>
      <c r="E18">
        <v>6735.0441176470595</v>
      </c>
      <c r="F18" s="76">
        <v>122128.8</v>
      </c>
      <c r="G18" s="76"/>
      <c r="H18">
        <v>2023</v>
      </c>
      <c r="I18" t="s">
        <v>2381</v>
      </c>
      <c r="J18" t="s">
        <v>2252</v>
      </c>
      <c r="K18" t="s">
        <v>1430</v>
      </c>
      <c r="L18" t="s">
        <v>1128</v>
      </c>
      <c r="M18" t="s">
        <v>12</v>
      </c>
      <c r="N18" s="76">
        <v>330606.75</v>
      </c>
    </row>
    <row r="19" spans="1:14" x14ac:dyDescent="0.35">
      <c r="A19">
        <v>2025</v>
      </c>
      <c r="B19">
        <v>3</v>
      </c>
      <c r="C19" t="s">
        <v>1760</v>
      </c>
      <c r="D19" t="s">
        <v>2441</v>
      </c>
      <c r="E19">
        <v>17600</v>
      </c>
      <c r="F19" s="76">
        <v>466387.68</v>
      </c>
      <c r="G19" s="76"/>
      <c r="H19">
        <v>2023</v>
      </c>
      <c r="I19" t="s">
        <v>2380</v>
      </c>
      <c r="J19" t="s">
        <v>2304</v>
      </c>
      <c r="K19" t="s">
        <v>1225</v>
      </c>
      <c r="L19" t="s">
        <v>1128</v>
      </c>
      <c r="M19" t="s">
        <v>12</v>
      </c>
      <c r="N19" s="76">
        <v>842152.5</v>
      </c>
    </row>
    <row r="20" spans="1:14" x14ac:dyDescent="0.35">
      <c r="A20">
        <v>2025</v>
      </c>
      <c r="B20">
        <v>6</v>
      </c>
      <c r="C20" t="s">
        <v>2395</v>
      </c>
      <c r="D20" t="s">
        <v>2453</v>
      </c>
      <c r="E20" t="s">
        <v>2185</v>
      </c>
      <c r="F20" s="76">
        <v>1921374</v>
      </c>
      <c r="G20" s="76"/>
      <c r="H20">
        <v>2023</v>
      </c>
      <c r="I20" t="s">
        <v>2382</v>
      </c>
      <c r="J20" t="s">
        <v>2322</v>
      </c>
      <c r="K20" t="s">
        <v>839</v>
      </c>
      <c r="L20" t="s">
        <v>14</v>
      </c>
      <c r="M20" t="s">
        <v>171</v>
      </c>
      <c r="N20" s="76">
        <v>179848.68000000002</v>
      </c>
    </row>
    <row r="21" spans="1:14" x14ac:dyDescent="0.35">
      <c r="A21">
        <v>2025</v>
      </c>
      <c r="B21">
        <v>7</v>
      </c>
      <c r="C21" t="s">
        <v>1755</v>
      </c>
      <c r="D21" t="s">
        <v>2463</v>
      </c>
      <c r="E21">
        <v>19297.266651764709</v>
      </c>
      <c r="F21" s="76">
        <v>328053.53308000002</v>
      </c>
      <c r="G21" s="76"/>
      <c r="H21">
        <v>2023</v>
      </c>
      <c r="I21" t="s">
        <v>2379</v>
      </c>
      <c r="J21" t="s">
        <v>2307</v>
      </c>
      <c r="K21" t="s">
        <v>1408</v>
      </c>
      <c r="L21" t="s">
        <v>14</v>
      </c>
      <c r="M21" t="s">
        <v>567</v>
      </c>
      <c r="N21" s="76">
        <v>45000.418064084581</v>
      </c>
    </row>
    <row r="22" spans="1:14" x14ac:dyDescent="0.35">
      <c r="A22">
        <v>2026</v>
      </c>
      <c r="B22">
        <v>1</v>
      </c>
      <c r="C22" t="s">
        <v>1752</v>
      </c>
      <c r="D22" t="s">
        <v>2490</v>
      </c>
      <c r="E22" t="s">
        <v>2240</v>
      </c>
      <c r="F22" s="76">
        <v>324000</v>
      </c>
      <c r="G22" s="76"/>
      <c r="H22">
        <v>2023</v>
      </c>
      <c r="I22" t="s">
        <v>2394</v>
      </c>
      <c r="J22" t="s">
        <v>2479</v>
      </c>
      <c r="K22" t="s">
        <v>1617</v>
      </c>
      <c r="L22" t="s">
        <v>14</v>
      </c>
      <c r="M22" t="s">
        <v>567</v>
      </c>
      <c r="N22" s="76">
        <v>121377.55499999999</v>
      </c>
    </row>
    <row r="23" spans="1:14" x14ac:dyDescent="0.35">
      <c r="A23">
        <v>2026</v>
      </c>
      <c r="B23">
        <v>2</v>
      </c>
      <c r="C23" t="s">
        <v>1749</v>
      </c>
      <c r="D23" t="s">
        <v>2469</v>
      </c>
      <c r="E23">
        <v>8936.5226785714294</v>
      </c>
      <c r="F23" s="76">
        <v>250222.63500000001</v>
      </c>
      <c r="G23" s="76"/>
      <c r="H23">
        <v>2023</v>
      </c>
      <c r="I23" t="s">
        <v>2384</v>
      </c>
      <c r="J23" t="s">
        <v>2250</v>
      </c>
      <c r="K23" t="s">
        <v>2255</v>
      </c>
      <c r="L23" t="s">
        <v>1128</v>
      </c>
      <c r="M23" t="s">
        <v>11</v>
      </c>
      <c r="N23" s="76">
        <v>92617.5</v>
      </c>
    </row>
    <row r="24" spans="1:14" x14ac:dyDescent="0.35">
      <c r="A24">
        <v>2026</v>
      </c>
      <c r="B24">
        <v>2</v>
      </c>
      <c r="C24" t="s">
        <v>1779</v>
      </c>
      <c r="D24" t="s">
        <v>2324</v>
      </c>
      <c r="E24">
        <v>9858.8437055062495</v>
      </c>
      <c r="F24" s="76">
        <v>227193.90639750002</v>
      </c>
      <c r="G24" s="76"/>
      <c r="H24">
        <v>2024</v>
      </c>
      <c r="I24" t="s">
        <v>2376</v>
      </c>
      <c r="J24" t="s">
        <v>1903</v>
      </c>
      <c r="K24" t="s">
        <v>129</v>
      </c>
      <c r="L24" t="s">
        <v>1</v>
      </c>
      <c r="M24" t="s">
        <v>1</v>
      </c>
      <c r="N24" s="76">
        <v>332392.23000000004</v>
      </c>
    </row>
    <row r="25" spans="1:14" x14ac:dyDescent="0.35">
      <c r="A25">
        <v>2026</v>
      </c>
      <c r="B25">
        <v>3</v>
      </c>
      <c r="C25" t="s">
        <v>1780</v>
      </c>
      <c r="D25" t="s">
        <v>2462</v>
      </c>
      <c r="E25" t="s">
        <v>2497</v>
      </c>
      <c r="F25" s="76">
        <v>752964</v>
      </c>
      <c r="G25" s="76"/>
      <c r="H25">
        <v>2024</v>
      </c>
      <c r="I25" t="s">
        <v>2437</v>
      </c>
      <c r="J25" t="s">
        <v>1905</v>
      </c>
      <c r="K25" t="s">
        <v>2258</v>
      </c>
      <c r="L25" t="s">
        <v>1</v>
      </c>
      <c r="M25" t="s">
        <v>1</v>
      </c>
      <c r="N25" s="76">
        <v>419617.28000000003</v>
      </c>
    </row>
    <row r="26" spans="1:14" x14ac:dyDescent="0.35">
      <c r="A26">
        <v>2026</v>
      </c>
      <c r="B26">
        <v>7</v>
      </c>
      <c r="C26" t="s">
        <v>1764</v>
      </c>
      <c r="D26" t="s">
        <v>2473</v>
      </c>
      <c r="E26">
        <v>6634.2857142857147</v>
      </c>
      <c r="F26" s="76">
        <v>178329.60000000001</v>
      </c>
      <c r="G26" s="76"/>
      <c r="H26">
        <v>2024</v>
      </c>
      <c r="I26" t="s">
        <v>2393</v>
      </c>
      <c r="J26" t="s">
        <v>1904</v>
      </c>
      <c r="K26" t="s">
        <v>99</v>
      </c>
      <c r="L26" t="s">
        <v>1127</v>
      </c>
      <c r="M26" t="s">
        <v>4</v>
      </c>
      <c r="N26" s="76">
        <v>160545.60000000001</v>
      </c>
    </row>
    <row r="27" spans="1:14" x14ac:dyDescent="0.35">
      <c r="A27">
        <v>2027</v>
      </c>
      <c r="B27">
        <v>2</v>
      </c>
      <c r="C27" t="s">
        <v>1753</v>
      </c>
      <c r="D27" t="s">
        <v>1874</v>
      </c>
      <c r="E27">
        <v>5408.9889168000009</v>
      </c>
      <c r="F27" s="76">
        <v>135224.72292000003</v>
      </c>
      <c r="G27" s="76"/>
      <c r="H27">
        <v>2024</v>
      </c>
      <c r="I27" t="s">
        <v>2388</v>
      </c>
      <c r="J27" t="s">
        <v>2278</v>
      </c>
      <c r="K27" t="s">
        <v>1895</v>
      </c>
      <c r="L27" t="s">
        <v>130</v>
      </c>
      <c r="M27" t="s">
        <v>130</v>
      </c>
      <c r="N27" s="76">
        <v>241267.41</v>
      </c>
    </row>
    <row r="28" spans="1:14" x14ac:dyDescent="0.35">
      <c r="A28">
        <v>2027</v>
      </c>
      <c r="B28">
        <v>4</v>
      </c>
      <c r="C28" t="s">
        <v>1830</v>
      </c>
      <c r="D28" t="s">
        <v>2499</v>
      </c>
      <c r="E28">
        <v>6375</v>
      </c>
      <c r="F28" s="76">
        <v>105000</v>
      </c>
      <c r="G28" s="76"/>
      <c r="H28">
        <v>2024</v>
      </c>
      <c r="I28" t="s">
        <v>2449</v>
      </c>
      <c r="J28" t="s">
        <v>2478</v>
      </c>
      <c r="K28" t="s">
        <v>1465</v>
      </c>
      <c r="L28" t="s">
        <v>14</v>
      </c>
      <c r="M28" t="s">
        <v>50</v>
      </c>
      <c r="N28" s="76">
        <v>211444.8</v>
      </c>
    </row>
    <row r="29" spans="1:14" x14ac:dyDescent="0.35">
      <c r="A29">
        <v>2027</v>
      </c>
      <c r="B29">
        <v>6</v>
      </c>
      <c r="C29" t="s">
        <v>1784</v>
      </c>
      <c r="D29" t="s">
        <v>2069</v>
      </c>
      <c r="E29">
        <v>12923.924932692307</v>
      </c>
      <c r="F29" s="76">
        <v>504033.07237499999</v>
      </c>
      <c r="G29" s="76"/>
      <c r="H29">
        <v>2024</v>
      </c>
      <c r="I29" t="s">
        <v>2450</v>
      </c>
      <c r="J29" t="s">
        <v>2454</v>
      </c>
      <c r="K29" t="s">
        <v>1612</v>
      </c>
      <c r="L29" t="s">
        <v>1127</v>
      </c>
      <c r="M29" t="s">
        <v>4</v>
      </c>
      <c r="N29" s="76">
        <v>190965.84816749999</v>
      </c>
    </row>
    <row r="30" spans="1:14" x14ac:dyDescent="0.35">
      <c r="A30">
        <v>2027</v>
      </c>
      <c r="B30">
        <v>8</v>
      </c>
      <c r="C30" t="s">
        <v>1765</v>
      </c>
      <c r="D30" t="s">
        <v>1575</v>
      </c>
      <c r="E30" t="s">
        <v>2183</v>
      </c>
      <c r="F30" s="76">
        <v>379486.40735250001</v>
      </c>
      <c r="G30" s="76"/>
      <c r="H30">
        <v>2025</v>
      </c>
      <c r="I30" t="s">
        <v>1739</v>
      </c>
      <c r="J30" t="s">
        <v>2475</v>
      </c>
      <c r="K30" t="s">
        <v>581</v>
      </c>
      <c r="L30" t="s">
        <v>1</v>
      </c>
      <c r="M30" t="s">
        <v>1</v>
      </c>
      <c r="N30" s="76">
        <v>78036.800000000003</v>
      </c>
    </row>
    <row r="31" spans="1:14" x14ac:dyDescent="0.35">
      <c r="A31">
        <v>2027</v>
      </c>
      <c r="B31">
        <v>9</v>
      </c>
      <c r="C31" t="s">
        <v>1976</v>
      </c>
      <c r="D31" t="s">
        <v>2139</v>
      </c>
      <c r="E31">
        <v>12225</v>
      </c>
      <c r="F31" s="76">
        <v>431964</v>
      </c>
      <c r="G31" s="76"/>
      <c r="H31">
        <v>2025</v>
      </c>
      <c r="I31" t="s">
        <v>1755</v>
      </c>
      <c r="J31" t="s">
        <v>2463</v>
      </c>
      <c r="K31" t="s">
        <v>1677</v>
      </c>
      <c r="L31" t="s">
        <v>14</v>
      </c>
      <c r="M31" t="s">
        <v>171</v>
      </c>
      <c r="N31" s="76">
        <v>328053.53308000002</v>
      </c>
    </row>
    <row r="32" spans="1:14" x14ac:dyDescent="0.35">
      <c r="A32">
        <v>2028</v>
      </c>
      <c r="B32">
        <v>8</v>
      </c>
      <c r="C32" t="s">
        <v>1811</v>
      </c>
      <c r="D32" t="s">
        <v>1603</v>
      </c>
      <c r="E32">
        <v>12781.942881749997</v>
      </c>
      <c r="F32" s="76">
        <v>242856.91475324996</v>
      </c>
      <c r="G32" s="76"/>
      <c r="H32">
        <v>2025</v>
      </c>
      <c r="I32" t="s">
        <v>1760</v>
      </c>
      <c r="J32" t="s">
        <v>2441</v>
      </c>
      <c r="K32" t="s">
        <v>2262</v>
      </c>
      <c r="L32" t="s">
        <v>1127</v>
      </c>
      <c r="M32" t="s">
        <v>5</v>
      </c>
      <c r="N32" s="76">
        <v>466387.68</v>
      </c>
    </row>
    <row r="33" spans="1:14" x14ac:dyDescent="0.35">
      <c r="A33">
        <v>2030</v>
      </c>
      <c r="B33">
        <v>4</v>
      </c>
      <c r="C33" t="s">
        <v>1769</v>
      </c>
      <c r="D33" t="s">
        <v>1456</v>
      </c>
      <c r="E33" t="s">
        <v>2302</v>
      </c>
      <c r="F33" s="76">
        <v>701149.5</v>
      </c>
      <c r="G33" s="76"/>
      <c r="H33">
        <v>2025</v>
      </c>
      <c r="I33" t="s">
        <v>1846</v>
      </c>
      <c r="J33" t="s">
        <v>2456</v>
      </c>
      <c r="K33" t="s">
        <v>1856</v>
      </c>
      <c r="L33" t="s">
        <v>1126</v>
      </c>
      <c r="M33" t="s">
        <v>2</v>
      </c>
      <c r="N33" s="76">
        <v>122128.8</v>
      </c>
    </row>
    <row r="34" spans="1:14" x14ac:dyDescent="0.35">
      <c r="A34">
        <v>2030</v>
      </c>
      <c r="B34">
        <v>9</v>
      </c>
      <c r="C34" t="s">
        <v>1813</v>
      </c>
      <c r="D34" t="s">
        <v>2254</v>
      </c>
      <c r="E34">
        <v>14830.998</v>
      </c>
      <c r="F34" s="76">
        <v>266957.96399999998</v>
      </c>
      <c r="G34" s="76"/>
      <c r="H34">
        <v>2025</v>
      </c>
      <c r="I34" t="s">
        <v>2395</v>
      </c>
      <c r="J34" t="s">
        <v>2453</v>
      </c>
      <c r="K34" t="s">
        <v>1655</v>
      </c>
      <c r="L34" t="s">
        <v>2496</v>
      </c>
      <c r="M34" t="s">
        <v>2496</v>
      </c>
      <c r="N34" s="76">
        <v>1921374</v>
      </c>
    </row>
    <row r="35" spans="1:14" x14ac:dyDescent="0.35">
      <c r="A35" t="s">
        <v>657</v>
      </c>
      <c r="F35" s="76">
        <v>10583200.107109834</v>
      </c>
      <c r="G35" s="76"/>
      <c r="H35">
        <v>2026</v>
      </c>
      <c r="I35" t="s">
        <v>1749</v>
      </c>
      <c r="J35" t="s">
        <v>2469</v>
      </c>
      <c r="K35" t="s">
        <v>1442</v>
      </c>
      <c r="L35" t="s">
        <v>1126</v>
      </c>
      <c r="M35" t="s">
        <v>2</v>
      </c>
      <c r="N35" s="76">
        <v>250222.63500000001</v>
      </c>
    </row>
    <row r="36" spans="1:14" x14ac:dyDescent="0.35">
      <c r="G36" s="76"/>
      <c r="H36">
        <v>2026</v>
      </c>
      <c r="I36" t="s">
        <v>1752</v>
      </c>
      <c r="J36" t="s">
        <v>2490</v>
      </c>
      <c r="K36" t="s">
        <v>129</v>
      </c>
      <c r="L36" t="s">
        <v>1</v>
      </c>
      <c r="M36" t="s">
        <v>1</v>
      </c>
      <c r="N36" s="76">
        <v>324000</v>
      </c>
    </row>
    <row r="37" spans="1:14" x14ac:dyDescent="0.35">
      <c r="G37" s="76"/>
      <c r="H37">
        <v>2026</v>
      </c>
      <c r="I37" t="s">
        <v>1764</v>
      </c>
      <c r="J37" t="s">
        <v>2473</v>
      </c>
      <c r="K37" t="s">
        <v>1642</v>
      </c>
      <c r="L37" t="s">
        <v>14</v>
      </c>
      <c r="M37" t="s">
        <v>50</v>
      </c>
      <c r="N37" s="76">
        <v>178329.60000000001</v>
      </c>
    </row>
    <row r="38" spans="1:14" x14ac:dyDescent="0.35">
      <c r="G38" s="76"/>
      <c r="H38">
        <v>2026</v>
      </c>
      <c r="I38" t="s">
        <v>1779</v>
      </c>
      <c r="J38" t="s">
        <v>2324</v>
      </c>
      <c r="K38" t="s">
        <v>1490</v>
      </c>
      <c r="L38" t="s">
        <v>1126</v>
      </c>
      <c r="M38" t="s">
        <v>2</v>
      </c>
      <c r="N38" s="76">
        <v>227193.90639750002</v>
      </c>
    </row>
    <row r="39" spans="1:14" x14ac:dyDescent="0.35">
      <c r="G39" s="76"/>
      <c r="H39">
        <v>2026</v>
      </c>
      <c r="I39" t="s">
        <v>1780</v>
      </c>
      <c r="J39" t="s">
        <v>2462</v>
      </c>
      <c r="K39" t="s">
        <v>2261</v>
      </c>
      <c r="L39" t="s">
        <v>1127</v>
      </c>
      <c r="M39" t="s">
        <v>5</v>
      </c>
      <c r="N39" s="76">
        <v>752964</v>
      </c>
    </row>
    <row r="40" spans="1:14" x14ac:dyDescent="0.35">
      <c r="G40" s="76"/>
      <c r="H40">
        <v>2027</v>
      </c>
      <c r="I40" t="s">
        <v>1753</v>
      </c>
      <c r="J40" t="s">
        <v>1874</v>
      </c>
      <c r="K40" t="s">
        <v>1490</v>
      </c>
      <c r="L40" t="s">
        <v>1126</v>
      </c>
      <c r="M40" t="s">
        <v>2</v>
      </c>
      <c r="N40" s="76">
        <v>135224.72292000003</v>
      </c>
    </row>
    <row r="41" spans="1:14" x14ac:dyDescent="0.35">
      <c r="G41" s="76"/>
      <c r="H41">
        <v>2027</v>
      </c>
      <c r="I41" t="s">
        <v>1765</v>
      </c>
      <c r="J41" t="s">
        <v>1575</v>
      </c>
      <c r="K41" t="s">
        <v>2258</v>
      </c>
      <c r="L41" t="s">
        <v>1128</v>
      </c>
      <c r="M41" t="s">
        <v>1125</v>
      </c>
      <c r="N41" s="76">
        <v>379486.40735250001</v>
      </c>
    </row>
    <row r="42" spans="1:14" x14ac:dyDescent="0.35">
      <c r="G42" s="76"/>
      <c r="H42">
        <v>2027</v>
      </c>
      <c r="I42" t="s">
        <v>1784</v>
      </c>
      <c r="J42" t="s">
        <v>2069</v>
      </c>
      <c r="K42" t="s">
        <v>114</v>
      </c>
      <c r="L42" t="s">
        <v>2496</v>
      </c>
      <c r="M42" t="s">
        <v>2496</v>
      </c>
      <c r="N42" s="76">
        <v>504033.07237499999</v>
      </c>
    </row>
    <row r="43" spans="1:14" x14ac:dyDescent="0.35">
      <c r="H43">
        <v>2027</v>
      </c>
      <c r="I43" t="s">
        <v>1830</v>
      </c>
      <c r="J43" t="s">
        <v>2499</v>
      </c>
      <c r="K43" t="s">
        <v>1225</v>
      </c>
      <c r="L43" t="s">
        <v>7</v>
      </c>
      <c r="M43" t="s">
        <v>6</v>
      </c>
      <c r="N43" s="76">
        <v>105000</v>
      </c>
    </row>
    <row r="44" spans="1:14" x14ac:dyDescent="0.35">
      <c r="H44">
        <v>2027</v>
      </c>
      <c r="I44" t="s">
        <v>1976</v>
      </c>
      <c r="J44" t="s">
        <v>2139</v>
      </c>
      <c r="K44" t="s">
        <v>338</v>
      </c>
      <c r="L44" t="s">
        <v>42</v>
      </c>
      <c r="M44" t="s">
        <v>18</v>
      </c>
      <c r="N44" s="76">
        <v>431964</v>
      </c>
    </row>
    <row r="45" spans="1:14" x14ac:dyDescent="0.35">
      <c r="H45" t="s">
        <v>657</v>
      </c>
      <c r="N45" s="76">
        <v>14080569.248464437</v>
      </c>
    </row>
  </sheetData>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1DA10-73CB-4661-969F-92B6F59EA0B5}">
  <sheetPr codeName="Sheet3"/>
  <dimension ref="A2:D31"/>
  <sheetViews>
    <sheetView workbookViewId="0">
      <selection activeCell="B17" sqref="B17"/>
    </sheetView>
  </sheetViews>
  <sheetFormatPr defaultRowHeight="14.5" x14ac:dyDescent="0.35"/>
  <sheetData>
    <row r="2" spans="1:4" x14ac:dyDescent="0.35">
      <c r="A2" t="s">
        <v>1407</v>
      </c>
      <c r="B2" t="s">
        <v>1941</v>
      </c>
    </row>
    <row r="3" spans="1:4" x14ac:dyDescent="0.35">
      <c r="A3" s="87">
        <v>1995</v>
      </c>
      <c r="B3" s="76">
        <v>3604876.0319999997</v>
      </c>
      <c r="D3" s="76"/>
    </row>
    <row r="4" spans="1:4" x14ac:dyDescent="0.35">
      <c r="A4" s="87">
        <f t="shared" ref="A4:A29" si="0">+A3+1</f>
        <v>1996</v>
      </c>
      <c r="B4" s="76">
        <v>1090488.99</v>
      </c>
      <c r="D4" s="76"/>
    </row>
    <row r="5" spans="1:4" x14ac:dyDescent="0.35">
      <c r="A5" s="87">
        <f t="shared" si="0"/>
        <v>1997</v>
      </c>
      <c r="B5" s="76">
        <v>2775705</v>
      </c>
      <c r="D5" s="76"/>
    </row>
    <row r="6" spans="1:4" x14ac:dyDescent="0.35">
      <c r="A6" s="87">
        <f t="shared" si="0"/>
        <v>1998</v>
      </c>
      <c r="B6" s="76">
        <v>5811274.5</v>
      </c>
      <c r="D6" s="76"/>
    </row>
    <row r="7" spans="1:4" x14ac:dyDescent="0.35">
      <c r="A7" s="87">
        <f t="shared" si="0"/>
        <v>1999</v>
      </c>
      <c r="B7" s="76">
        <v>5578459</v>
      </c>
      <c r="D7" s="76"/>
    </row>
    <row r="8" spans="1:4" x14ac:dyDescent="0.35">
      <c r="A8" s="87">
        <f t="shared" si="0"/>
        <v>2000</v>
      </c>
      <c r="B8" s="76">
        <v>464258</v>
      </c>
      <c r="D8" s="76"/>
    </row>
    <row r="9" spans="1:4" x14ac:dyDescent="0.35">
      <c r="A9" s="87">
        <f t="shared" si="0"/>
        <v>2001</v>
      </c>
      <c r="B9" s="76">
        <v>696552</v>
      </c>
      <c r="D9" s="76"/>
    </row>
    <row r="10" spans="1:4" x14ac:dyDescent="0.35">
      <c r="A10" s="87">
        <f t="shared" si="0"/>
        <v>2002</v>
      </c>
      <c r="B10" s="76">
        <v>554000</v>
      </c>
      <c r="D10" s="76"/>
    </row>
    <row r="11" spans="1:4" x14ac:dyDescent="0.35">
      <c r="A11" s="87">
        <f t="shared" si="0"/>
        <v>2003</v>
      </c>
      <c r="B11" s="76">
        <v>1831069</v>
      </c>
      <c r="D11" s="76"/>
    </row>
    <row r="12" spans="1:4" x14ac:dyDescent="0.35">
      <c r="A12" s="87">
        <f t="shared" si="0"/>
        <v>2004</v>
      </c>
      <c r="B12" s="76">
        <v>2938244.6490000002</v>
      </c>
      <c r="D12" s="76"/>
    </row>
    <row r="13" spans="1:4" x14ac:dyDescent="0.35">
      <c r="A13" s="87">
        <f t="shared" si="0"/>
        <v>2005</v>
      </c>
      <c r="B13" s="76">
        <v>462103.9</v>
      </c>
      <c r="D13" s="76"/>
    </row>
    <row r="14" spans="1:4" x14ac:dyDescent="0.35">
      <c r="A14" s="87">
        <f t="shared" si="0"/>
        <v>2006</v>
      </c>
      <c r="B14" s="76">
        <v>1021107.2</v>
      </c>
      <c r="D14" s="76"/>
    </row>
    <row r="15" spans="1:4" x14ac:dyDescent="0.35">
      <c r="A15" s="87">
        <f t="shared" si="0"/>
        <v>2007</v>
      </c>
      <c r="B15" s="76">
        <v>1965830.2800000003</v>
      </c>
      <c r="D15" s="76"/>
    </row>
    <row r="16" spans="1:4" x14ac:dyDescent="0.35">
      <c r="A16" s="87">
        <f t="shared" si="0"/>
        <v>2008</v>
      </c>
      <c r="B16" s="76">
        <v>4380168.6800000006</v>
      </c>
      <c r="D16" s="76"/>
    </row>
    <row r="17" spans="1:4" x14ac:dyDescent="0.35">
      <c r="A17" s="87">
        <f t="shared" si="0"/>
        <v>2009</v>
      </c>
      <c r="B17" s="76">
        <v>1862251.8199999996</v>
      </c>
      <c r="D17" s="76"/>
    </row>
    <row r="18" spans="1:4" x14ac:dyDescent="0.35">
      <c r="A18" s="87">
        <f t="shared" si="0"/>
        <v>2010</v>
      </c>
      <c r="B18" s="76">
        <v>1132469.29</v>
      </c>
      <c r="D18" s="76"/>
    </row>
    <row r="19" spans="1:4" x14ac:dyDescent="0.35">
      <c r="A19" s="87">
        <f t="shared" si="0"/>
        <v>2011</v>
      </c>
      <c r="B19" s="76">
        <v>1611564.4421999999</v>
      </c>
      <c r="D19" s="76"/>
    </row>
    <row r="20" spans="1:4" x14ac:dyDescent="0.35">
      <c r="A20" s="87">
        <f t="shared" si="0"/>
        <v>2012</v>
      </c>
      <c r="B20" s="76">
        <v>1341547.9404</v>
      </c>
      <c r="D20" s="76"/>
    </row>
    <row r="21" spans="1:4" x14ac:dyDescent="0.35">
      <c r="A21" s="87">
        <f t="shared" si="0"/>
        <v>2013</v>
      </c>
      <c r="B21" s="76">
        <v>1095658.06</v>
      </c>
      <c r="D21" s="76"/>
    </row>
    <row r="22" spans="1:4" x14ac:dyDescent="0.35">
      <c r="A22" s="87">
        <f t="shared" si="0"/>
        <v>2014</v>
      </c>
      <c r="B22" s="76">
        <v>638788.67680000002</v>
      </c>
      <c r="D22" s="76"/>
    </row>
    <row r="23" spans="1:4" x14ac:dyDescent="0.35">
      <c r="A23" s="87">
        <f t="shared" si="0"/>
        <v>2015</v>
      </c>
      <c r="B23" s="76">
        <v>1961721.9379999998</v>
      </c>
      <c r="D23" s="76"/>
    </row>
    <row r="24" spans="1:4" x14ac:dyDescent="0.35">
      <c r="A24" s="87">
        <f t="shared" si="0"/>
        <v>2016</v>
      </c>
      <c r="B24" s="76">
        <v>1430408.9500000002</v>
      </c>
      <c r="D24" s="76"/>
    </row>
    <row r="25" spans="1:4" x14ac:dyDescent="0.35">
      <c r="A25" s="87">
        <f t="shared" si="0"/>
        <v>2017</v>
      </c>
      <c r="B25" s="76">
        <v>2234267.85</v>
      </c>
      <c r="D25" s="76"/>
    </row>
    <row r="26" spans="1:4" x14ac:dyDescent="0.35">
      <c r="A26" s="87">
        <f t="shared" si="0"/>
        <v>2018</v>
      </c>
      <c r="B26" s="76">
        <v>2014275.21</v>
      </c>
      <c r="D26" s="76"/>
    </row>
    <row r="27" spans="1:4" x14ac:dyDescent="0.35">
      <c r="A27" s="87">
        <f t="shared" si="0"/>
        <v>2019</v>
      </c>
      <c r="B27" s="76">
        <v>2062131.6099999999</v>
      </c>
      <c r="D27" s="76"/>
    </row>
    <row r="28" spans="1:4" x14ac:dyDescent="0.35">
      <c r="A28" s="87">
        <f t="shared" si="0"/>
        <v>2020</v>
      </c>
      <c r="B28" s="76">
        <v>298246.49999999994</v>
      </c>
      <c r="D28" s="76"/>
    </row>
    <row r="29" spans="1:4" x14ac:dyDescent="0.35">
      <c r="A29" s="87">
        <f t="shared" si="0"/>
        <v>2021</v>
      </c>
      <c r="B29" s="76">
        <v>576231.75</v>
      </c>
      <c r="D29" s="76"/>
    </row>
    <row r="30" spans="1:4" x14ac:dyDescent="0.35">
      <c r="A30" s="89">
        <v>2022</v>
      </c>
      <c r="B30" s="76">
        <v>4127801.4131235001</v>
      </c>
      <c r="D30" s="76"/>
    </row>
    <row r="31" spans="1:4" x14ac:dyDescent="0.35">
      <c r="A31" s="89">
        <v>2023</v>
      </c>
      <c r="B31" s="76">
        <v>1340977.6727807161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R102"/>
  <sheetViews>
    <sheetView zoomScale="85" zoomScaleNormal="85" workbookViewId="0">
      <pane xSplit="2" ySplit="1" topLeftCell="C39" activePane="bottomRight" state="frozen"/>
      <selection activeCell="J53" sqref="J53"/>
      <selection pane="topRight" activeCell="J53" sqref="J53"/>
      <selection pane="bottomLeft" activeCell="J53" sqref="J53"/>
      <selection pane="bottomRight" activeCell="H135" sqref="H135"/>
    </sheetView>
  </sheetViews>
  <sheetFormatPr defaultColWidth="9.453125" defaultRowHeight="14.5" outlineLevelCol="1" x14ac:dyDescent="0.35"/>
  <cols>
    <col min="1" max="1" width="22.453125" style="6" hidden="1" customWidth="1" outlineLevel="1"/>
    <col min="2" max="2" width="74.54296875" style="2" customWidth="1" collapsed="1"/>
    <col min="3" max="3" width="14" style="2" customWidth="1" outlineLevel="1"/>
    <col min="4" max="4" width="22.54296875" style="2" customWidth="1" outlineLevel="1"/>
    <col min="5" max="5" width="27.453125" style="2" customWidth="1" outlineLevel="1"/>
    <col min="6" max="6" width="18.453125" style="2" customWidth="1" outlineLevel="1"/>
    <col min="7" max="7" width="16.54296875" style="2" customWidth="1" outlineLevel="1"/>
    <col min="8" max="9" width="17.54296875" style="2" customWidth="1" outlineLevel="1"/>
    <col min="10" max="10" width="16.453125" style="2" bestFit="1" customWidth="1"/>
    <col min="11" max="11" width="23.54296875" style="2" bestFit="1" customWidth="1"/>
    <col min="12" max="12" width="8.54296875" style="17" customWidth="1"/>
    <col min="13" max="13" width="6.453125" style="2" customWidth="1" outlineLevel="1"/>
    <col min="14" max="14" width="12.453125" style="2" customWidth="1" outlineLevel="1"/>
    <col min="15" max="15" width="11.54296875" style="2" customWidth="1"/>
    <col min="16" max="16" width="10.54296875" style="2" bestFit="1" customWidth="1"/>
    <col min="17" max="17" width="10" style="2" bestFit="1" customWidth="1"/>
    <col min="18" max="18" width="11.453125" style="2" customWidth="1"/>
    <col min="19" max="19" width="11.54296875" style="3" customWidth="1" outlineLevel="1"/>
    <col min="20" max="20" width="9.453125" style="2" customWidth="1"/>
    <col min="21" max="21" width="11.453125" style="3" customWidth="1" outlineLevel="1"/>
    <col min="22" max="22" width="11.453125" style="3" bestFit="1" customWidth="1"/>
    <col min="23" max="23" width="26.54296875" style="3" customWidth="1" outlineLevel="1"/>
    <col min="24" max="24" width="27" style="3" customWidth="1"/>
    <col min="25" max="26" width="12.54296875" style="3" customWidth="1"/>
    <col min="27" max="27" width="23.54296875" style="2" customWidth="1"/>
    <col min="28" max="28" width="16" style="2" bestFit="1" customWidth="1"/>
    <col min="29" max="29" width="28" style="2" customWidth="1"/>
    <col min="30" max="30" width="17.453125" style="5" bestFit="1" customWidth="1"/>
    <col min="31" max="31" width="15" style="5" bestFit="1" customWidth="1"/>
    <col min="32" max="32" width="16.453125" style="2" customWidth="1"/>
    <col min="33" max="33" width="31.453125" style="2" customWidth="1"/>
    <col min="34" max="34" width="16.453125" style="2" customWidth="1"/>
    <col min="35" max="35" width="25.453125" style="2" bestFit="1" customWidth="1"/>
    <col min="36" max="36" width="14.453125" style="2" bestFit="1" customWidth="1"/>
    <col min="37" max="41" width="14.453125" style="2" hidden="1" customWidth="1" outlineLevel="1"/>
    <col min="42" max="42" width="14.453125" style="2" customWidth="1" collapsed="1"/>
    <col min="43" max="43" width="145.453125" style="2" customWidth="1"/>
    <col min="44" max="16384" width="9.453125" style="2"/>
  </cols>
  <sheetData>
    <row r="1" spans="1:44" s="25" customFormat="1" x14ac:dyDescent="0.35">
      <c r="A1" s="18" t="s">
        <v>27</v>
      </c>
      <c r="B1" s="18" t="s">
        <v>28</v>
      </c>
      <c r="C1" s="18" t="s">
        <v>33</v>
      </c>
      <c r="D1" s="18" t="s">
        <v>34</v>
      </c>
      <c r="E1" s="18" t="s">
        <v>35</v>
      </c>
      <c r="F1" s="18" t="s">
        <v>36</v>
      </c>
      <c r="G1" s="18" t="s">
        <v>37</v>
      </c>
      <c r="H1" s="18" t="s">
        <v>38</v>
      </c>
      <c r="I1" s="18" t="s">
        <v>799</v>
      </c>
      <c r="J1" s="18" t="s">
        <v>39</v>
      </c>
      <c r="K1" s="18" t="s">
        <v>0</v>
      </c>
      <c r="L1" s="18" t="s">
        <v>23</v>
      </c>
      <c r="M1" s="18" t="s">
        <v>24</v>
      </c>
      <c r="N1" s="18" t="s">
        <v>26</v>
      </c>
      <c r="O1" s="18" t="s">
        <v>19</v>
      </c>
      <c r="P1" s="18" t="s">
        <v>78</v>
      </c>
      <c r="Q1" s="18" t="s">
        <v>60</v>
      </c>
      <c r="R1" s="18" t="s">
        <v>61</v>
      </c>
      <c r="S1" s="18" t="s">
        <v>66</v>
      </c>
      <c r="T1" s="18" t="s">
        <v>70</v>
      </c>
      <c r="U1" s="18" t="s">
        <v>67</v>
      </c>
      <c r="V1" s="18" t="s">
        <v>68</v>
      </c>
      <c r="W1" s="18" t="s">
        <v>65</v>
      </c>
      <c r="X1" s="18" t="s">
        <v>69</v>
      </c>
      <c r="Y1" s="18" t="s">
        <v>693</v>
      </c>
      <c r="Z1" s="18" t="s">
        <v>691</v>
      </c>
      <c r="AA1" s="18" t="s">
        <v>62</v>
      </c>
      <c r="AB1" s="18" t="s">
        <v>63</v>
      </c>
      <c r="AC1" s="18" t="s">
        <v>75</v>
      </c>
      <c r="AD1" s="18" t="s">
        <v>76</v>
      </c>
      <c r="AE1" s="18" t="s">
        <v>77</v>
      </c>
      <c r="AF1" s="18" t="s">
        <v>64</v>
      </c>
      <c r="AG1" s="18" t="s">
        <v>71</v>
      </c>
      <c r="AH1" s="18" t="s">
        <v>72</v>
      </c>
      <c r="AI1" s="18" t="s">
        <v>703</v>
      </c>
      <c r="AJ1" s="18" t="s">
        <v>80</v>
      </c>
      <c r="AK1" s="18" t="s">
        <v>694</v>
      </c>
      <c r="AL1" s="18" t="s">
        <v>695</v>
      </c>
      <c r="AM1" s="18" t="s">
        <v>696</v>
      </c>
      <c r="AN1" s="18" t="s">
        <v>697</v>
      </c>
      <c r="AO1" s="18" t="s">
        <v>698</v>
      </c>
      <c r="AP1" s="18" t="s">
        <v>699</v>
      </c>
      <c r="AQ1" s="18" t="s">
        <v>79</v>
      </c>
      <c r="AR1" s="18" t="s">
        <v>806</v>
      </c>
    </row>
    <row r="2" spans="1:44" ht="15" customHeight="1" x14ac:dyDescent="0.35">
      <c r="A2" s="8" t="s">
        <v>583</v>
      </c>
      <c r="B2" s="8" t="s">
        <v>584</v>
      </c>
      <c r="C2" s="8" t="s">
        <v>585</v>
      </c>
      <c r="D2" s="8" t="s">
        <v>556</v>
      </c>
      <c r="E2" s="8" t="str">
        <f t="shared" ref="E2:E33" si="0">CONCATENATE(D2,", ",C2)</f>
        <v>Wellington Street, 72-74</v>
      </c>
      <c r="F2" s="8"/>
      <c r="G2" s="8" t="s">
        <v>1</v>
      </c>
      <c r="H2" s="8" t="s">
        <v>43</v>
      </c>
      <c r="I2" s="8" t="str">
        <f>VLOOKUP(K2,Reference!$A$2:$B$27,2,FALSE)</f>
        <v>Central</v>
      </c>
      <c r="J2" s="8" t="s">
        <v>40</v>
      </c>
      <c r="K2" s="8" t="s">
        <v>1</v>
      </c>
      <c r="L2" s="15">
        <v>2011</v>
      </c>
      <c r="M2" s="8">
        <v>1</v>
      </c>
      <c r="N2" s="8" t="str">
        <f t="shared" ref="N2:N33" si="1">IF(ISNUMBER(M2),CONCATENATE(L2," Q",M2),CONCATENATE(L2,M2))</f>
        <v>2011 Q1</v>
      </c>
      <c r="O2" s="8" t="s">
        <v>21</v>
      </c>
      <c r="P2" s="8" t="s">
        <v>86</v>
      </c>
      <c r="Q2" s="8">
        <v>1</v>
      </c>
      <c r="R2" s="8">
        <v>25</v>
      </c>
      <c r="S2" s="14">
        <f>V2/R2</f>
        <v>960.66547199999991</v>
      </c>
      <c r="T2" s="8" t="str">
        <f t="shared" ref="T2:T33" si="2">IF(S2&gt;=10000,"Yes",IF(S2="","Unknown","No"))</f>
        <v>No</v>
      </c>
      <c r="U2" s="11">
        <v>2231.1999999999998</v>
      </c>
      <c r="V2" s="11">
        <f>U2*10.764</f>
        <v>24016.636799999997</v>
      </c>
      <c r="W2" s="11">
        <f>X2/10.764</f>
        <v>1673.3999999999999</v>
      </c>
      <c r="X2" s="11">
        <f>+V2*0.75</f>
        <v>18012.477599999998</v>
      </c>
      <c r="Y2" s="11"/>
      <c r="Z2" s="11">
        <f t="shared" ref="Z2:Z33" si="3">IF(ISBLANK(X2),"",X2-Y2)</f>
        <v>18012.477599999998</v>
      </c>
      <c r="AA2" s="8" t="s">
        <v>89</v>
      </c>
      <c r="AB2" s="8" t="s">
        <v>138</v>
      </c>
      <c r="AC2" s="8" t="s">
        <v>92</v>
      </c>
      <c r="AD2" s="10">
        <v>39873</v>
      </c>
      <c r="AE2" s="10">
        <v>40123</v>
      </c>
      <c r="AF2" s="8" t="s">
        <v>30</v>
      </c>
      <c r="AG2" s="8" t="s">
        <v>586</v>
      </c>
      <c r="AH2" s="8" t="s">
        <v>73</v>
      </c>
      <c r="AI2" s="8"/>
      <c r="AJ2" s="8"/>
      <c r="AK2" s="8"/>
      <c r="AL2" s="8"/>
      <c r="AM2" s="8"/>
      <c r="AN2" s="8"/>
      <c r="AO2" s="8"/>
      <c r="AP2" s="8"/>
      <c r="AQ2" s="8" t="s">
        <v>667</v>
      </c>
    </row>
    <row r="3" spans="1:44" ht="15" customHeight="1" x14ac:dyDescent="0.35">
      <c r="A3" s="8"/>
      <c r="B3" s="8" t="s">
        <v>575</v>
      </c>
      <c r="C3" s="8" t="s">
        <v>576</v>
      </c>
      <c r="D3" s="8" t="s">
        <v>577</v>
      </c>
      <c r="E3" s="8" t="str">
        <f t="shared" si="0"/>
        <v>Wellington Street &amp; 152 Queen's Road Central, 103-107</v>
      </c>
      <c r="F3" s="8"/>
      <c r="G3" s="8" t="s">
        <v>1</v>
      </c>
      <c r="H3" s="8" t="s">
        <v>43</v>
      </c>
      <c r="I3" s="8" t="str">
        <f>VLOOKUP(K3,Reference!$A$2:$B$27,2,FALSE)</f>
        <v>Central</v>
      </c>
      <c r="J3" s="8" t="s">
        <v>40</v>
      </c>
      <c r="K3" s="8" t="s">
        <v>1</v>
      </c>
      <c r="L3" s="15">
        <v>2011</v>
      </c>
      <c r="M3" s="8">
        <v>1</v>
      </c>
      <c r="N3" s="8" t="str">
        <f t="shared" si="1"/>
        <v>2011 Q1</v>
      </c>
      <c r="O3" s="8" t="s">
        <v>21</v>
      </c>
      <c r="P3" s="8" t="s">
        <v>83</v>
      </c>
      <c r="Q3" s="8">
        <v>1</v>
      </c>
      <c r="R3" s="8">
        <v>26</v>
      </c>
      <c r="S3" s="14">
        <f>V3/R3</f>
        <v>998.2367999999999</v>
      </c>
      <c r="T3" s="8" t="str">
        <f t="shared" si="2"/>
        <v>No</v>
      </c>
      <c r="U3" s="11">
        <v>2411.1999999999998</v>
      </c>
      <c r="V3" s="11">
        <f>U3*10.764</f>
        <v>25954.156799999997</v>
      </c>
      <c r="W3" s="11">
        <f>X3/10.764</f>
        <v>1808.3999999999999</v>
      </c>
      <c r="X3" s="11">
        <f>V3*0.75</f>
        <v>19465.617599999998</v>
      </c>
      <c r="Y3" s="11"/>
      <c r="Z3" s="11">
        <f t="shared" si="3"/>
        <v>19465.617599999998</v>
      </c>
      <c r="AA3" s="8" t="s">
        <v>89</v>
      </c>
      <c r="AB3" s="8" t="s">
        <v>138</v>
      </c>
      <c r="AC3" s="8" t="s">
        <v>92</v>
      </c>
      <c r="AD3" s="10">
        <v>39845</v>
      </c>
      <c r="AE3" s="10">
        <v>40123</v>
      </c>
      <c r="AF3" s="8" t="s">
        <v>30</v>
      </c>
      <c r="AG3" s="8" t="s">
        <v>578</v>
      </c>
      <c r="AH3" s="8" t="s">
        <v>73</v>
      </c>
      <c r="AI3" s="8"/>
      <c r="AJ3" s="8"/>
      <c r="AK3" s="8"/>
      <c r="AL3" s="8"/>
      <c r="AM3" s="8"/>
      <c r="AN3" s="8"/>
      <c r="AO3" s="8"/>
      <c r="AP3" s="8"/>
      <c r="AQ3" s="8" t="s">
        <v>669</v>
      </c>
    </row>
    <row r="4" spans="1:44" ht="14.9" customHeight="1" x14ac:dyDescent="0.35">
      <c r="A4" s="8"/>
      <c r="B4" s="8" t="s">
        <v>532</v>
      </c>
      <c r="C4" s="8" t="s">
        <v>533</v>
      </c>
      <c r="D4" s="8" t="s">
        <v>534</v>
      </c>
      <c r="E4" s="8" t="str">
        <f t="shared" si="0"/>
        <v>Hoi Ping Road, 1-3</v>
      </c>
      <c r="F4" s="8"/>
      <c r="G4" s="8" t="s">
        <v>5</v>
      </c>
      <c r="H4" s="8" t="s">
        <v>4</v>
      </c>
      <c r="I4" s="8" t="str">
        <f>VLOOKUP(K4,Reference!$A$2:$B$27,2,FALSE)</f>
        <v>Wan Chai &amp; Causeway Bay</v>
      </c>
      <c r="J4" s="8" t="s">
        <v>40</v>
      </c>
      <c r="K4" s="8" t="s">
        <v>5</v>
      </c>
      <c r="L4" s="15">
        <v>2010</v>
      </c>
      <c r="M4" s="8">
        <v>4</v>
      </c>
      <c r="N4" s="8" t="str">
        <f t="shared" si="1"/>
        <v>2010 Q4</v>
      </c>
      <c r="O4" s="8" t="s">
        <v>198</v>
      </c>
      <c r="P4" s="8" t="s">
        <v>84</v>
      </c>
      <c r="Q4" s="8">
        <v>1</v>
      </c>
      <c r="R4" s="8">
        <v>25</v>
      </c>
      <c r="S4" s="14">
        <f>V4/R4</f>
        <v>2427.0667199999998</v>
      </c>
      <c r="T4" s="8" t="str">
        <f t="shared" si="2"/>
        <v>No</v>
      </c>
      <c r="U4" s="11">
        <v>5637</v>
      </c>
      <c r="V4" s="11">
        <f>U4*10.764</f>
        <v>60676.667999999998</v>
      </c>
      <c r="W4" s="11">
        <v>3271.9</v>
      </c>
      <c r="X4" s="11">
        <f>W4*10.764</f>
        <v>35218.731599999999</v>
      </c>
      <c r="Y4" s="11"/>
      <c r="Z4" s="11">
        <f t="shared" si="3"/>
        <v>35218.731599999999</v>
      </c>
      <c r="AA4" s="8" t="s">
        <v>89</v>
      </c>
      <c r="AB4" s="8" t="s">
        <v>103</v>
      </c>
      <c r="AC4" s="8" t="s">
        <v>92</v>
      </c>
      <c r="AD4" s="10">
        <v>40452</v>
      </c>
      <c r="AE4" s="10">
        <v>40674</v>
      </c>
      <c r="AF4" s="8" t="s">
        <v>30</v>
      </c>
      <c r="AG4" s="8" t="s">
        <v>535</v>
      </c>
      <c r="AH4" s="8" t="s">
        <v>73</v>
      </c>
      <c r="AI4" s="8"/>
      <c r="AJ4" s="8"/>
      <c r="AK4" s="8"/>
      <c r="AL4" s="8"/>
      <c r="AM4" s="8"/>
      <c r="AN4" s="8"/>
      <c r="AO4" s="8"/>
      <c r="AP4" s="8"/>
      <c r="AQ4" s="8" t="s">
        <v>536</v>
      </c>
    </row>
    <row r="5" spans="1:44" ht="14.9" customHeight="1" x14ac:dyDescent="0.35">
      <c r="A5" s="8"/>
      <c r="B5" s="8" t="s">
        <v>543</v>
      </c>
      <c r="C5" s="8" t="s">
        <v>185</v>
      </c>
      <c r="D5" s="8" t="s">
        <v>544</v>
      </c>
      <c r="E5" s="8" t="str">
        <f t="shared" si="0"/>
        <v>Yiu Wa Street, 38</v>
      </c>
      <c r="F5" s="8"/>
      <c r="G5" s="8" t="s">
        <v>5</v>
      </c>
      <c r="H5" s="8" t="s">
        <v>4</v>
      </c>
      <c r="I5" s="8" t="str">
        <f>VLOOKUP(K5,Reference!$A$2:$B$27,2,FALSE)</f>
        <v>Wan Chai &amp; Causeway Bay</v>
      </c>
      <c r="J5" s="8" t="s">
        <v>40</v>
      </c>
      <c r="K5" s="8" t="s">
        <v>5</v>
      </c>
      <c r="L5" s="15">
        <v>2011</v>
      </c>
      <c r="M5" s="8">
        <v>1</v>
      </c>
      <c r="N5" s="8" t="str">
        <f t="shared" si="1"/>
        <v>2011 Q1</v>
      </c>
      <c r="O5" s="8" t="s">
        <v>21</v>
      </c>
      <c r="P5" s="8" t="s">
        <v>84</v>
      </c>
      <c r="Q5" s="8">
        <v>1</v>
      </c>
      <c r="R5" s="8">
        <v>28</v>
      </c>
      <c r="S5" s="14">
        <f>V5/R5</f>
        <v>2137.6150714285714</v>
      </c>
      <c r="T5" s="8" t="str">
        <f t="shared" si="2"/>
        <v>No</v>
      </c>
      <c r="U5" s="11">
        <v>5560.5</v>
      </c>
      <c r="V5" s="11">
        <f>+U5*10.764</f>
        <v>59853.221999999994</v>
      </c>
      <c r="W5" s="11">
        <v>2956.2</v>
      </c>
      <c r="X5" s="11">
        <f>+W5*10.764</f>
        <v>31820.536799999994</v>
      </c>
      <c r="Y5" s="11"/>
      <c r="Z5" s="11">
        <f t="shared" si="3"/>
        <v>31820.536799999994</v>
      </c>
      <c r="AA5" s="8" t="s">
        <v>89</v>
      </c>
      <c r="AB5" s="8" t="s">
        <v>103</v>
      </c>
      <c r="AC5" s="8" t="s">
        <v>92</v>
      </c>
      <c r="AD5" s="10">
        <v>40575</v>
      </c>
      <c r="AE5" s="10">
        <v>40675</v>
      </c>
      <c r="AF5" s="8" t="s">
        <v>30</v>
      </c>
      <c r="AG5" s="8" t="s">
        <v>545</v>
      </c>
      <c r="AH5" s="8" t="s">
        <v>73</v>
      </c>
      <c r="AI5" s="8"/>
      <c r="AJ5" s="8"/>
      <c r="AK5" s="8"/>
      <c r="AL5" s="8"/>
      <c r="AM5" s="8"/>
      <c r="AN5" s="8"/>
      <c r="AO5" s="8"/>
      <c r="AP5" s="8"/>
      <c r="AQ5" s="8" t="s">
        <v>663</v>
      </c>
    </row>
    <row r="6" spans="1:44" ht="15" customHeight="1" x14ac:dyDescent="0.35">
      <c r="A6" s="8"/>
      <c r="B6" s="8" t="s">
        <v>477</v>
      </c>
      <c r="C6" s="8">
        <v>932</v>
      </c>
      <c r="D6" s="8" t="s">
        <v>478</v>
      </c>
      <c r="E6" s="8" t="str">
        <f t="shared" si="0"/>
        <v>Cheung Sha Wan Road, 932</v>
      </c>
      <c r="F6" s="8"/>
      <c r="G6" s="8" t="s">
        <v>12</v>
      </c>
      <c r="H6" s="8" t="s">
        <v>47</v>
      </c>
      <c r="I6" s="8" t="str">
        <f>VLOOKUP(K6,Reference!$A$2:$B$27,2,FALSE)</f>
        <v>Kowloon Others</v>
      </c>
      <c r="J6" s="8" t="s">
        <v>41</v>
      </c>
      <c r="K6" s="8" t="s">
        <v>12</v>
      </c>
      <c r="L6" s="15">
        <v>2011</v>
      </c>
      <c r="M6" s="8">
        <v>1</v>
      </c>
      <c r="N6" s="8" t="str">
        <f t="shared" si="1"/>
        <v>2011 Q1</v>
      </c>
      <c r="O6" s="8" t="s">
        <v>123</v>
      </c>
      <c r="P6" s="8" t="s">
        <v>86</v>
      </c>
      <c r="Q6" s="8"/>
      <c r="R6" s="8"/>
      <c r="S6" s="14"/>
      <c r="T6" s="8" t="str">
        <f t="shared" si="2"/>
        <v>Unknown</v>
      </c>
      <c r="U6" s="11">
        <v>12591.4</v>
      </c>
      <c r="V6" s="11">
        <f>+U6*10.764</f>
        <v>135533.8296</v>
      </c>
      <c r="W6" s="11">
        <v>10085.799999999999</v>
      </c>
      <c r="X6" s="11">
        <f>+W6*10.764</f>
        <v>108563.55119999999</v>
      </c>
      <c r="Y6" s="11"/>
      <c r="Z6" s="11">
        <f t="shared" si="3"/>
        <v>108563.55119999999</v>
      </c>
      <c r="AA6" s="8" t="s">
        <v>89</v>
      </c>
      <c r="AB6" s="8"/>
      <c r="AC6" s="8" t="s">
        <v>92</v>
      </c>
      <c r="AD6" s="10">
        <v>40544</v>
      </c>
      <c r="AE6" s="10">
        <v>40620</v>
      </c>
      <c r="AF6" s="8"/>
      <c r="AG6" s="8" t="s">
        <v>115</v>
      </c>
      <c r="AH6" s="8"/>
      <c r="AI6" s="8"/>
      <c r="AJ6" s="8"/>
      <c r="AK6" s="8"/>
      <c r="AL6" s="8"/>
      <c r="AM6" s="8"/>
      <c r="AN6" s="8"/>
      <c r="AO6" s="8"/>
      <c r="AP6" s="8"/>
      <c r="AQ6" s="8"/>
    </row>
    <row r="7" spans="1:44" ht="15" customHeight="1" x14ac:dyDescent="0.35">
      <c r="A7" s="8" t="s">
        <v>460</v>
      </c>
      <c r="B7" s="8" t="s">
        <v>461</v>
      </c>
      <c r="C7" s="8">
        <v>77</v>
      </c>
      <c r="D7" s="8" t="s">
        <v>462</v>
      </c>
      <c r="E7" s="8" t="str">
        <f t="shared" si="0"/>
        <v>Wing Hong Street, 77</v>
      </c>
      <c r="F7" s="8"/>
      <c r="G7" s="8" t="s">
        <v>176</v>
      </c>
      <c r="H7" s="8" t="s">
        <v>47</v>
      </c>
      <c r="I7" s="8" t="str">
        <f>VLOOKUP(K7,Reference!$A$2:$B$27,2,FALSE)</f>
        <v>Kowloon Others</v>
      </c>
      <c r="J7" s="8" t="s">
        <v>41</v>
      </c>
      <c r="K7" s="8" t="s">
        <v>12</v>
      </c>
      <c r="L7" s="15">
        <v>2011</v>
      </c>
      <c r="M7" s="8" t="s">
        <v>175</v>
      </c>
      <c r="N7" s="8" t="str">
        <f t="shared" si="1"/>
        <v>2011+</v>
      </c>
      <c r="O7" s="8" t="s">
        <v>459</v>
      </c>
      <c r="P7" s="8" t="s">
        <v>86</v>
      </c>
      <c r="Q7" s="8">
        <v>1</v>
      </c>
      <c r="R7" s="8">
        <v>28</v>
      </c>
      <c r="S7" s="14">
        <f>V7/R7</f>
        <v>16952.262042857143</v>
      </c>
      <c r="T7" s="8" t="str">
        <f t="shared" si="2"/>
        <v>Yes</v>
      </c>
      <c r="U7" s="11">
        <v>44097.3</v>
      </c>
      <c r="V7" s="11">
        <f>U7*10.764</f>
        <v>474663.33720000001</v>
      </c>
      <c r="W7" s="11">
        <f>U7*0.85</f>
        <v>37482.705000000002</v>
      </c>
      <c r="X7" s="11">
        <f>W7*10.764</f>
        <v>403463.83662000002</v>
      </c>
      <c r="Y7" s="11"/>
      <c r="Z7" s="11">
        <f t="shared" si="3"/>
        <v>403463.83662000002</v>
      </c>
      <c r="AA7" s="8" t="s">
        <v>123</v>
      </c>
      <c r="AB7" s="8" t="s">
        <v>90</v>
      </c>
      <c r="AC7" s="8" t="s">
        <v>92</v>
      </c>
      <c r="AD7" s="10">
        <v>39569</v>
      </c>
      <c r="AE7" s="10">
        <v>40059</v>
      </c>
      <c r="AF7" s="8"/>
      <c r="AG7" s="8" t="s">
        <v>114</v>
      </c>
      <c r="AH7" s="8"/>
      <c r="AI7" s="8"/>
      <c r="AJ7" s="8"/>
      <c r="AK7" s="8"/>
      <c r="AL7" s="8"/>
      <c r="AM7" s="8"/>
      <c r="AN7" s="8"/>
      <c r="AO7" s="8"/>
      <c r="AP7" s="8"/>
      <c r="AQ7" s="8" t="s">
        <v>463</v>
      </c>
    </row>
    <row r="8" spans="1:44" ht="15" customHeight="1" x14ac:dyDescent="0.35">
      <c r="A8" s="8"/>
      <c r="B8" s="8" t="s">
        <v>560</v>
      </c>
      <c r="C8" s="8" t="s">
        <v>561</v>
      </c>
      <c r="D8" s="8" t="s">
        <v>562</v>
      </c>
      <c r="E8" s="8" t="str">
        <f t="shared" si="0"/>
        <v>Hau Fook Street, 8</v>
      </c>
      <c r="F8" s="8"/>
      <c r="G8" s="8" t="s">
        <v>8</v>
      </c>
      <c r="H8" s="8" t="s">
        <v>46</v>
      </c>
      <c r="I8" s="8" t="str">
        <f>VLOOKUP(K8,Reference!$A$2:$B$27,2,FALSE)</f>
        <v>Tsim Sha Tsui</v>
      </c>
      <c r="J8" s="8" t="s">
        <v>41</v>
      </c>
      <c r="K8" s="8" t="s">
        <v>8</v>
      </c>
      <c r="L8" s="15">
        <v>2011</v>
      </c>
      <c r="M8" s="8">
        <v>1</v>
      </c>
      <c r="N8" s="8" t="str">
        <f t="shared" si="1"/>
        <v>2011 Q1</v>
      </c>
      <c r="O8" s="8" t="s">
        <v>198</v>
      </c>
      <c r="P8" s="8" t="s">
        <v>84</v>
      </c>
      <c r="Q8" s="8">
        <v>1</v>
      </c>
      <c r="R8" s="8">
        <v>22</v>
      </c>
      <c r="S8" s="14">
        <f>V8/R8</f>
        <v>1830.8096181818182</v>
      </c>
      <c r="T8" s="8" t="str">
        <f t="shared" si="2"/>
        <v>No</v>
      </c>
      <c r="U8" s="11">
        <v>3741.9</v>
      </c>
      <c r="V8" s="11">
        <f>+U8*10.764</f>
        <v>40277.811600000001</v>
      </c>
      <c r="W8" s="11">
        <v>2293.1999999999998</v>
      </c>
      <c r="X8" s="11">
        <f>+W8*10.764</f>
        <v>24684.004799999995</v>
      </c>
      <c r="Y8" s="11"/>
      <c r="Z8" s="11">
        <f t="shared" si="3"/>
        <v>24684.004799999995</v>
      </c>
      <c r="AA8" s="8" t="s">
        <v>89</v>
      </c>
      <c r="AB8" s="8" t="s">
        <v>103</v>
      </c>
      <c r="AC8" s="8" t="s">
        <v>92</v>
      </c>
      <c r="AD8" s="10">
        <v>40544</v>
      </c>
      <c r="AE8" s="10">
        <v>40675</v>
      </c>
      <c r="AF8" s="8" t="s">
        <v>30</v>
      </c>
      <c r="AG8" s="8" t="s">
        <v>563</v>
      </c>
      <c r="AH8" s="8" t="s">
        <v>73</v>
      </c>
      <c r="AI8" s="8" t="s">
        <v>705</v>
      </c>
      <c r="AJ8" s="8"/>
      <c r="AK8" s="8"/>
      <c r="AL8" s="8"/>
      <c r="AM8" s="8"/>
      <c r="AN8" s="8"/>
      <c r="AO8" s="8"/>
      <c r="AP8" s="8"/>
      <c r="AQ8" s="8" t="s">
        <v>564</v>
      </c>
    </row>
    <row r="9" spans="1:44" ht="15" customHeight="1" x14ac:dyDescent="0.35">
      <c r="A9" s="8"/>
      <c r="B9" s="8" t="s">
        <v>593</v>
      </c>
      <c r="C9" s="8" t="s">
        <v>594</v>
      </c>
      <c r="D9" s="8" t="s">
        <v>595</v>
      </c>
      <c r="E9" s="8" t="str">
        <f t="shared" si="0"/>
        <v>Ashley Road, 17-19</v>
      </c>
      <c r="F9" s="8"/>
      <c r="G9" s="8" t="s">
        <v>8</v>
      </c>
      <c r="H9" s="8" t="s">
        <v>46</v>
      </c>
      <c r="I9" s="8" t="str">
        <f>VLOOKUP(K9,Reference!$A$2:$B$27,2,FALSE)</f>
        <v>Tsim Sha Tsui</v>
      </c>
      <c r="J9" s="8" t="s">
        <v>41</v>
      </c>
      <c r="K9" s="8" t="s">
        <v>8</v>
      </c>
      <c r="L9" s="15">
        <v>2011</v>
      </c>
      <c r="M9" s="8">
        <v>2</v>
      </c>
      <c r="N9" s="8" t="str">
        <f t="shared" si="1"/>
        <v>2011 Q2</v>
      </c>
      <c r="O9" s="8" t="s">
        <v>592</v>
      </c>
      <c r="P9" s="8" t="s">
        <v>86</v>
      </c>
      <c r="Q9" s="8">
        <v>1</v>
      </c>
      <c r="R9" s="8">
        <v>21</v>
      </c>
      <c r="S9" s="14">
        <f>V9/R9</f>
        <v>1490.7114857142858</v>
      </c>
      <c r="T9" s="8" t="str">
        <f t="shared" si="2"/>
        <v>No</v>
      </c>
      <c r="U9" s="11">
        <v>2908.3</v>
      </c>
      <c r="V9" s="11">
        <f>U9*10.764</f>
        <v>31304.941200000001</v>
      </c>
      <c r="W9" s="11">
        <v>1626.7</v>
      </c>
      <c r="X9" s="11">
        <f>W9*10.764</f>
        <v>17509.7988</v>
      </c>
      <c r="Y9" s="11"/>
      <c r="Z9" s="11">
        <f t="shared" si="3"/>
        <v>17509.7988</v>
      </c>
      <c r="AA9" s="8" t="s">
        <v>89</v>
      </c>
      <c r="AB9" s="8" t="s">
        <v>90</v>
      </c>
      <c r="AC9" s="8" t="s">
        <v>92</v>
      </c>
      <c r="AD9" s="10">
        <v>40634</v>
      </c>
      <c r="AE9" s="10">
        <v>40694</v>
      </c>
      <c r="AF9" s="8"/>
      <c r="AG9" s="8" t="s">
        <v>596</v>
      </c>
      <c r="AH9" s="8" t="s">
        <v>73</v>
      </c>
      <c r="AI9" s="8"/>
      <c r="AJ9" s="8"/>
      <c r="AK9" s="8"/>
      <c r="AL9" s="8"/>
      <c r="AM9" s="8"/>
      <c r="AN9" s="8"/>
      <c r="AO9" s="8"/>
      <c r="AP9" s="8"/>
      <c r="AQ9" s="8" t="s">
        <v>597</v>
      </c>
    </row>
    <row r="10" spans="1:44" ht="15" customHeight="1" x14ac:dyDescent="0.35">
      <c r="A10" s="8"/>
      <c r="B10" s="8" t="s">
        <v>537</v>
      </c>
      <c r="C10" s="8" t="s">
        <v>538</v>
      </c>
      <c r="D10" s="8" t="s">
        <v>539</v>
      </c>
      <c r="E10" s="8" t="str">
        <f t="shared" si="0"/>
        <v>Austin Avenue, 6, 6A, 8 &amp; 8A</v>
      </c>
      <c r="F10" s="8"/>
      <c r="G10" s="8" t="s">
        <v>8</v>
      </c>
      <c r="H10" s="8" t="s">
        <v>46</v>
      </c>
      <c r="I10" s="8" t="str">
        <f>VLOOKUP(K10,Reference!$A$2:$B$27,2,FALSE)</f>
        <v>Tsim Sha Tsui</v>
      </c>
      <c r="J10" s="8" t="s">
        <v>41</v>
      </c>
      <c r="K10" s="8" t="s">
        <v>8</v>
      </c>
      <c r="L10" s="15">
        <v>2011</v>
      </c>
      <c r="M10" s="8">
        <v>3</v>
      </c>
      <c r="N10" s="8" t="str">
        <f t="shared" si="1"/>
        <v>2011 Q3</v>
      </c>
      <c r="O10" s="8" t="s">
        <v>131</v>
      </c>
      <c r="P10" s="8" t="s">
        <v>86</v>
      </c>
      <c r="Q10" s="8">
        <v>1</v>
      </c>
      <c r="R10" s="8" t="s">
        <v>540</v>
      </c>
      <c r="S10" s="14">
        <f>V10/14</f>
        <v>3281.5591714285715</v>
      </c>
      <c r="T10" s="8" t="str">
        <f t="shared" si="2"/>
        <v>No</v>
      </c>
      <c r="U10" s="11">
        <v>4268.1000000000004</v>
      </c>
      <c r="V10" s="11">
        <f>U10*10.764</f>
        <v>45941.828399999999</v>
      </c>
      <c r="W10" s="11">
        <f>X10/10.764</f>
        <v>3201.0750000000003</v>
      </c>
      <c r="X10" s="11">
        <f>V10*0.75</f>
        <v>34456.371299999999</v>
      </c>
      <c r="Y10" s="11"/>
      <c r="Z10" s="11">
        <f t="shared" si="3"/>
        <v>34456.371299999999</v>
      </c>
      <c r="AA10" s="8" t="s">
        <v>89</v>
      </c>
      <c r="AB10" s="8" t="s">
        <v>138</v>
      </c>
      <c r="AC10" s="8" t="s">
        <v>92</v>
      </c>
      <c r="AD10" s="10">
        <v>39845</v>
      </c>
      <c r="AE10" s="10">
        <v>40123</v>
      </c>
      <c r="AF10" s="8"/>
      <c r="AG10" s="8" t="s">
        <v>541</v>
      </c>
      <c r="AH10" s="8" t="s">
        <v>73</v>
      </c>
      <c r="AI10" s="8"/>
      <c r="AJ10" s="8"/>
      <c r="AK10" s="8"/>
      <c r="AL10" s="8"/>
      <c r="AM10" s="8"/>
      <c r="AN10" s="8"/>
      <c r="AO10" s="8"/>
      <c r="AP10" s="8"/>
      <c r="AQ10" s="8" t="s">
        <v>542</v>
      </c>
    </row>
    <row r="11" spans="1:44" ht="15" customHeight="1" x14ac:dyDescent="0.35">
      <c r="A11" s="8"/>
      <c r="B11" s="8" t="s">
        <v>587</v>
      </c>
      <c r="C11" s="8" t="s">
        <v>588</v>
      </c>
      <c r="D11" s="8" t="s">
        <v>589</v>
      </c>
      <c r="E11" s="8" t="str">
        <f t="shared" si="0"/>
        <v>Hart Avenue, 16</v>
      </c>
      <c r="F11" s="8"/>
      <c r="G11" s="8" t="s">
        <v>8</v>
      </c>
      <c r="H11" s="8" t="s">
        <v>46</v>
      </c>
      <c r="I11" s="8" t="str">
        <f>VLOOKUP(K11,Reference!$A$2:$B$27,2,FALSE)</f>
        <v>Tsim Sha Tsui</v>
      </c>
      <c r="J11" s="8" t="s">
        <v>41</v>
      </c>
      <c r="K11" s="8" t="s">
        <v>8</v>
      </c>
      <c r="L11" s="15">
        <v>2011</v>
      </c>
      <c r="M11" s="8">
        <v>3</v>
      </c>
      <c r="N11" s="8" t="str">
        <f t="shared" si="1"/>
        <v>2011 Q3</v>
      </c>
      <c r="O11" s="8" t="s">
        <v>131</v>
      </c>
      <c r="P11" s="8" t="s">
        <v>84</v>
      </c>
      <c r="Q11" s="8">
        <v>1</v>
      </c>
      <c r="R11" s="8">
        <v>23</v>
      </c>
      <c r="S11" s="14">
        <f>V11/R11</f>
        <v>1035.6371999999999</v>
      </c>
      <c r="T11" s="8" t="str">
        <f t="shared" si="2"/>
        <v>No</v>
      </c>
      <c r="U11" s="11">
        <v>2212.9</v>
      </c>
      <c r="V11" s="11">
        <f>+U11*10.764</f>
        <v>23819.655599999998</v>
      </c>
      <c r="W11" s="11">
        <f>X11/10.764</f>
        <v>1659.675</v>
      </c>
      <c r="X11" s="11">
        <f>V11*0.75</f>
        <v>17864.741699999999</v>
      </c>
      <c r="Y11" s="11"/>
      <c r="Z11" s="11">
        <f t="shared" si="3"/>
        <v>17864.741699999999</v>
      </c>
      <c r="AA11" s="8" t="s">
        <v>89</v>
      </c>
      <c r="AB11" s="8" t="s">
        <v>138</v>
      </c>
      <c r="AC11" s="8" t="s">
        <v>92</v>
      </c>
      <c r="AD11" s="10">
        <v>40057</v>
      </c>
      <c r="AE11" s="10">
        <v>40122</v>
      </c>
      <c r="AF11" s="8"/>
      <c r="AG11" s="8" t="s">
        <v>590</v>
      </c>
      <c r="AH11" s="8" t="s">
        <v>73</v>
      </c>
      <c r="AI11" s="8" t="s">
        <v>705</v>
      </c>
      <c r="AJ11" s="8"/>
      <c r="AK11" s="8"/>
      <c r="AL11" s="8"/>
      <c r="AM11" s="8"/>
      <c r="AN11" s="8"/>
      <c r="AO11" s="8"/>
      <c r="AP11" s="8"/>
      <c r="AQ11" s="8" t="s">
        <v>591</v>
      </c>
    </row>
    <row r="12" spans="1:44" ht="15" customHeight="1" x14ac:dyDescent="0.35">
      <c r="A12" s="8" t="s">
        <v>288</v>
      </c>
      <c r="B12" s="8" t="s">
        <v>289</v>
      </c>
      <c r="C12" s="8" t="s">
        <v>290</v>
      </c>
      <c r="D12" s="8" t="s">
        <v>291</v>
      </c>
      <c r="E12" s="8" t="str">
        <f t="shared" si="0"/>
        <v>Jardine's Bazaar, 5-19</v>
      </c>
      <c r="F12" s="8"/>
      <c r="G12" s="8" t="s">
        <v>5</v>
      </c>
      <c r="H12" s="8" t="s">
        <v>4</v>
      </c>
      <c r="I12" s="8" t="str">
        <f>VLOOKUP(K12,Reference!$A$2:$B$27,2,FALSE)</f>
        <v>Wan Chai &amp; Causeway Bay</v>
      </c>
      <c r="J12" s="8" t="s">
        <v>40</v>
      </c>
      <c r="K12" s="8" t="s">
        <v>5</v>
      </c>
      <c r="L12" s="15">
        <v>2014</v>
      </c>
      <c r="M12" s="8">
        <v>4</v>
      </c>
      <c r="N12" s="8" t="str">
        <f t="shared" si="1"/>
        <v>2014 Q4</v>
      </c>
      <c r="O12" s="8" t="s">
        <v>131</v>
      </c>
      <c r="P12" s="8" t="s">
        <v>85</v>
      </c>
      <c r="Q12" s="8">
        <v>1</v>
      </c>
      <c r="R12" s="8" t="s">
        <v>208</v>
      </c>
      <c r="S12" s="14">
        <f>V12/23</f>
        <v>5862.9636</v>
      </c>
      <c r="T12" s="8" t="str">
        <f t="shared" si="2"/>
        <v>No</v>
      </c>
      <c r="U12" s="11">
        <v>12527.7</v>
      </c>
      <c r="V12" s="11">
        <f>+U12*10.764</f>
        <v>134848.16279999999</v>
      </c>
      <c r="W12" s="11">
        <f>U12*0.75</f>
        <v>9395.7750000000015</v>
      </c>
      <c r="X12" s="11">
        <f>W12*10.764</f>
        <v>101136.12210000001</v>
      </c>
      <c r="Y12" s="11"/>
      <c r="Z12" s="11">
        <f t="shared" si="3"/>
        <v>101136.12210000001</v>
      </c>
      <c r="AA12" s="8" t="s">
        <v>89</v>
      </c>
      <c r="AB12" s="8" t="s">
        <v>138</v>
      </c>
      <c r="AC12" s="8" t="s">
        <v>92</v>
      </c>
      <c r="AD12" s="10">
        <v>40664</v>
      </c>
      <c r="AE12" s="10">
        <v>40735</v>
      </c>
      <c r="AF12" s="8" t="s">
        <v>30</v>
      </c>
      <c r="AG12" s="8" t="s">
        <v>292</v>
      </c>
      <c r="AH12" s="8" t="s">
        <v>73</v>
      </c>
      <c r="AI12" s="8"/>
      <c r="AJ12" s="8"/>
      <c r="AK12" s="8"/>
      <c r="AL12" s="8"/>
      <c r="AM12" s="8"/>
      <c r="AN12" s="8"/>
      <c r="AO12" s="8"/>
      <c r="AP12" s="8"/>
      <c r="AQ12" s="8" t="s">
        <v>666</v>
      </c>
    </row>
    <row r="13" spans="1:44" ht="14.9" customHeight="1" x14ac:dyDescent="0.35">
      <c r="A13" s="8"/>
      <c r="B13" s="8" t="s">
        <v>134</v>
      </c>
      <c r="C13" s="8" t="s">
        <v>135</v>
      </c>
      <c r="D13" s="8" t="s">
        <v>136</v>
      </c>
      <c r="E13" s="8" t="str">
        <f t="shared" si="0"/>
        <v>Tang Lung Street &amp; 38 Russell Street, 5-29</v>
      </c>
      <c r="F13" s="8"/>
      <c r="G13" s="8" t="s">
        <v>5</v>
      </c>
      <c r="H13" s="8" t="s">
        <v>4</v>
      </c>
      <c r="I13" s="8" t="str">
        <f>VLOOKUP(K13,Reference!$A$2:$B$27,2,FALSE)</f>
        <v>Wan Chai &amp; Causeway Bay</v>
      </c>
      <c r="J13" s="8" t="s">
        <v>40</v>
      </c>
      <c r="K13" s="8" t="s">
        <v>5</v>
      </c>
      <c r="L13" s="15">
        <v>2012</v>
      </c>
      <c r="M13" s="8">
        <v>3</v>
      </c>
      <c r="N13" s="8" t="str">
        <f t="shared" si="1"/>
        <v>2012 Q3</v>
      </c>
      <c r="O13" s="8" t="s">
        <v>21</v>
      </c>
      <c r="P13" s="8" t="s">
        <v>86</v>
      </c>
      <c r="Q13" s="8">
        <v>1</v>
      </c>
      <c r="R13" s="8" t="s">
        <v>137</v>
      </c>
      <c r="S13" s="14">
        <f>V13/14</f>
        <v>8117.7474857142861</v>
      </c>
      <c r="T13" s="8" t="str">
        <f t="shared" si="2"/>
        <v>No</v>
      </c>
      <c r="U13" s="11">
        <v>10558.2</v>
      </c>
      <c r="V13" s="11">
        <f>U13*10.764</f>
        <v>113648.4648</v>
      </c>
      <c r="W13" s="11">
        <f>X13/10.764</f>
        <v>7918.6500000000005</v>
      </c>
      <c r="X13" s="11">
        <f>V13*0.75</f>
        <v>85236.348599999998</v>
      </c>
      <c r="Y13" s="11"/>
      <c r="Z13" s="11">
        <f t="shared" si="3"/>
        <v>85236.348599999998</v>
      </c>
      <c r="AA13" s="8" t="s">
        <v>89</v>
      </c>
      <c r="AB13" s="8" t="s">
        <v>138</v>
      </c>
      <c r="AC13" s="8" t="s">
        <v>92</v>
      </c>
      <c r="AD13" s="10">
        <v>39814</v>
      </c>
      <c r="AE13" s="10">
        <v>40123</v>
      </c>
      <c r="AF13" s="8"/>
      <c r="AG13" s="8" t="s">
        <v>139</v>
      </c>
      <c r="AH13" s="8"/>
      <c r="AI13" s="8"/>
      <c r="AJ13" s="8" t="s">
        <v>81</v>
      </c>
      <c r="AK13" s="8"/>
      <c r="AL13" s="8"/>
      <c r="AM13" s="8"/>
      <c r="AN13" s="8"/>
      <c r="AO13" s="8"/>
      <c r="AP13" s="8"/>
      <c r="AQ13" s="8" t="s">
        <v>140</v>
      </c>
    </row>
    <row r="14" spans="1:44" ht="15" customHeight="1" x14ac:dyDescent="0.35">
      <c r="A14" s="8" t="s">
        <v>125</v>
      </c>
      <c r="B14" s="8" t="s">
        <v>126</v>
      </c>
      <c r="C14" s="8" t="s">
        <v>127</v>
      </c>
      <c r="D14" s="8" t="s">
        <v>128</v>
      </c>
      <c r="E14" s="8" t="str">
        <f t="shared" si="0"/>
        <v>Lee Chung Street, 24</v>
      </c>
      <c r="F14" s="8"/>
      <c r="G14" s="8" t="s">
        <v>124</v>
      </c>
      <c r="H14" s="8" t="s">
        <v>44</v>
      </c>
      <c r="I14" s="8" t="e">
        <f>VLOOKUP(K14,Reference!$A$2:$B$27,2,FALSE)</f>
        <v>#N/A</v>
      </c>
      <c r="J14" s="8" t="s">
        <v>40</v>
      </c>
      <c r="K14" s="8" t="s">
        <v>22</v>
      </c>
      <c r="L14" s="15">
        <v>2012</v>
      </c>
      <c r="M14" s="8">
        <v>2</v>
      </c>
      <c r="N14" s="8" t="str">
        <f t="shared" si="1"/>
        <v>2012 Q2</v>
      </c>
      <c r="O14" s="8" t="s">
        <v>21</v>
      </c>
      <c r="P14" s="8" t="s">
        <v>83</v>
      </c>
      <c r="Q14" s="8">
        <v>1</v>
      </c>
      <c r="R14" s="8">
        <v>26</v>
      </c>
      <c r="S14" s="14">
        <f>V14/R14</f>
        <v>6686.2241999999987</v>
      </c>
      <c r="T14" s="8" t="str">
        <f t="shared" si="2"/>
        <v>No</v>
      </c>
      <c r="U14" s="11">
        <v>16150.3</v>
      </c>
      <c r="V14" s="11">
        <f>+U14*10.764</f>
        <v>173841.82919999998</v>
      </c>
      <c r="W14" s="11">
        <v>12526.5</v>
      </c>
      <c r="X14" s="11">
        <f>+W14*10.764</f>
        <v>134835.24599999998</v>
      </c>
      <c r="Y14" s="11"/>
      <c r="Z14" s="11">
        <f t="shared" si="3"/>
        <v>134835.24599999998</v>
      </c>
      <c r="AA14" s="8" t="s">
        <v>89</v>
      </c>
      <c r="AB14" s="8" t="s">
        <v>90</v>
      </c>
      <c r="AC14" s="8" t="s">
        <v>92</v>
      </c>
      <c r="AD14" s="10">
        <v>40330</v>
      </c>
      <c r="AE14" s="10">
        <v>40394</v>
      </c>
      <c r="AF14" s="8"/>
      <c r="AG14" s="8" t="s">
        <v>129</v>
      </c>
      <c r="AH14" s="8"/>
      <c r="AI14" s="8"/>
      <c r="AJ14" s="8"/>
      <c r="AK14" s="8"/>
      <c r="AL14" s="8"/>
      <c r="AM14" s="8"/>
      <c r="AN14" s="8"/>
      <c r="AO14" s="8"/>
      <c r="AP14" s="8"/>
      <c r="AQ14" s="8" t="s">
        <v>672</v>
      </c>
    </row>
    <row r="15" spans="1:44" ht="15" customHeight="1" x14ac:dyDescent="0.35">
      <c r="A15" s="8" t="s">
        <v>677</v>
      </c>
      <c r="B15" s="8" t="s">
        <v>678</v>
      </c>
      <c r="C15" s="8">
        <v>77</v>
      </c>
      <c r="D15" s="8" t="s">
        <v>679</v>
      </c>
      <c r="E15" s="8" t="str">
        <f t="shared" si="0"/>
        <v>Wong Lok Street, 77</v>
      </c>
      <c r="F15" s="8"/>
      <c r="G15" s="8" t="s">
        <v>2</v>
      </c>
      <c r="H15" s="8" t="s">
        <v>43</v>
      </c>
      <c r="I15" s="8" t="str">
        <f>VLOOKUP(K15,Reference!$A$2:$B$27,2,FALSE)</f>
        <v>Admiralty &amp; Sheung Wan</v>
      </c>
      <c r="J15" s="8" t="s">
        <v>40</v>
      </c>
      <c r="K15" s="8" t="s">
        <v>2</v>
      </c>
      <c r="L15" s="15">
        <v>2012</v>
      </c>
      <c r="M15" s="8">
        <v>4</v>
      </c>
      <c r="N15" s="8" t="str">
        <f t="shared" si="1"/>
        <v>2012 Q4</v>
      </c>
      <c r="O15" s="8" t="s">
        <v>21</v>
      </c>
      <c r="P15" s="8" t="s">
        <v>83</v>
      </c>
      <c r="Q15" s="8">
        <v>1</v>
      </c>
      <c r="R15" s="8">
        <v>25</v>
      </c>
      <c r="S15" s="11">
        <v>1503</v>
      </c>
      <c r="T15" s="8" t="str">
        <f t="shared" si="2"/>
        <v>No</v>
      </c>
      <c r="U15" s="11">
        <f>V15/10.764</f>
        <v>4442.4934968413236</v>
      </c>
      <c r="V15" s="11">
        <v>47819</v>
      </c>
      <c r="W15" s="11"/>
      <c r="X15" s="11"/>
      <c r="Y15" s="11"/>
      <c r="Z15" s="11" t="str">
        <f t="shared" si="3"/>
        <v/>
      </c>
      <c r="AA15" s="8"/>
      <c r="AB15" s="8" t="s">
        <v>113</v>
      </c>
      <c r="AC15" s="8" t="s">
        <v>680</v>
      </c>
      <c r="AD15" s="10">
        <v>41061</v>
      </c>
      <c r="AE15" s="10">
        <v>41087</v>
      </c>
      <c r="AF15" s="8" t="s">
        <v>31</v>
      </c>
      <c r="AG15" s="8" t="s">
        <v>681</v>
      </c>
      <c r="AH15" s="8" t="s">
        <v>73</v>
      </c>
      <c r="AI15" s="8"/>
      <c r="AJ15" s="8" t="s">
        <v>81</v>
      </c>
      <c r="AK15" s="8"/>
      <c r="AL15" s="8"/>
      <c r="AM15" s="8"/>
      <c r="AN15" s="8"/>
      <c r="AO15" s="8"/>
      <c r="AP15" s="8"/>
      <c r="AQ15" s="8" t="s">
        <v>682</v>
      </c>
    </row>
    <row r="16" spans="1:44" ht="14.9" customHeight="1" x14ac:dyDescent="0.35">
      <c r="A16" s="8"/>
      <c r="B16" s="8" t="s">
        <v>146</v>
      </c>
      <c r="C16" s="8" t="s">
        <v>147</v>
      </c>
      <c r="D16" s="8" t="s">
        <v>148</v>
      </c>
      <c r="E16" s="8" t="str">
        <f t="shared" si="0"/>
        <v>Bowring Street, 2-6</v>
      </c>
      <c r="F16" s="8"/>
      <c r="G16" s="8" t="s">
        <v>9</v>
      </c>
      <c r="H16" s="8" t="s">
        <v>46</v>
      </c>
      <c r="I16" s="8" t="str">
        <f>VLOOKUP(K16,Reference!$A$2:$B$27,2,FALSE)</f>
        <v>Kowloon Others</v>
      </c>
      <c r="J16" s="8" t="s">
        <v>41</v>
      </c>
      <c r="K16" s="8" t="s">
        <v>9</v>
      </c>
      <c r="L16" s="15">
        <v>2012</v>
      </c>
      <c r="M16" s="8">
        <v>3</v>
      </c>
      <c r="N16" s="8" t="str">
        <f t="shared" si="1"/>
        <v>2012 Q3</v>
      </c>
      <c r="O16" s="8" t="s">
        <v>21</v>
      </c>
      <c r="P16" s="8" t="s">
        <v>83</v>
      </c>
      <c r="Q16" s="8">
        <v>1</v>
      </c>
      <c r="R16" s="8">
        <v>20</v>
      </c>
      <c r="S16" s="14">
        <f>+V16/R16</f>
        <v>1035.81972</v>
      </c>
      <c r="T16" s="8" t="str">
        <f t="shared" si="2"/>
        <v>No</v>
      </c>
      <c r="U16" s="11">
        <v>1924.6</v>
      </c>
      <c r="V16" s="11">
        <f>+U16*10.764</f>
        <v>20716.394399999997</v>
      </c>
      <c r="W16" s="11">
        <v>1085.4000000000001</v>
      </c>
      <c r="X16" s="11">
        <f>+W16*10.764</f>
        <v>11683.2456</v>
      </c>
      <c r="Y16" s="11"/>
      <c r="Z16" s="11">
        <f t="shared" si="3"/>
        <v>11683.2456</v>
      </c>
      <c r="AA16" s="8" t="s">
        <v>89</v>
      </c>
      <c r="AB16" s="8" t="s">
        <v>96</v>
      </c>
      <c r="AC16" s="8" t="s">
        <v>92</v>
      </c>
      <c r="AD16" s="10">
        <v>40603</v>
      </c>
      <c r="AE16" s="10">
        <v>40675</v>
      </c>
      <c r="AF16" s="8"/>
      <c r="AG16" s="8" t="s">
        <v>149</v>
      </c>
      <c r="AH16" s="8" t="s">
        <v>73</v>
      </c>
      <c r="AI16" s="8" t="s">
        <v>705</v>
      </c>
      <c r="AJ16" s="8"/>
      <c r="AK16" s="8"/>
      <c r="AL16" s="8"/>
      <c r="AM16" s="8"/>
      <c r="AN16" s="8"/>
      <c r="AO16" s="8"/>
      <c r="AP16" s="8"/>
      <c r="AQ16" s="8" t="s">
        <v>150</v>
      </c>
    </row>
    <row r="17" spans="1:43" ht="15" customHeight="1" x14ac:dyDescent="0.35">
      <c r="A17" s="8"/>
      <c r="B17" s="8" t="s">
        <v>188</v>
      </c>
      <c r="C17" s="8" t="s">
        <v>189</v>
      </c>
      <c r="D17" s="8" t="s">
        <v>190</v>
      </c>
      <c r="E17" s="8" t="str">
        <f t="shared" si="0"/>
        <v>Tang Lung Street, 1-23</v>
      </c>
      <c r="F17" s="8"/>
      <c r="G17" s="8" t="s">
        <v>5</v>
      </c>
      <c r="H17" s="8" t="s">
        <v>4</v>
      </c>
      <c r="I17" s="8" t="str">
        <f>VLOOKUP(K17,Reference!$A$2:$B$27,2,FALSE)</f>
        <v>Wan Chai &amp; Causeway Bay</v>
      </c>
      <c r="J17" s="8" t="s">
        <v>40</v>
      </c>
      <c r="K17" s="8" t="s">
        <v>5</v>
      </c>
      <c r="L17" s="15">
        <v>2013</v>
      </c>
      <c r="M17" s="8">
        <v>2</v>
      </c>
      <c r="N17" s="8" t="str">
        <f t="shared" si="1"/>
        <v>2013 Q2</v>
      </c>
      <c r="O17" s="8" t="s">
        <v>21</v>
      </c>
      <c r="P17" s="8" t="s">
        <v>83</v>
      </c>
      <c r="Q17" s="8">
        <v>1</v>
      </c>
      <c r="R17" s="8" t="s">
        <v>191</v>
      </c>
      <c r="S17" s="14">
        <f>+V17/26</f>
        <v>5700.9456</v>
      </c>
      <c r="T17" s="8" t="str">
        <f t="shared" si="2"/>
        <v>No</v>
      </c>
      <c r="U17" s="11">
        <v>13770.4</v>
      </c>
      <c r="V17" s="11">
        <f>+U17*10.764</f>
        <v>148224.58559999999</v>
      </c>
      <c r="W17" s="11">
        <v>10402.6</v>
      </c>
      <c r="X17" s="11">
        <f>W17*10.764</f>
        <v>111973.5864</v>
      </c>
      <c r="Y17" s="11"/>
      <c r="Z17" s="11">
        <f t="shared" si="3"/>
        <v>111973.5864</v>
      </c>
      <c r="AA17" s="8" t="s">
        <v>89</v>
      </c>
      <c r="AB17" s="8" t="s">
        <v>96</v>
      </c>
      <c r="AC17" s="8" t="s">
        <v>92</v>
      </c>
      <c r="AD17" s="10">
        <v>40940</v>
      </c>
      <c r="AE17" s="10">
        <v>41072</v>
      </c>
      <c r="AF17" s="8" t="s">
        <v>30</v>
      </c>
      <c r="AG17" s="8" t="s">
        <v>139</v>
      </c>
      <c r="AH17" s="8" t="s">
        <v>73</v>
      </c>
      <c r="AI17" s="8"/>
      <c r="AJ17" s="8" t="s">
        <v>81</v>
      </c>
      <c r="AK17" s="8"/>
      <c r="AL17" s="8"/>
      <c r="AM17" s="8"/>
      <c r="AN17" s="8"/>
      <c r="AO17" s="8"/>
      <c r="AP17" s="8"/>
      <c r="AQ17" s="8" t="s">
        <v>664</v>
      </c>
    </row>
    <row r="18" spans="1:43" ht="14.9" customHeight="1" x14ac:dyDescent="0.35">
      <c r="A18" s="8"/>
      <c r="B18" s="8" t="s">
        <v>579</v>
      </c>
      <c r="C18" s="8" t="s">
        <v>580</v>
      </c>
      <c r="D18" s="8" t="s">
        <v>260</v>
      </c>
      <c r="E18" s="8" t="str">
        <f t="shared" si="0"/>
        <v>Stanley Street, 5-11</v>
      </c>
      <c r="F18" s="8"/>
      <c r="G18" s="8" t="s">
        <v>1</v>
      </c>
      <c r="H18" s="8" t="s">
        <v>43</v>
      </c>
      <c r="I18" s="8" t="str">
        <f>VLOOKUP(K18,Reference!$A$2:$B$27,2,FALSE)</f>
        <v>Central</v>
      </c>
      <c r="J18" s="8" t="s">
        <v>40</v>
      </c>
      <c r="K18" s="8" t="s">
        <v>1</v>
      </c>
      <c r="L18" s="15">
        <v>2009</v>
      </c>
      <c r="M18" s="8">
        <v>2</v>
      </c>
      <c r="N18" s="8" t="str">
        <f t="shared" si="1"/>
        <v>2009 Q2</v>
      </c>
      <c r="O18" s="8" t="s">
        <v>198</v>
      </c>
      <c r="P18" s="8" t="s">
        <v>84</v>
      </c>
      <c r="Q18" s="8">
        <v>1</v>
      </c>
      <c r="R18" s="8">
        <v>26</v>
      </c>
      <c r="S18" s="14">
        <f>V18/R18</f>
        <v>1432.9367999999997</v>
      </c>
      <c r="T18" s="8" t="str">
        <f t="shared" si="2"/>
        <v>No</v>
      </c>
      <c r="U18" s="11">
        <v>3461.2</v>
      </c>
      <c r="V18" s="11">
        <f>U18*10.764</f>
        <v>37256.356799999994</v>
      </c>
      <c r="W18" s="11">
        <v>1710.4</v>
      </c>
      <c r="X18" s="11">
        <f>W18*10.764</f>
        <v>18410.745599999998</v>
      </c>
      <c r="Y18" s="11"/>
      <c r="Z18" s="11">
        <f t="shared" si="3"/>
        <v>18410.745599999998</v>
      </c>
      <c r="AA18" s="8" t="s">
        <v>89</v>
      </c>
      <c r="AB18" s="8" t="s">
        <v>103</v>
      </c>
      <c r="AC18" s="8" t="s">
        <v>92</v>
      </c>
      <c r="AD18" s="10">
        <v>39904</v>
      </c>
      <c r="AE18" s="10">
        <v>40123</v>
      </c>
      <c r="AF18" s="8"/>
      <c r="AG18" s="8" t="s">
        <v>581</v>
      </c>
      <c r="AH18" s="8" t="s">
        <v>73</v>
      </c>
      <c r="AI18" s="8"/>
      <c r="AJ18" s="8" t="s">
        <v>81</v>
      </c>
      <c r="AK18" s="8"/>
      <c r="AL18" s="8"/>
      <c r="AM18" s="8"/>
      <c r="AN18" s="8"/>
      <c r="AO18" s="8"/>
      <c r="AP18" s="8"/>
      <c r="AQ18" s="8" t="s">
        <v>582</v>
      </c>
    </row>
    <row r="19" spans="1:43" ht="14.9" customHeight="1" x14ac:dyDescent="0.35">
      <c r="A19" s="8"/>
      <c r="B19" s="8" t="s">
        <v>608</v>
      </c>
      <c r="C19" s="8" t="s">
        <v>609</v>
      </c>
      <c r="D19" s="8" t="s">
        <v>610</v>
      </c>
      <c r="E19" s="8" t="str">
        <f t="shared" si="0"/>
        <v>Hollywood Road, 35-37</v>
      </c>
      <c r="F19" s="8"/>
      <c r="G19" s="8" t="s">
        <v>1</v>
      </c>
      <c r="H19" s="8" t="s">
        <v>43</v>
      </c>
      <c r="I19" s="8" t="str">
        <f>VLOOKUP(K19,Reference!$A$2:$B$27,2,FALSE)</f>
        <v>Central</v>
      </c>
      <c r="J19" s="8" t="s">
        <v>40</v>
      </c>
      <c r="K19" s="8" t="s">
        <v>1</v>
      </c>
      <c r="L19" s="15">
        <v>2009</v>
      </c>
      <c r="M19" s="8">
        <v>3</v>
      </c>
      <c r="N19" s="8" t="str">
        <f t="shared" si="1"/>
        <v>2009 Q3</v>
      </c>
      <c r="O19" s="8" t="s">
        <v>21</v>
      </c>
      <c r="P19" s="8" t="s">
        <v>84</v>
      </c>
      <c r="Q19" s="8">
        <v>1</v>
      </c>
      <c r="R19" s="8">
        <v>26</v>
      </c>
      <c r="S19" s="14">
        <f>V19/R19</f>
        <v>918.83159999999998</v>
      </c>
      <c r="T19" s="8" t="str">
        <f t="shared" si="2"/>
        <v>No</v>
      </c>
      <c r="U19" s="11">
        <v>2219.4</v>
      </c>
      <c r="V19" s="11">
        <f>U19*10.764</f>
        <v>23889.621599999999</v>
      </c>
      <c r="W19" s="11">
        <v>1186.2</v>
      </c>
      <c r="X19" s="11">
        <f>W19*10.764</f>
        <v>12768.256799999999</v>
      </c>
      <c r="Y19" s="11"/>
      <c r="Z19" s="11">
        <f t="shared" si="3"/>
        <v>12768.256799999999</v>
      </c>
      <c r="AA19" s="8" t="s">
        <v>89</v>
      </c>
      <c r="AB19" s="8" t="s">
        <v>103</v>
      </c>
      <c r="AC19" s="8" t="s">
        <v>92</v>
      </c>
      <c r="AD19" s="10">
        <v>39995</v>
      </c>
      <c r="AE19" s="10">
        <v>40123</v>
      </c>
      <c r="AF19" s="8"/>
      <c r="AG19" s="8" t="s">
        <v>611</v>
      </c>
      <c r="AH19" s="8" t="s">
        <v>73</v>
      </c>
      <c r="AI19" s="8"/>
      <c r="AJ19" s="8"/>
      <c r="AK19" s="8"/>
      <c r="AL19" s="8"/>
      <c r="AM19" s="8"/>
      <c r="AN19" s="8"/>
      <c r="AO19" s="8"/>
      <c r="AP19" s="8"/>
      <c r="AQ19" s="8" t="s">
        <v>507</v>
      </c>
    </row>
    <row r="20" spans="1:43" ht="15" customHeight="1" x14ac:dyDescent="0.35">
      <c r="A20" s="8"/>
      <c r="B20" s="8" t="s">
        <v>239</v>
      </c>
      <c r="C20" s="8" t="s">
        <v>240</v>
      </c>
      <c r="D20" s="8" t="s">
        <v>241</v>
      </c>
      <c r="E20" s="8" t="str">
        <f t="shared" si="0"/>
        <v>Lockhart Road, 459-461</v>
      </c>
      <c r="F20" s="8"/>
      <c r="G20" s="8" t="s">
        <v>5</v>
      </c>
      <c r="H20" s="8" t="s">
        <v>4</v>
      </c>
      <c r="I20" s="8" t="str">
        <f>VLOOKUP(K20,Reference!$A$2:$B$27,2,FALSE)</f>
        <v>Wan Chai &amp; Causeway Bay</v>
      </c>
      <c r="J20" s="8" t="s">
        <v>40</v>
      </c>
      <c r="K20" s="8" t="s">
        <v>5</v>
      </c>
      <c r="L20" s="15">
        <v>2013</v>
      </c>
      <c r="M20" s="8">
        <v>4</v>
      </c>
      <c r="N20" s="8" t="str">
        <f t="shared" si="1"/>
        <v>2013 Q4</v>
      </c>
      <c r="O20" s="8" t="s">
        <v>21</v>
      </c>
      <c r="P20" s="8" t="s">
        <v>83</v>
      </c>
      <c r="Q20" s="8">
        <v>1</v>
      </c>
      <c r="R20" s="8">
        <v>23</v>
      </c>
      <c r="S20" s="14">
        <f>+V20/R20</f>
        <v>1469.2391999999998</v>
      </c>
      <c r="T20" s="8" t="str">
        <f t="shared" si="2"/>
        <v>No</v>
      </c>
      <c r="U20" s="11">
        <v>3139.4</v>
      </c>
      <c r="V20" s="11">
        <f>+U20*10.764</f>
        <v>33792.501599999996</v>
      </c>
      <c r="W20" s="11">
        <f>X20/10.764</f>
        <v>2354.5500000000002</v>
      </c>
      <c r="X20" s="11">
        <f>V20*0.75</f>
        <v>25344.376199999999</v>
      </c>
      <c r="Y20" s="11"/>
      <c r="Z20" s="11">
        <f t="shared" si="3"/>
        <v>25344.376199999999</v>
      </c>
      <c r="AA20" s="8" t="s">
        <v>89</v>
      </c>
      <c r="AB20" s="8" t="s">
        <v>138</v>
      </c>
      <c r="AC20" s="8" t="s">
        <v>92</v>
      </c>
      <c r="AD20" s="10">
        <v>40483</v>
      </c>
      <c r="AE20" s="10">
        <v>40674</v>
      </c>
      <c r="AF20" s="8"/>
      <c r="AG20" s="8" t="s">
        <v>242</v>
      </c>
      <c r="AH20" s="8"/>
      <c r="AI20" s="8"/>
      <c r="AJ20" s="8"/>
      <c r="AK20" s="8"/>
      <c r="AL20" s="8"/>
      <c r="AM20" s="8"/>
      <c r="AN20" s="8"/>
      <c r="AO20" s="8"/>
      <c r="AP20" s="8"/>
      <c r="AQ20" s="8" t="s">
        <v>243</v>
      </c>
    </row>
    <row r="21" spans="1:43" ht="15" customHeight="1" x14ac:dyDescent="0.35">
      <c r="A21" s="8"/>
      <c r="B21" s="8" t="s">
        <v>258</v>
      </c>
      <c r="C21" s="8" t="s">
        <v>259</v>
      </c>
      <c r="D21" s="8" t="s">
        <v>260</v>
      </c>
      <c r="E21" s="8" t="str">
        <f t="shared" si="0"/>
        <v>Stanley Street, 28 &amp; 28A</v>
      </c>
      <c r="F21" s="8"/>
      <c r="G21" s="8" t="s">
        <v>1</v>
      </c>
      <c r="H21" s="8" t="s">
        <v>43</v>
      </c>
      <c r="I21" s="8" t="str">
        <f>VLOOKUP(K21,Reference!$A$2:$B$27,2,FALSE)</f>
        <v>Central</v>
      </c>
      <c r="J21" s="8" t="s">
        <v>40</v>
      </c>
      <c r="K21" s="8" t="s">
        <v>1</v>
      </c>
      <c r="L21" s="15">
        <v>2015</v>
      </c>
      <c r="M21" s="8">
        <v>1</v>
      </c>
      <c r="N21" s="8" t="str">
        <f t="shared" si="1"/>
        <v>2015 Q1</v>
      </c>
      <c r="O21" s="8" t="s">
        <v>198</v>
      </c>
      <c r="P21" s="8" t="s">
        <v>83</v>
      </c>
      <c r="Q21" s="8">
        <v>1</v>
      </c>
      <c r="R21" s="8">
        <v>26</v>
      </c>
      <c r="S21" s="14">
        <f>+V21/R21</f>
        <v>986.43779999999981</v>
      </c>
      <c r="T21" s="8" t="str">
        <f t="shared" si="2"/>
        <v>No</v>
      </c>
      <c r="U21" s="11">
        <v>2382.6999999999998</v>
      </c>
      <c r="V21" s="11">
        <f>+U21*10.764</f>
        <v>25647.382799999996</v>
      </c>
      <c r="W21" s="11">
        <f>X21/10.764</f>
        <v>1787.0249999999999</v>
      </c>
      <c r="X21" s="11">
        <f>V21*0.75</f>
        <v>19235.537099999998</v>
      </c>
      <c r="Y21" s="11"/>
      <c r="Z21" s="11">
        <f t="shared" si="3"/>
        <v>19235.537099999998</v>
      </c>
      <c r="AA21" s="8" t="s">
        <v>89</v>
      </c>
      <c r="AB21" s="8" t="s">
        <v>138</v>
      </c>
      <c r="AC21" s="8" t="s">
        <v>92</v>
      </c>
      <c r="AD21" s="10">
        <v>40634</v>
      </c>
      <c r="AE21" s="10">
        <v>40690</v>
      </c>
      <c r="AF21" s="8" t="s">
        <v>30</v>
      </c>
      <c r="AG21" s="8" t="s">
        <v>261</v>
      </c>
      <c r="AH21" s="8" t="s">
        <v>73</v>
      </c>
      <c r="AI21" s="8"/>
      <c r="AJ21" s="8"/>
      <c r="AK21" s="8"/>
      <c r="AL21" s="8"/>
      <c r="AM21" s="8"/>
      <c r="AN21" s="8"/>
      <c r="AO21" s="8"/>
      <c r="AP21" s="8"/>
      <c r="AQ21" s="26" t="s">
        <v>812</v>
      </c>
    </row>
    <row r="22" spans="1:43" ht="15" customHeight="1" x14ac:dyDescent="0.35">
      <c r="A22" s="8"/>
      <c r="B22" s="8" t="s">
        <v>262</v>
      </c>
      <c r="C22" s="8" t="s">
        <v>263</v>
      </c>
      <c r="D22" s="8" t="s">
        <v>260</v>
      </c>
      <c r="E22" s="8" t="str">
        <f t="shared" si="0"/>
        <v>Stanley Street, 30-30A</v>
      </c>
      <c r="F22" s="8"/>
      <c r="G22" s="8" t="s">
        <v>1</v>
      </c>
      <c r="H22" s="8" t="s">
        <v>43</v>
      </c>
      <c r="I22" s="8" t="str">
        <f>VLOOKUP(K22,Reference!$A$2:$B$27,2,FALSE)</f>
        <v>Central</v>
      </c>
      <c r="J22" s="8" t="s">
        <v>40</v>
      </c>
      <c r="K22" s="8" t="s">
        <v>1</v>
      </c>
      <c r="L22" s="15">
        <v>2015</v>
      </c>
      <c r="M22" s="8">
        <v>1</v>
      </c>
      <c r="N22" s="8" t="str">
        <f t="shared" si="1"/>
        <v>2015 Q1</v>
      </c>
      <c r="O22" s="8" t="s">
        <v>198</v>
      </c>
      <c r="P22" s="8" t="s">
        <v>83</v>
      </c>
      <c r="Q22" s="8">
        <v>1</v>
      </c>
      <c r="R22" s="8">
        <v>28</v>
      </c>
      <c r="S22" s="14">
        <f>+V22/R22</f>
        <v>834.59442857142858</v>
      </c>
      <c r="T22" s="8" t="str">
        <f t="shared" si="2"/>
        <v>No</v>
      </c>
      <c r="U22" s="11">
        <v>2171</v>
      </c>
      <c r="V22" s="11">
        <f>+U22*10.764</f>
        <v>23368.644</v>
      </c>
      <c r="W22" s="11">
        <f>X22/10.764</f>
        <v>1628.2500000000002</v>
      </c>
      <c r="X22" s="11">
        <f>V22*0.75</f>
        <v>17526.483</v>
      </c>
      <c r="Y22" s="11"/>
      <c r="Z22" s="11">
        <f t="shared" si="3"/>
        <v>17526.483</v>
      </c>
      <c r="AA22" s="8" t="s">
        <v>89</v>
      </c>
      <c r="AB22" s="8" t="s">
        <v>138</v>
      </c>
      <c r="AC22" s="8" t="s">
        <v>92</v>
      </c>
      <c r="AD22" s="10">
        <v>40603</v>
      </c>
      <c r="AE22" s="10">
        <v>40675</v>
      </c>
      <c r="AF22" s="8" t="s">
        <v>30</v>
      </c>
      <c r="AG22" s="8" t="s">
        <v>264</v>
      </c>
      <c r="AH22" s="8" t="s">
        <v>73</v>
      </c>
      <c r="AI22" s="8"/>
      <c r="AJ22" s="8"/>
      <c r="AK22" s="8"/>
      <c r="AL22" s="8"/>
      <c r="AM22" s="8"/>
      <c r="AN22" s="8"/>
      <c r="AO22" s="8"/>
      <c r="AP22" s="8"/>
      <c r="AQ22" s="26" t="s">
        <v>811</v>
      </c>
    </row>
    <row r="23" spans="1:43" ht="15" customHeight="1" x14ac:dyDescent="0.35">
      <c r="A23" s="8" t="s">
        <v>658</v>
      </c>
      <c r="B23" s="8" t="s">
        <v>229</v>
      </c>
      <c r="C23" s="8" t="s">
        <v>230</v>
      </c>
      <c r="D23" s="8" t="s">
        <v>87</v>
      </c>
      <c r="E23" s="8" t="str">
        <f t="shared" si="0"/>
        <v>Connaught Road Central, 47</v>
      </c>
      <c r="F23" s="8"/>
      <c r="G23" s="8" t="s">
        <v>1</v>
      </c>
      <c r="H23" s="8" t="s">
        <v>43</v>
      </c>
      <c r="I23" s="8" t="str">
        <f>VLOOKUP(K23,Reference!$A$2:$B$27,2,FALSE)</f>
        <v>Central</v>
      </c>
      <c r="J23" s="8" t="s">
        <v>40</v>
      </c>
      <c r="K23" s="8" t="s">
        <v>1</v>
      </c>
      <c r="L23" s="15">
        <v>2014</v>
      </c>
      <c r="M23" s="8">
        <v>4</v>
      </c>
      <c r="N23" s="8" t="str">
        <f t="shared" si="1"/>
        <v>2014 Q4</v>
      </c>
      <c r="O23" s="8" t="s">
        <v>21</v>
      </c>
      <c r="P23" s="8" t="s">
        <v>83</v>
      </c>
      <c r="Q23" s="8">
        <v>1</v>
      </c>
      <c r="R23" s="8">
        <v>25</v>
      </c>
      <c r="S23" s="14">
        <f>V23/R23</f>
        <v>1542.1798079999999</v>
      </c>
      <c r="T23" s="8" t="str">
        <f t="shared" si="2"/>
        <v>No</v>
      </c>
      <c r="U23" s="11">
        <v>3581.8</v>
      </c>
      <c r="V23" s="11">
        <f>+U23*10.764</f>
        <v>38554.495199999998</v>
      </c>
      <c r="W23" s="11">
        <f>X23/10.764</f>
        <v>2686.35</v>
      </c>
      <c r="X23" s="11">
        <f>V23*0.75</f>
        <v>28915.871399999996</v>
      </c>
      <c r="Y23" s="11"/>
      <c r="Z23" s="11">
        <f t="shared" si="3"/>
        <v>28915.871399999996</v>
      </c>
      <c r="AA23" s="8" t="s">
        <v>89</v>
      </c>
      <c r="AB23" s="8" t="s">
        <v>96</v>
      </c>
      <c r="AC23" s="8" t="s">
        <v>92</v>
      </c>
      <c r="AD23" s="10">
        <v>41365</v>
      </c>
      <c r="AE23" s="10">
        <v>41730</v>
      </c>
      <c r="AF23" s="8" t="s">
        <v>30</v>
      </c>
      <c r="AG23" s="8" t="s">
        <v>232</v>
      </c>
      <c r="AH23" s="8" t="s">
        <v>73</v>
      </c>
      <c r="AI23" s="8"/>
      <c r="AJ23" s="8"/>
      <c r="AK23" s="8"/>
      <c r="AL23" s="8"/>
      <c r="AM23" s="8"/>
      <c r="AN23" s="8"/>
      <c r="AO23" s="8"/>
      <c r="AP23" s="8"/>
      <c r="AQ23" s="26" t="s">
        <v>813</v>
      </c>
    </row>
    <row r="24" spans="1:43" ht="14.9" customHeight="1" x14ac:dyDescent="0.35">
      <c r="A24" s="8"/>
      <c r="B24" s="8" t="s">
        <v>252</v>
      </c>
      <c r="C24" s="8" t="s">
        <v>253</v>
      </c>
      <c r="D24" s="8" t="s">
        <v>254</v>
      </c>
      <c r="E24" s="8" t="str">
        <f t="shared" si="0"/>
        <v>King's Road, 93-95</v>
      </c>
      <c r="F24" s="8"/>
      <c r="G24" s="8" t="s">
        <v>255</v>
      </c>
      <c r="H24" s="8" t="s">
        <v>44</v>
      </c>
      <c r="I24" s="8" t="str">
        <f>VLOOKUP(K24,Reference!$A$2:$B$27,2,FALSE)</f>
        <v>Hong Kong East</v>
      </c>
      <c r="J24" s="8" t="s">
        <v>40</v>
      </c>
      <c r="K24" s="8" t="s">
        <v>6</v>
      </c>
      <c r="L24" s="15">
        <v>2013</v>
      </c>
      <c r="M24" s="8">
        <v>4</v>
      </c>
      <c r="N24" s="8" t="str">
        <f t="shared" si="1"/>
        <v>2013 Q4</v>
      </c>
      <c r="O24" s="8" t="s">
        <v>21</v>
      </c>
      <c r="P24" s="8" t="s">
        <v>83</v>
      </c>
      <c r="Q24" s="8">
        <v>1</v>
      </c>
      <c r="R24" s="8">
        <v>27</v>
      </c>
      <c r="S24" s="14">
        <f>V24/R24</f>
        <v>1550.6937333333333</v>
      </c>
      <c r="T24" s="8" t="str">
        <f t="shared" si="2"/>
        <v>No</v>
      </c>
      <c r="U24" s="11">
        <v>3889.7</v>
      </c>
      <c r="V24" s="11">
        <f>+U24*10.764</f>
        <v>41868.730799999998</v>
      </c>
      <c r="W24" s="11">
        <v>2091.5</v>
      </c>
      <c r="X24" s="11">
        <f>+W24*10.764</f>
        <v>22512.905999999999</v>
      </c>
      <c r="Y24" s="11"/>
      <c r="Z24" s="11">
        <f t="shared" si="3"/>
        <v>22512.905999999999</v>
      </c>
      <c r="AA24" s="8" t="s">
        <v>89</v>
      </c>
      <c r="AB24" s="8" t="s">
        <v>90</v>
      </c>
      <c r="AC24" s="8" t="s">
        <v>92</v>
      </c>
      <c r="AD24" s="10">
        <v>41306</v>
      </c>
      <c r="AE24" s="10">
        <v>41730</v>
      </c>
      <c r="AF24" s="8"/>
      <c r="AG24" s="8" t="s">
        <v>256</v>
      </c>
      <c r="AH24" s="8" t="s">
        <v>73</v>
      </c>
      <c r="AI24" s="8"/>
      <c r="AJ24" s="8"/>
      <c r="AK24" s="8"/>
      <c r="AL24" s="8"/>
      <c r="AM24" s="8"/>
      <c r="AN24" s="8"/>
      <c r="AO24" s="8"/>
      <c r="AP24" s="8"/>
      <c r="AQ24" s="8" t="s">
        <v>257</v>
      </c>
    </row>
    <row r="25" spans="1:43" ht="15" customHeight="1" x14ac:dyDescent="0.35">
      <c r="A25" s="8"/>
      <c r="B25" s="8" t="s">
        <v>180</v>
      </c>
      <c r="C25" s="8" t="s">
        <v>181</v>
      </c>
      <c r="D25" s="8" t="s">
        <v>132</v>
      </c>
      <c r="E25" s="8" t="str">
        <f t="shared" si="0"/>
        <v>Wong Chuk Hang Road, 20</v>
      </c>
      <c r="F25" s="8"/>
      <c r="G25" s="8" t="s">
        <v>130</v>
      </c>
      <c r="H25" s="8" t="s">
        <v>45</v>
      </c>
      <c r="I25" s="8" t="e">
        <f>VLOOKUP(K25,Reference!$A$2:$B$27,2,FALSE)</f>
        <v>#N/A</v>
      </c>
      <c r="J25" s="8" t="s">
        <v>40</v>
      </c>
      <c r="K25" s="8" t="s">
        <v>22</v>
      </c>
      <c r="L25" s="15">
        <v>2013</v>
      </c>
      <c r="M25" s="8">
        <v>3</v>
      </c>
      <c r="N25" s="8" t="str">
        <f t="shared" si="1"/>
        <v>2013 Q3</v>
      </c>
      <c r="O25" s="8" t="s">
        <v>21</v>
      </c>
      <c r="P25" s="8" t="s">
        <v>86</v>
      </c>
      <c r="Q25" s="8">
        <v>1</v>
      </c>
      <c r="R25" s="8" t="s">
        <v>98</v>
      </c>
      <c r="S25" s="11">
        <f>V25/29</f>
        <v>5689.7019310344831</v>
      </c>
      <c r="T25" s="8" t="str">
        <f t="shared" si="2"/>
        <v>No</v>
      </c>
      <c r="U25" s="14">
        <v>15329</v>
      </c>
      <c r="V25" s="14">
        <f>U25*10.764</f>
        <v>165001.356</v>
      </c>
      <c r="W25" s="14">
        <f>X25/10.764</f>
        <v>11496.75</v>
      </c>
      <c r="X25" s="14">
        <f>V25*0.75</f>
        <v>123751.01699999999</v>
      </c>
      <c r="Y25" s="14"/>
      <c r="Z25" s="11">
        <f t="shared" si="3"/>
        <v>123751.01699999999</v>
      </c>
      <c r="AA25" s="8" t="s">
        <v>156</v>
      </c>
      <c r="AB25" s="8" t="s">
        <v>138</v>
      </c>
      <c r="AC25" s="8" t="s">
        <v>92</v>
      </c>
      <c r="AD25" s="10">
        <v>39722</v>
      </c>
      <c r="AE25" s="10">
        <v>40217</v>
      </c>
      <c r="AF25" s="8" t="s">
        <v>30</v>
      </c>
      <c r="AG25" s="8" t="s">
        <v>182</v>
      </c>
      <c r="AH25" s="8" t="s">
        <v>73</v>
      </c>
      <c r="AI25" s="8"/>
      <c r="AJ25" s="8"/>
      <c r="AK25" s="8"/>
      <c r="AL25" s="8"/>
      <c r="AM25" s="8"/>
      <c r="AN25" s="8"/>
      <c r="AO25" s="8"/>
      <c r="AP25" s="8"/>
      <c r="AQ25" s="8" t="s">
        <v>183</v>
      </c>
    </row>
    <row r="26" spans="1:43" ht="14.9" customHeight="1" x14ac:dyDescent="0.35">
      <c r="A26" s="8"/>
      <c r="B26" s="8" t="s">
        <v>225</v>
      </c>
      <c r="C26" s="8" t="s">
        <v>226</v>
      </c>
      <c r="D26" s="8" t="s">
        <v>227</v>
      </c>
      <c r="E26" s="8" t="str">
        <f t="shared" si="0"/>
        <v>Queen's Road West &amp; 30 Bonham Strand West, 23-25</v>
      </c>
      <c r="F26" s="8"/>
      <c r="G26" s="8" t="s">
        <v>2</v>
      </c>
      <c r="H26" s="8" t="s">
        <v>43</v>
      </c>
      <c r="I26" s="8" t="str">
        <f>VLOOKUP(K26,Reference!$A$2:$B$27,2,FALSE)</f>
        <v>Admiralty &amp; Sheung Wan</v>
      </c>
      <c r="J26" s="8" t="s">
        <v>40</v>
      </c>
      <c r="K26" s="8" t="s">
        <v>2</v>
      </c>
      <c r="L26" s="15">
        <v>2013</v>
      </c>
      <c r="M26" s="8">
        <v>1</v>
      </c>
      <c r="N26" s="8" t="str">
        <f t="shared" si="1"/>
        <v>2013 Q1</v>
      </c>
      <c r="O26" s="8" t="s">
        <v>21</v>
      </c>
      <c r="P26" s="8" t="s">
        <v>83</v>
      </c>
      <c r="Q26" s="8">
        <v>1</v>
      </c>
      <c r="R26" s="8">
        <v>25</v>
      </c>
      <c r="S26" s="14">
        <f>V26/R26</f>
        <v>1663.1671679999999</v>
      </c>
      <c r="T26" s="8" t="str">
        <f t="shared" si="2"/>
        <v>No</v>
      </c>
      <c r="U26" s="11">
        <v>3862.8</v>
      </c>
      <c r="V26" s="11">
        <f>+U26*10.764</f>
        <v>41579.179199999999</v>
      </c>
      <c r="W26" s="11">
        <f>X26/10.764</f>
        <v>2897.1</v>
      </c>
      <c r="X26" s="11">
        <f>V26*0.75</f>
        <v>31184.384399999999</v>
      </c>
      <c r="Y26" s="11"/>
      <c r="Z26" s="11">
        <f t="shared" si="3"/>
        <v>31184.384399999999</v>
      </c>
      <c r="AA26" s="8" t="s">
        <v>89</v>
      </c>
      <c r="AB26" s="8" t="s">
        <v>138</v>
      </c>
      <c r="AC26" s="8" t="s">
        <v>92</v>
      </c>
      <c r="AD26" s="10">
        <v>40269</v>
      </c>
      <c r="AE26" s="10">
        <v>40333</v>
      </c>
      <c r="AF26" s="8"/>
      <c r="AG26" s="8" t="s">
        <v>228</v>
      </c>
      <c r="AH26" s="8"/>
      <c r="AI26" s="8"/>
      <c r="AJ26" s="8"/>
      <c r="AK26" s="8"/>
      <c r="AL26" s="8"/>
      <c r="AM26" s="8"/>
      <c r="AN26" s="8"/>
      <c r="AO26" s="8"/>
      <c r="AP26" s="8"/>
      <c r="AQ26" s="8" t="s">
        <v>675</v>
      </c>
    </row>
    <row r="27" spans="1:43" ht="15" customHeight="1" x14ac:dyDescent="0.35">
      <c r="A27" s="8" t="s">
        <v>659</v>
      </c>
      <c r="B27" s="8" t="s">
        <v>221</v>
      </c>
      <c r="C27" s="8" t="s">
        <v>222</v>
      </c>
      <c r="D27" s="8" t="s">
        <v>151</v>
      </c>
      <c r="E27" s="8" t="str">
        <f t="shared" si="0"/>
        <v>Des Voeux Road Central, 236-242</v>
      </c>
      <c r="F27" s="8"/>
      <c r="G27" s="8" t="s">
        <v>2</v>
      </c>
      <c r="H27" s="8" t="s">
        <v>43</v>
      </c>
      <c r="I27" s="8" t="str">
        <f>VLOOKUP(K27,Reference!$A$2:$B$27,2,FALSE)</f>
        <v>Admiralty &amp; Sheung Wan</v>
      </c>
      <c r="J27" s="8" t="s">
        <v>40</v>
      </c>
      <c r="K27" s="8" t="s">
        <v>2</v>
      </c>
      <c r="L27" s="15">
        <v>2013</v>
      </c>
      <c r="M27" s="8">
        <v>3</v>
      </c>
      <c r="N27" s="8" t="str">
        <f t="shared" si="1"/>
        <v>2013 Q3</v>
      </c>
      <c r="O27" s="8" t="s">
        <v>21</v>
      </c>
      <c r="P27" s="8" t="s">
        <v>83</v>
      </c>
      <c r="Q27" s="8">
        <v>1</v>
      </c>
      <c r="R27" s="8">
        <v>29</v>
      </c>
      <c r="S27" s="14">
        <f>+V27/R27</f>
        <v>1680.4088689655173</v>
      </c>
      <c r="T27" s="8" t="str">
        <f t="shared" si="2"/>
        <v>No</v>
      </c>
      <c r="U27" s="11">
        <v>4527.3</v>
      </c>
      <c r="V27" s="11">
        <f>+U27*10.764</f>
        <v>48731.857199999999</v>
      </c>
      <c r="W27" s="11">
        <f>X27/10.764</f>
        <v>3395.4749999999999</v>
      </c>
      <c r="X27" s="11">
        <f>V27*0.75</f>
        <v>36548.892899999999</v>
      </c>
      <c r="Y27" s="11"/>
      <c r="Z27" s="11">
        <f t="shared" si="3"/>
        <v>36548.892899999999</v>
      </c>
      <c r="AA27" s="8" t="s">
        <v>89</v>
      </c>
      <c r="AB27" s="8" t="s">
        <v>138</v>
      </c>
      <c r="AC27" s="8" t="s">
        <v>92</v>
      </c>
      <c r="AD27" s="10">
        <v>40544</v>
      </c>
      <c r="AE27" s="10">
        <v>40675</v>
      </c>
      <c r="AF27" s="8" t="s">
        <v>30</v>
      </c>
      <c r="AG27" s="8" t="s">
        <v>223</v>
      </c>
      <c r="AH27" s="8" t="s">
        <v>73</v>
      </c>
      <c r="AI27" s="8"/>
      <c r="AJ27" s="8"/>
      <c r="AK27" s="8"/>
      <c r="AL27" s="8"/>
      <c r="AM27" s="8"/>
      <c r="AN27" s="8"/>
      <c r="AO27" s="8"/>
      <c r="AP27" s="8"/>
      <c r="AQ27" s="8" t="s">
        <v>224</v>
      </c>
    </row>
    <row r="28" spans="1:43" ht="14.9" customHeight="1" x14ac:dyDescent="0.35">
      <c r="A28" s="8"/>
      <c r="B28" s="8" t="s">
        <v>265</v>
      </c>
      <c r="C28" s="8" t="s">
        <v>266</v>
      </c>
      <c r="D28" s="8" t="s">
        <v>267</v>
      </c>
      <c r="E28" s="8" t="str">
        <f t="shared" si="0"/>
        <v>Queen's Road Central, 182</v>
      </c>
      <c r="F28" s="8"/>
      <c r="G28" s="8" t="s">
        <v>2</v>
      </c>
      <c r="H28" s="8" t="s">
        <v>43</v>
      </c>
      <c r="I28" s="8" t="str">
        <f>VLOOKUP(K28,Reference!$A$2:$B$27,2,FALSE)</f>
        <v>Admiralty &amp; Sheung Wan</v>
      </c>
      <c r="J28" s="8" t="s">
        <v>40</v>
      </c>
      <c r="K28" s="8" t="s">
        <v>2</v>
      </c>
      <c r="L28" s="15">
        <v>2013</v>
      </c>
      <c r="M28" s="8">
        <v>3</v>
      </c>
      <c r="N28" s="8" t="str">
        <f t="shared" si="1"/>
        <v>2013 Q3</v>
      </c>
      <c r="O28" s="8" t="s">
        <v>21</v>
      </c>
      <c r="P28" s="8" t="s">
        <v>83</v>
      </c>
      <c r="Q28" s="8">
        <v>1</v>
      </c>
      <c r="R28" s="8">
        <v>12</v>
      </c>
      <c r="S28" s="14">
        <f>+V28/R28</f>
        <v>937.7238000000001</v>
      </c>
      <c r="T28" s="8" t="str">
        <f t="shared" si="2"/>
        <v>No</v>
      </c>
      <c r="U28" s="11">
        <v>1045.4000000000001</v>
      </c>
      <c r="V28" s="11">
        <f>U28*10.764</f>
        <v>11252.685600000001</v>
      </c>
      <c r="W28" s="11">
        <f>X28/10.764</f>
        <v>784.05000000000018</v>
      </c>
      <c r="X28" s="11">
        <f>V28*0.75</f>
        <v>8439.5142000000014</v>
      </c>
      <c r="Y28" s="11"/>
      <c r="Z28" s="11">
        <f t="shared" si="3"/>
        <v>8439.5142000000014</v>
      </c>
      <c r="AA28" s="8" t="s">
        <v>89</v>
      </c>
      <c r="AB28" s="8" t="s">
        <v>138</v>
      </c>
      <c r="AC28" s="8" t="s">
        <v>92</v>
      </c>
      <c r="AD28" s="10">
        <v>39814</v>
      </c>
      <c r="AE28" s="10">
        <v>40123</v>
      </c>
      <c r="AF28" s="8"/>
      <c r="AG28" s="8" t="s">
        <v>268</v>
      </c>
      <c r="AH28" s="8" t="s">
        <v>73</v>
      </c>
      <c r="AI28" s="8"/>
      <c r="AJ28" s="8"/>
      <c r="AK28" s="8"/>
      <c r="AL28" s="8"/>
      <c r="AM28" s="8"/>
      <c r="AN28" s="8"/>
      <c r="AO28" s="8"/>
      <c r="AP28" s="8"/>
      <c r="AQ28" s="8" t="s">
        <v>676</v>
      </c>
    </row>
    <row r="29" spans="1:43" ht="15" customHeight="1" x14ac:dyDescent="0.35">
      <c r="A29" s="8"/>
      <c r="B29" s="8" t="s">
        <v>775</v>
      </c>
      <c r="C29" s="8">
        <v>213</v>
      </c>
      <c r="D29" s="8" t="s">
        <v>424</v>
      </c>
      <c r="E29" s="8" t="str">
        <f t="shared" si="0"/>
        <v>Wai Yip Street, 213</v>
      </c>
      <c r="F29" s="8" t="s">
        <v>751</v>
      </c>
      <c r="G29" s="8" t="s">
        <v>50</v>
      </c>
      <c r="H29" s="8" t="s">
        <v>50</v>
      </c>
      <c r="I29" s="8" t="e">
        <f>VLOOKUP(K29,Reference!$A$2:$B$27,2,FALSE)</f>
        <v>#N/A</v>
      </c>
      <c r="J29" s="8" t="s">
        <v>41</v>
      </c>
      <c r="K29" s="8" t="s">
        <v>14</v>
      </c>
      <c r="L29" s="15">
        <v>2014</v>
      </c>
      <c r="M29" s="8">
        <v>2</v>
      </c>
      <c r="N29" s="8" t="str">
        <f t="shared" si="1"/>
        <v>2014 Q2</v>
      </c>
      <c r="O29" s="8" t="s">
        <v>748</v>
      </c>
      <c r="P29" s="8" t="s">
        <v>83</v>
      </c>
      <c r="Q29" s="8">
        <v>1</v>
      </c>
      <c r="R29" s="8">
        <v>10</v>
      </c>
      <c r="S29" s="11">
        <f>V29/R29</f>
        <v>23093.4</v>
      </c>
      <c r="T29" s="8" t="str">
        <f t="shared" si="2"/>
        <v>Yes</v>
      </c>
      <c r="U29" s="11">
        <f>V29/10.764</f>
        <v>21454.292084726869</v>
      </c>
      <c r="V29" s="11">
        <v>230934</v>
      </c>
      <c r="W29" s="11">
        <f>U29*0.75</f>
        <v>16090.719063545152</v>
      </c>
      <c r="X29" s="11">
        <f>W29*10.764</f>
        <v>173200.5</v>
      </c>
      <c r="Y29" s="11"/>
      <c r="Z29" s="11">
        <f t="shared" si="3"/>
        <v>173200.5</v>
      </c>
      <c r="AA29" s="8"/>
      <c r="AB29" s="8"/>
      <c r="AC29" s="8"/>
      <c r="AD29" s="10"/>
      <c r="AE29" s="10">
        <v>41429</v>
      </c>
      <c r="AF29" s="8" t="s">
        <v>748</v>
      </c>
      <c r="AG29" s="8" t="s">
        <v>756</v>
      </c>
      <c r="AH29" s="8" t="s">
        <v>73</v>
      </c>
      <c r="AI29" s="8" t="s">
        <v>705</v>
      </c>
      <c r="AJ29" s="8" t="s">
        <v>81</v>
      </c>
      <c r="AK29" s="8"/>
      <c r="AL29" s="8"/>
      <c r="AM29" s="8"/>
      <c r="AN29" s="8"/>
      <c r="AO29" s="8"/>
      <c r="AP29" s="8"/>
      <c r="AQ29" s="8" t="s">
        <v>752</v>
      </c>
    </row>
    <row r="30" spans="1:43" ht="14.9" customHeight="1" x14ac:dyDescent="0.35">
      <c r="A30" s="8"/>
      <c r="B30" s="8" t="s">
        <v>206</v>
      </c>
      <c r="C30" s="8" t="s">
        <v>207</v>
      </c>
      <c r="D30" s="8" t="s">
        <v>169</v>
      </c>
      <c r="E30" s="8" t="str">
        <f t="shared" si="0"/>
        <v>Tsun Yip Street, 43-45</v>
      </c>
      <c r="F30" s="8"/>
      <c r="G30" s="8" t="s">
        <v>50</v>
      </c>
      <c r="H30" s="8" t="s">
        <v>50</v>
      </c>
      <c r="I30" s="8" t="e">
        <f>VLOOKUP(K30,Reference!$A$2:$B$27,2,FALSE)</f>
        <v>#N/A</v>
      </c>
      <c r="J30" s="8" t="s">
        <v>41</v>
      </c>
      <c r="K30" s="8" t="s">
        <v>14</v>
      </c>
      <c r="L30" s="15">
        <v>2013</v>
      </c>
      <c r="M30" s="8">
        <v>4</v>
      </c>
      <c r="N30" s="8" t="str">
        <f t="shared" si="1"/>
        <v>2013 Q4</v>
      </c>
      <c r="O30" s="8" t="s">
        <v>21</v>
      </c>
      <c r="P30" s="8" t="s">
        <v>83</v>
      </c>
      <c r="Q30" s="8">
        <v>1</v>
      </c>
      <c r="R30" s="8" t="s">
        <v>208</v>
      </c>
      <c r="S30" s="14">
        <f>V30/23</f>
        <v>4783.2407999999996</v>
      </c>
      <c r="T30" s="8" t="str">
        <f t="shared" si="2"/>
        <v>No</v>
      </c>
      <c r="U30" s="11">
        <v>10220.6</v>
      </c>
      <c r="V30" s="11">
        <f>+U30*10.764</f>
        <v>110014.53839999999</v>
      </c>
      <c r="W30" s="11">
        <f>X30/10.764</f>
        <v>7665.4500000000007</v>
      </c>
      <c r="X30" s="11">
        <f>V30*0.75</f>
        <v>82510.9038</v>
      </c>
      <c r="Y30" s="11"/>
      <c r="Z30" s="11">
        <f t="shared" si="3"/>
        <v>82510.9038</v>
      </c>
      <c r="AA30" s="8" t="s">
        <v>89</v>
      </c>
      <c r="AB30" s="8" t="s">
        <v>138</v>
      </c>
      <c r="AC30" s="8" t="s">
        <v>92</v>
      </c>
      <c r="AD30" s="10">
        <v>40299</v>
      </c>
      <c r="AE30" s="10">
        <v>40392</v>
      </c>
      <c r="AF30" s="8"/>
      <c r="AG30" s="8" t="s">
        <v>209</v>
      </c>
      <c r="AH30" s="8" t="s">
        <v>73</v>
      </c>
      <c r="AI30" s="8" t="s">
        <v>705</v>
      </c>
      <c r="AJ30" s="8"/>
      <c r="AK30" s="8"/>
      <c r="AL30" s="8"/>
      <c r="AM30" s="8"/>
      <c r="AN30" s="8"/>
      <c r="AO30" s="8"/>
      <c r="AP30" s="8"/>
      <c r="AQ30" s="8" t="s">
        <v>210</v>
      </c>
    </row>
    <row r="31" spans="1:43" ht="15" customHeight="1" x14ac:dyDescent="0.35">
      <c r="A31" s="8" t="s">
        <v>233</v>
      </c>
      <c r="B31" s="8" t="s">
        <v>234</v>
      </c>
      <c r="C31" s="8" t="s">
        <v>235</v>
      </c>
      <c r="D31" s="8" t="s">
        <v>236</v>
      </c>
      <c r="E31" s="8" t="str">
        <f t="shared" si="0"/>
        <v>Nathan Road, 724-726</v>
      </c>
      <c r="F31" s="8"/>
      <c r="G31" s="8" t="s">
        <v>10</v>
      </c>
      <c r="H31" s="8" t="s">
        <v>46</v>
      </c>
      <c r="I31" s="8" t="e">
        <f>VLOOKUP(K31,Reference!$A$2:$B$27,2,FALSE)</f>
        <v>#N/A</v>
      </c>
      <c r="J31" s="8" t="s">
        <v>41</v>
      </c>
      <c r="K31" s="8" t="s">
        <v>10</v>
      </c>
      <c r="L31" s="15">
        <v>2013</v>
      </c>
      <c r="M31" s="8">
        <v>3</v>
      </c>
      <c r="N31" s="8" t="str">
        <f t="shared" si="1"/>
        <v>2013 Q3</v>
      </c>
      <c r="O31" s="8" t="s">
        <v>21</v>
      </c>
      <c r="P31" s="8" t="s">
        <v>83</v>
      </c>
      <c r="Q31" s="8">
        <v>1</v>
      </c>
      <c r="R31" s="8">
        <v>22</v>
      </c>
      <c r="S31" s="14">
        <f>+V31/R31</f>
        <v>1673.5084363636363</v>
      </c>
      <c r="T31" s="8" t="str">
        <f t="shared" si="2"/>
        <v>No</v>
      </c>
      <c r="U31" s="11">
        <v>3420.4</v>
      </c>
      <c r="V31" s="11">
        <f>+U31*10.764</f>
        <v>36817.185599999997</v>
      </c>
      <c r="W31" s="11">
        <f>X31/10.764</f>
        <v>2565.2999999999997</v>
      </c>
      <c r="X31" s="11">
        <f>V31*0.75</f>
        <v>27612.889199999998</v>
      </c>
      <c r="Y31" s="11"/>
      <c r="Z31" s="11">
        <f t="shared" si="3"/>
        <v>27612.889199999998</v>
      </c>
      <c r="AA31" s="8" t="s">
        <v>89</v>
      </c>
      <c r="AB31" s="8" t="s">
        <v>138</v>
      </c>
      <c r="AC31" s="8" t="s">
        <v>92</v>
      </c>
      <c r="AD31" s="10">
        <v>40634</v>
      </c>
      <c r="AE31" s="10">
        <v>40694</v>
      </c>
      <c r="AF31" s="8" t="s">
        <v>30</v>
      </c>
      <c r="AG31" s="8" t="s">
        <v>237</v>
      </c>
      <c r="AH31" s="8"/>
      <c r="AI31" s="8" t="s">
        <v>705</v>
      </c>
      <c r="AJ31" s="8"/>
      <c r="AK31" s="8"/>
      <c r="AL31" s="8"/>
      <c r="AM31" s="8"/>
      <c r="AN31" s="8"/>
      <c r="AO31" s="8"/>
      <c r="AP31" s="8"/>
      <c r="AQ31" s="8" t="s">
        <v>238</v>
      </c>
    </row>
    <row r="32" spans="1:43" ht="14.9" customHeight="1" x14ac:dyDescent="0.35">
      <c r="A32" s="8"/>
      <c r="B32" s="8" t="s">
        <v>164</v>
      </c>
      <c r="C32" s="8" t="s">
        <v>165</v>
      </c>
      <c r="D32" s="8" t="s">
        <v>166</v>
      </c>
      <c r="E32" s="8" t="str">
        <f t="shared" si="0"/>
        <v>Luk Hop Street, 15-19</v>
      </c>
      <c r="F32" s="8"/>
      <c r="G32" s="8" t="s">
        <v>11</v>
      </c>
      <c r="H32" s="8" t="s">
        <v>48</v>
      </c>
      <c r="I32" s="8" t="str">
        <f>VLOOKUP(K32,Reference!$A$2:$B$27,2,FALSE)</f>
        <v>Kowloon Others</v>
      </c>
      <c r="J32" s="8" t="s">
        <v>41</v>
      </c>
      <c r="K32" s="8" t="s">
        <v>11</v>
      </c>
      <c r="L32" s="15">
        <v>2013</v>
      </c>
      <c r="M32" s="8">
        <v>2</v>
      </c>
      <c r="N32" s="8" t="str">
        <f t="shared" si="1"/>
        <v>2013 Q2</v>
      </c>
      <c r="O32" s="8" t="s">
        <v>163</v>
      </c>
      <c r="P32" s="8" t="s">
        <v>83</v>
      </c>
      <c r="Q32" s="8">
        <v>1</v>
      </c>
      <c r="R32" s="8" t="s">
        <v>167</v>
      </c>
      <c r="S32" s="14">
        <f>+V32/32</f>
        <v>8925.0042374999994</v>
      </c>
      <c r="T32" s="8" t="str">
        <f t="shared" si="2"/>
        <v>No</v>
      </c>
      <c r="U32" s="11">
        <v>26532.9</v>
      </c>
      <c r="V32" s="11">
        <f>+U32*10.764</f>
        <v>285600.13559999998</v>
      </c>
      <c r="W32" s="11">
        <f>X32/10.764</f>
        <v>19899.675000000003</v>
      </c>
      <c r="X32" s="11">
        <f>V32*0.75</f>
        <v>214200.1017</v>
      </c>
      <c r="Y32" s="11"/>
      <c r="Z32" s="11">
        <f t="shared" si="3"/>
        <v>214200.1017</v>
      </c>
      <c r="AA32" s="8" t="s">
        <v>89</v>
      </c>
      <c r="AB32" s="8" t="s">
        <v>138</v>
      </c>
      <c r="AC32" s="8" t="s">
        <v>92</v>
      </c>
      <c r="AD32" s="10">
        <v>39539</v>
      </c>
      <c r="AE32" s="10">
        <v>40317</v>
      </c>
      <c r="AF32" s="8"/>
      <c r="AG32" s="8" t="s">
        <v>144</v>
      </c>
      <c r="AH32" s="8" t="s">
        <v>73</v>
      </c>
      <c r="AI32" s="8"/>
      <c r="AJ32" s="8" t="s">
        <v>81</v>
      </c>
      <c r="AK32" s="8"/>
      <c r="AL32" s="8"/>
      <c r="AM32" s="8"/>
      <c r="AN32" s="8"/>
      <c r="AO32" s="8"/>
      <c r="AP32" s="8"/>
      <c r="AQ32" s="8" t="s">
        <v>168</v>
      </c>
    </row>
    <row r="33" spans="1:43" ht="15" customHeight="1" x14ac:dyDescent="0.35">
      <c r="A33" s="8"/>
      <c r="B33" s="8" t="s">
        <v>217</v>
      </c>
      <c r="C33" s="8" t="s">
        <v>218</v>
      </c>
      <c r="D33" s="8" t="s">
        <v>219</v>
      </c>
      <c r="E33" s="8" t="str">
        <f t="shared" si="0"/>
        <v>Granville Road, 21A, 21B &amp; 21C</v>
      </c>
      <c r="F33" s="8"/>
      <c r="G33" s="8" t="s">
        <v>8</v>
      </c>
      <c r="H33" s="8" t="s">
        <v>46</v>
      </c>
      <c r="I33" s="8" t="str">
        <f>VLOOKUP(K33,Reference!$A$2:$B$27,2,FALSE)</f>
        <v>Tsim Sha Tsui</v>
      </c>
      <c r="J33" s="8" t="s">
        <v>41</v>
      </c>
      <c r="K33" s="8" t="s">
        <v>8</v>
      </c>
      <c r="L33" s="15">
        <v>2013</v>
      </c>
      <c r="M33" s="8">
        <v>2</v>
      </c>
      <c r="N33" s="8" t="str">
        <f t="shared" si="1"/>
        <v>2013 Q2</v>
      </c>
      <c r="O33" s="8" t="s">
        <v>21</v>
      </c>
      <c r="P33" s="8" t="s">
        <v>83</v>
      </c>
      <c r="Q33" s="8">
        <v>1</v>
      </c>
      <c r="R33" s="8">
        <v>23</v>
      </c>
      <c r="S33" s="14">
        <f>+V33/R33</f>
        <v>2165.9508000000001</v>
      </c>
      <c r="T33" s="8" t="str">
        <f t="shared" si="2"/>
        <v>No</v>
      </c>
      <c r="U33" s="11">
        <v>4628.1000000000004</v>
      </c>
      <c r="V33" s="11">
        <f>+U33*10.764</f>
        <v>49816.868399999999</v>
      </c>
      <c r="W33" s="11">
        <f>X33/10.764</f>
        <v>3471.0749999999998</v>
      </c>
      <c r="X33" s="11">
        <f>V33*0.75</f>
        <v>37362.651299999998</v>
      </c>
      <c r="Y33" s="11"/>
      <c r="Z33" s="11">
        <f t="shared" si="3"/>
        <v>37362.651299999998</v>
      </c>
      <c r="AA33" s="8" t="s">
        <v>179</v>
      </c>
      <c r="AB33" s="8" t="s">
        <v>138</v>
      </c>
      <c r="AC33" s="8" t="s">
        <v>92</v>
      </c>
      <c r="AD33" s="10">
        <v>40483</v>
      </c>
      <c r="AE33" s="10">
        <v>40672</v>
      </c>
      <c r="AF33" s="8"/>
      <c r="AG33" s="8" t="s">
        <v>220</v>
      </c>
      <c r="AH33" s="8"/>
      <c r="AI33" s="8" t="s">
        <v>705</v>
      </c>
      <c r="AJ33" s="8"/>
      <c r="AK33" s="8"/>
      <c r="AL33" s="8"/>
      <c r="AM33" s="8"/>
      <c r="AN33" s="8"/>
      <c r="AO33" s="8"/>
      <c r="AP33" s="8"/>
      <c r="AQ33" s="8" t="s">
        <v>216</v>
      </c>
    </row>
    <row r="34" spans="1:43" s="27" customFormat="1" x14ac:dyDescent="0.35">
      <c r="A34" s="8"/>
      <c r="B34" s="8" t="s">
        <v>782</v>
      </c>
      <c r="C34" s="8" t="s">
        <v>750</v>
      </c>
      <c r="D34" s="8" t="s">
        <v>121</v>
      </c>
      <c r="E34" s="8" t="str">
        <f t="shared" ref="E34:E65" si="4">CONCATENATE(D34,", ",C34)</f>
        <v>Hung To Road, 73-75</v>
      </c>
      <c r="F34" s="8"/>
      <c r="G34" s="8" t="s">
        <v>50</v>
      </c>
      <c r="H34" s="8" t="s">
        <v>50</v>
      </c>
      <c r="I34" s="8" t="e">
        <f>VLOOKUP(K34,Reference!$A$2:$B$27,2,FALSE)</f>
        <v>#N/A</v>
      </c>
      <c r="J34" s="8" t="s">
        <v>41</v>
      </c>
      <c r="K34" s="8" t="s">
        <v>14</v>
      </c>
      <c r="L34" s="15">
        <v>2014</v>
      </c>
      <c r="M34" s="8">
        <v>4</v>
      </c>
      <c r="N34" s="8" t="str">
        <f t="shared" ref="N34:N65" si="5">IF(ISNUMBER(M34),CONCATENATE(L34," Q",M34),CONCATENATE(L34,M34))</f>
        <v>2014 Q4</v>
      </c>
      <c r="O34" s="8" t="s">
        <v>748</v>
      </c>
      <c r="P34" s="8" t="s">
        <v>83</v>
      </c>
      <c r="Q34" s="8">
        <v>1</v>
      </c>
      <c r="R34" s="8">
        <v>12</v>
      </c>
      <c r="S34" s="11">
        <f>V34/R34</f>
        <v>17185.416666666668</v>
      </c>
      <c r="T34" s="8" t="str">
        <f t="shared" ref="T34:T65" si="6">IF(S34&gt;=10000,"Yes",IF(S34="","Unknown","No"))</f>
        <v>Yes</v>
      </c>
      <c r="U34" s="11">
        <f>V34/10.764</f>
        <v>19158.769973987368</v>
      </c>
      <c r="V34" s="11">
        <v>206225</v>
      </c>
      <c r="W34" s="11">
        <f>U34*0.75</f>
        <v>14369.077480490527</v>
      </c>
      <c r="X34" s="11">
        <f>W34*10.764</f>
        <v>154668.75000000003</v>
      </c>
      <c r="Y34" s="11"/>
      <c r="Z34" s="11">
        <f t="shared" ref="Z34:Z65" si="7">IF(ISBLANK(X34),"",X34-Y34)</f>
        <v>154668.75000000003</v>
      </c>
      <c r="AA34" s="8"/>
      <c r="AB34" s="8"/>
      <c r="AC34" s="8"/>
      <c r="AD34" s="10"/>
      <c r="AE34" s="10">
        <v>41429</v>
      </c>
      <c r="AF34" s="8" t="s">
        <v>748</v>
      </c>
      <c r="AG34" s="8" t="s">
        <v>681</v>
      </c>
      <c r="AH34" s="8" t="s">
        <v>73</v>
      </c>
      <c r="AI34" s="8" t="s">
        <v>705</v>
      </c>
      <c r="AJ34" s="8" t="s">
        <v>81</v>
      </c>
      <c r="AK34" s="8"/>
      <c r="AL34" s="8"/>
      <c r="AM34" s="8"/>
      <c r="AN34" s="8"/>
      <c r="AO34" s="8"/>
      <c r="AP34" s="8"/>
      <c r="AQ34" s="8"/>
    </row>
    <row r="35" spans="1:43" ht="14.9" customHeight="1" x14ac:dyDescent="0.35">
      <c r="A35" s="8"/>
      <c r="B35" s="8" t="s">
        <v>244</v>
      </c>
      <c r="C35" s="8" t="s">
        <v>245</v>
      </c>
      <c r="D35" s="8" t="s">
        <v>219</v>
      </c>
      <c r="E35" s="8" t="str">
        <f t="shared" si="4"/>
        <v>Granville Road, 31 &amp; 31A</v>
      </c>
      <c r="F35" s="8"/>
      <c r="G35" s="8" t="s">
        <v>8</v>
      </c>
      <c r="H35" s="8" t="s">
        <v>46</v>
      </c>
      <c r="I35" s="8" t="str">
        <f>VLOOKUP(K35,Reference!$A$2:$B$27,2,FALSE)</f>
        <v>Tsim Sha Tsui</v>
      </c>
      <c r="J35" s="8" t="s">
        <v>41</v>
      </c>
      <c r="K35" s="8" t="s">
        <v>8</v>
      </c>
      <c r="L35" s="15">
        <v>2013</v>
      </c>
      <c r="M35" s="8">
        <v>3</v>
      </c>
      <c r="N35" s="8" t="str">
        <f t="shared" si="5"/>
        <v>2013 Q3</v>
      </c>
      <c r="O35" s="8" t="s">
        <v>21</v>
      </c>
      <c r="P35" s="8" t="s">
        <v>83</v>
      </c>
      <c r="Q35" s="8">
        <v>1</v>
      </c>
      <c r="R35" s="8" t="s">
        <v>246</v>
      </c>
      <c r="S35" s="14">
        <f>+V35/21</f>
        <v>1597.8571428571429</v>
      </c>
      <c r="T35" s="8" t="str">
        <f t="shared" si="6"/>
        <v>No</v>
      </c>
      <c r="U35" s="11">
        <v>3117</v>
      </c>
      <c r="V35" s="11">
        <v>33555</v>
      </c>
      <c r="W35" s="11">
        <v>1969</v>
      </c>
      <c r="X35" s="11">
        <v>21191</v>
      </c>
      <c r="Y35" s="11"/>
      <c r="Z35" s="11">
        <f t="shared" si="7"/>
        <v>21191</v>
      </c>
      <c r="AA35" s="8" t="s">
        <v>89</v>
      </c>
      <c r="AB35" s="8" t="s">
        <v>90</v>
      </c>
      <c r="AC35" s="8" t="s">
        <v>92</v>
      </c>
      <c r="AD35" s="10">
        <v>41487</v>
      </c>
      <c r="AE35" s="10">
        <v>41730</v>
      </c>
      <c r="AF35" s="8"/>
      <c r="AG35" s="8" t="s">
        <v>247</v>
      </c>
      <c r="AH35" s="8"/>
      <c r="AI35" s="8" t="s">
        <v>705</v>
      </c>
      <c r="AJ35" s="8"/>
      <c r="AK35" s="8"/>
      <c r="AL35" s="8"/>
      <c r="AM35" s="8"/>
      <c r="AN35" s="8"/>
      <c r="AO35" s="8"/>
      <c r="AP35" s="8"/>
      <c r="AQ35" s="8" t="s">
        <v>216</v>
      </c>
    </row>
    <row r="36" spans="1:43" ht="14.9" customHeight="1" x14ac:dyDescent="0.35">
      <c r="A36" s="8"/>
      <c r="B36" s="8" t="s">
        <v>211</v>
      </c>
      <c r="C36" s="8" t="s">
        <v>212</v>
      </c>
      <c r="D36" s="8" t="s">
        <v>213</v>
      </c>
      <c r="E36" s="8" t="str">
        <f t="shared" si="4"/>
        <v>Kimberley Road, 68-72C</v>
      </c>
      <c r="F36" s="8"/>
      <c r="G36" s="8" t="s">
        <v>8</v>
      </c>
      <c r="H36" s="8" t="s">
        <v>46</v>
      </c>
      <c r="I36" s="8" t="str">
        <f>VLOOKUP(K36,Reference!$A$2:$B$27,2,FALSE)</f>
        <v>Tsim Sha Tsui</v>
      </c>
      <c r="J36" s="8" t="s">
        <v>41</v>
      </c>
      <c r="K36" s="8" t="s">
        <v>8</v>
      </c>
      <c r="L36" s="15">
        <v>2013</v>
      </c>
      <c r="M36" s="8">
        <v>4</v>
      </c>
      <c r="N36" s="8" t="str">
        <f t="shared" si="5"/>
        <v>2013 Q4</v>
      </c>
      <c r="O36" s="8" t="s">
        <v>131</v>
      </c>
      <c r="P36" s="8" t="s">
        <v>86</v>
      </c>
      <c r="Q36" s="8">
        <v>1</v>
      </c>
      <c r="R36" s="8" t="s">
        <v>214</v>
      </c>
      <c r="S36" s="14">
        <f>V36/13</f>
        <v>8015.3711999999996</v>
      </c>
      <c r="T36" s="8" t="str">
        <f t="shared" si="6"/>
        <v>No</v>
      </c>
      <c r="U36" s="11">
        <v>9680.4</v>
      </c>
      <c r="V36" s="11">
        <f>+U36*10.764</f>
        <v>104199.8256</v>
      </c>
      <c r="W36" s="11">
        <f>X36/10.764</f>
        <v>7260.3</v>
      </c>
      <c r="X36" s="11">
        <f>V36*0.75</f>
        <v>78149.869200000001</v>
      </c>
      <c r="Y36" s="11"/>
      <c r="Z36" s="11">
        <f t="shared" si="7"/>
        <v>78149.869200000001</v>
      </c>
      <c r="AA36" s="8" t="s">
        <v>89</v>
      </c>
      <c r="AB36" s="8" t="s">
        <v>138</v>
      </c>
      <c r="AC36" s="8" t="s">
        <v>92</v>
      </c>
      <c r="AD36" s="10">
        <v>40299</v>
      </c>
      <c r="AE36" s="10">
        <v>40392</v>
      </c>
      <c r="AF36" s="8"/>
      <c r="AG36" s="8" t="s">
        <v>215</v>
      </c>
      <c r="AH36" s="8"/>
      <c r="AI36" s="8" t="s">
        <v>705</v>
      </c>
      <c r="AJ36" s="8"/>
      <c r="AK36" s="8"/>
      <c r="AL36" s="8"/>
      <c r="AM36" s="8"/>
      <c r="AN36" s="8"/>
      <c r="AO36" s="8"/>
      <c r="AP36" s="8"/>
      <c r="AQ36" s="8" t="s">
        <v>216</v>
      </c>
    </row>
    <row r="37" spans="1:43" ht="15" customHeight="1" x14ac:dyDescent="0.35">
      <c r="A37" s="8" t="s">
        <v>199</v>
      </c>
      <c r="B37" s="8" t="s">
        <v>200</v>
      </c>
      <c r="C37" s="8" t="s">
        <v>201</v>
      </c>
      <c r="D37" s="8" t="s">
        <v>202</v>
      </c>
      <c r="E37" s="8" t="str">
        <f t="shared" si="4"/>
        <v>Kwai Cheong Road, 72-76</v>
      </c>
      <c r="F37" s="8"/>
      <c r="G37" s="8" t="s">
        <v>112</v>
      </c>
      <c r="H37" s="8" t="s">
        <v>51</v>
      </c>
      <c r="I37" s="8" t="str">
        <f>VLOOKUP(K37,Reference!$A$2:$B$27,2,FALSE)</f>
        <v>New Territories</v>
      </c>
      <c r="J37" s="8" t="s">
        <v>42</v>
      </c>
      <c r="K37" s="8" t="s">
        <v>15</v>
      </c>
      <c r="L37" s="15">
        <v>2013</v>
      </c>
      <c r="M37" s="8" t="s">
        <v>175</v>
      </c>
      <c r="N37" s="8" t="str">
        <f t="shared" si="5"/>
        <v>2013+</v>
      </c>
      <c r="O37" s="8" t="s">
        <v>198</v>
      </c>
      <c r="P37" s="8" t="s">
        <v>86</v>
      </c>
      <c r="Q37" s="8">
        <v>1</v>
      </c>
      <c r="R37" s="8"/>
      <c r="S37" s="14"/>
      <c r="T37" s="8" t="str">
        <f t="shared" si="6"/>
        <v>Unknown</v>
      </c>
      <c r="U37" s="11">
        <f>V37/10.764</f>
        <v>11930.323299888518</v>
      </c>
      <c r="V37" s="11">
        <v>128418</v>
      </c>
      <c r="W37" s="11">
        <f>X37/10.764</f>
        <v>8947.7424749163893</v>
      </c>
      <c r="X37" s="11">
        <f>V37*0.75</f>
        <v>96313.5</v>
      </c>
      <c r="Y37" s="11"/>
      <c r="Z37" s="11">
        <f t="shared" si="7"/>
        <v>96313.5</v>
      </c>
      <c r="AA37" s="8" t="s">
        <v>89</v>
      </c>
      <c r="AB37" s="8" t="s">
        <v>113</v>
      </c>
      <c r="AC37" s="8" t="s">
        <v>203</v>
      </c>
      <c r="AD37" s="10"/>
      <c r="AE37" s="10"/>
      <c r="AF37" s="8"/>
      <c r="AG37" s="8" t="s">
        <v>114</v>
      </c>
      <c r="AH37" s="8" t="s">
        <v>73</v>
      </c>
      <c r="AI37" s="8"/>
      <c r="AJ37" s="8" t="s">
        <v>81</v>
      </c>
      <c r="AK37" s="8"/>
      <c r="AL37" s="8"/>
      <c r="AM37" s="8"/>
      <c r="AN37" s="8"/>
      <c r="AO37" s="8"/>
      <c r="AP37" s="8"/>
      <c r="AQ37" s="8" t="s">
        <v>769</v>
      </c>
    </row>
    <row r="38" spans="1:43" ht="15" customHeight="1" x14ac:dyDescent="0.35">
      <c r="A38" s="8"/>
      <c r="B38" s="8" t="s">
        <v>153</v>
      </c>
      <c r="C38" s="8"/>
      <c r="D38" s="8" t="s">
        <v>154</v>
      </c>
      <c r="E38" s="8" t="str">
        <f t="shared" si="4"/>
        <v xml:space="preserve">J/O On Yiu Street, On Kwan Street &amp; On Lai Street, </v>
      </c>
      <c r="F38" s="8" t="s">
        <v>155</v>
      </c>
      <c r="G38" s="8" t="s">
        <v>716</v>
      </c>
      <c r="H38" s="8" t="s">
        <v>57</v>
      </c>
      <c r="I38" s="8" t="e">
        <f>VLOOKUP(K38,Reference!$A$2:$B$27,2,FALSE)</f>
        <v>#N/A</v>
      </c>
      <c r="J38" s="8" t="s">
        <v>42</v>
      </c>
      <c r="K38" s="8" t="s">
        <v>16</v>
      </c>
      <c r="L38" s="15">
        <v>2013</v>
      </c>
      <c r="M38" s="8">
        <v>4</v>
      </c>
      <c r="N38" s="8" t="str">
        <f t="shared" si="5"/>
        <v>2013 Q4</v>
      </c>
      <c r="O38" s="8" t="s">
        <v>22</v>
      </c>
      <c r="P38" s="8" t="s">
        <v>86</v>
      </c>
      <c r="Q38" s="8">
        <v>1</v>
      </c>
      <c r="R38" s="8" t="s">
        <v>137</v>
      </c>
      <c r="S38" s="14">
        <f>V38/14</f>
        <v>33656.337</v>
      </c>
      <c r="T38" s="8" t="str">
        <f t="shared" si="6"/>
        <v>Yes</v>
      </c>
      <c r="U38" s="11">
        <v>43774.5</v>
      </c>
      <c r="V38" s="11">
        <f>U38*10.764</f>
        <v>471188.71799999999</v>
      </c>
      <c r="W38" s="11">
        <v>25125.9</v>
      </c>
      <c r="X38" s="11">
        <f>W38*10.764</f>
        <v>270455.1876</v>
      </c>
      <c r="Y38" s="11"/>
      <c r="Z38" s="11">
        <f t="shared" si="7"/>
        <v>270455.1876</v>
      </c>
      <c r="AA38" s="8" t="s">
        <v>156</v>
      </c>
      <c r="AB38" s="8" t="s">
        <v>96</v>
      </c>
      <c r="AC38" s="8" t="s">
        <v>92</v>
      </c>
      <c r="AD38" s="10">
        <v>40940</v>
      </c>
      <c r="AE38" s="10">
        <v>41072</v>
      </c>
      <c r="AF38" s="8" t="s">
        <v>29</v>
      </c>
      <c r="AG38" s="8" t="s">
        <v>157</v>
      </c>
      <c r="AH38" s="8" t="s">
        <v>73</v>
      </c>
      <c r="AI38" s="8"/>
      <c r="AJ38" s="8" t="s">
        <v>81</v>
      </c>
      <c r="AK38" s="8"/>
      <c r="AL38" s="8"/>
      <c r="AM38" s="8"/>
      <c r="AN38" s="8"/>
      <c r="AO38" s="8"/>
      <c r="AP38" s="8"/>
      <c r="AQ38" s="8" t="s">
        <v>158</v>
      </c>
    </row>
    <row r="39" spans="1:43" ht="15" customHeight="1" x14ac:dyDescent="0.35">
      <c r="A39" s="8"/>
      <c r="B39" s="8" t="s">
        <v>192</v>
      </c>
      <c r="C39" s="8" t="s">
        <v>193</v>
      </c>
      <c r="D39" s="8" t="s">
        <v>194</v>
      </c>
      <c r="E39" s="8" t="str">
        <f t="shared" si="4"/>
        <v>Lung Sum Avenue, 48</v>
      </c>
      <c r="F39" s="8"/>
      <c r="G39" s="8" t="s">
        <v>17</v>
      </c>
      <c r="H39" s="8" t="s">
        <v>55</v>
      </c>
      <c r="I39" s="8" t="str">
        <f>VLOOKUP(K39,Reference!$A$2:$B$27,2,FALSE)</f>
        <v>New Territories</v>
      </c>
      <c r="J39" s="8" t="s">
        <v>42</v>
      </c>
      <c r="K39" s="8" t="s">
        <v>17</v>
      </c>
      <c r="L39" s="15">
        <v>2013</v>
      </c>
      <c r="M39" s="8">
        <v>3</v>
      </c>
      <c r="N39" s="8" t="str">
        <f t="shared" si="5"/>
        <v>2013 Q3</v>
      </c>
      <c r="O39" s="8" t="s">
        <v>21</v>
      </c>
      <c r="P39" s="8" t="s">
        <v>83</v>
      </c>
      <c r="Q39" s="8">
        <v>1</v>
      </c>
      <c r="R39" s="8" t="s">
        <v>195</v>
      </c>
      <c r="S39" s="14">
        <f>V39/16</f>
        <v>8446.5108</v>
      </c>
      <c r="T39" s="8" t="str">
        <f t="shared" si="6"/>
        <v>No</v>
      </c>
      <c r="U39" s="11">
        <v>12555.2</v>
      </c>
      <c r="V39" s="11">
        <f>+U39*10.764</f>
        <v>135144.1728</v>
      </c>
      <c r="W39" s="11">
        <f>X39/10.764</f>
        <v>9416.4000000000015</v>
      </c>
      <c r="X39" s="11">
        <f>V39*0.75</f>
        <v>101358.1296</v>
      </c>
      <c r="Y39" s="11"/>
      <c r="Z39" s="11">
        <f t="shared" si="7"/>
        <v>101358.1296</v>
      </c>
      <c r="AA39" s="8" t="s">
        <v>179</v>
      </c>
      <c r="AB39" s="8" t="s">
        <v>138</v>
      </c>
      <c r="AC39" s="8" t="s">
        <v>92</v>
      </c>
      <c r="AD39" s="10">
        <v>40664</v>
      </c>
      <c r="AE39" s="10">
        <v>40737</v>
      </c>
      <c r="AF39" s="8"/>
      <c r="AG39" s="8" t="s">
        <v>196</v>
      </c>
      <c r="AH39" s="8" t="s">
        <v>73</v>
      </c>
      <c r="AI39" s="8" t="s">
        <v>705</v>
      </c>
      <c r="AJ39" s="8"/>
      <c r="AK39" s="8"/>
      <c r="AL39" s="8"/>
      <c r="AM39" s="8"/>
      <c r="AN39" s="8"/>
      <c r="AO39" s="8"/>
      <c r="AP39" s="8"/>
      <c r="AQ39" s="8" t="s">
        <v>197</v>
      </c>
    </row>
    <row r="40" spans="1:43" ht="15" customHeight="1" x14ac:dyDescent="0.35">
      <c r="A40" s="8"/>
      <c r="B40" s="8" t="s">
        <v>303</v>
      </c>
      <c r="C40" s="8" t="s">
        <v>304</v>
      </c>
      <c r="D40" s="8" t="s">
        <v>190</v>
      </c>
      <c r="E40" s="8" t="str">
        <f t="shared" si="4"/>
        <v>Tang Lung Street, 8-14</v>
      </c>
      <c r="F40" s="8"/>
      <c r="G40" s="8" t="s">
        <v>5</v>
      </c>
      <c r="H40" s="8" t="s">
        <v>4</v>
      </c>
      <c r="I40" s="8" t="str">
        <f>VLOOKUP(K40,Reference!$A$2:$B$27,2,FALSE)</f>
        <v>Wan Chai &amp; Causeway Bay</v>
      </c>
      <c r="J40" s="8" t="s">
        <v>40</v>
      </c>
      <c r="K40" s="8" t="s">
        <v>5</v>
      </c>
      <c r="L40" s="15">
        <v>2014</v>
      </c>
      <c r="M40" s="8">
        <v>1</v>
      </c>
      <c r="N40" s="8" t="str">
        <f t="shared" si="5"/>
        <v>2014 Q1</v>
      </c>
      <c r="O40" s="8" t="s">
        <v>21</v>
      </c>
      <c r="P40" s="8" t="s">
        <v>83</v>
      </c>
      <c r="Q40" s="8">
        <v>1</v>
      </c>
      <c r="R40" s="8">
        <v>27</v>
      </c>
      <c r="S40" s="14">
        <f>V40/R40</f>
        <v>3680.6899999999996</v>
      </c>
      <c r="T40" s="8" t="str">
        <f t="shared" si="6"/>
        <v>No</v>
      </c>
      <c r="U40" s="11">
        <v>9232.5</v>
      </c>
      <c r="V40" s="11">
        <f>U40*10.764</f>
        <v>99378.62999999999</v>
      </c>
      <c r="W40" s="11">
        <f>X40/10.764</f>
        <v>6924.3749999999991</v>
      </c>
      <c r="X40" s="11">
        <f>V40*0.75</f>
        <v>74533.972499999989</v>
      </c>
      <c r="Y40" s="11"/>
      <c r="Z40" s="11">
        <f t="shared" si="7"/>
        <v>74533.972499999989</v>
      </c>
      <c r="AA40" s="8" t="s">
        <v>89</v>
      </c>
      <c r="AB40" s="8" t="s">
        <v>138</v>
      </c>
      <c r="AC40" s="8" t="s">
        <v>92</v>
      </c>
      <c r="AD40" s="10">
        <v>40664</v>
      </c>
      <c r="AE40" s="10">
        <v>40736</v>
      </c>
      <c r="AF40" s="8" t="s">
        <v>30</v>
      </c>
      <c r="AG40" s="8" t="s">
        <v>305</v>
      </c>
      <c r="AH40" s="8" t="s">
        <v>73</v>
      </c>
      <c r="AI40" s="8"/>
      <c r="AJ40" s="8"/>
      <c r="AK40" s="8"/>
      <c r="AL40" s="8"/>
      <c r="AM40" s="8"/>
      <c r="AN40" s="8"/>
      <c r="AO40" s="8"/>
      <c r="AP40" s="8"/>
      <c r="AQ40" s="8" t="s">
        <v>665</v>
      </c>
    </row>
    <row r="41" spans="1:43" ht="15" customHeight="1" x14ac:dyDescent="0.35">
      <c r="A41" s="8" t="s">
        <v>627</v>
      </c>
      <c r="B41" s="8" t="s">
        <v>628</v>
      </c>
      <c r="C41" s="8">
        <v>23</v>
      </c>
      <c r="D41" s="8" t="s">
        <v>629</v>
      </c>
      <c r="E41" s="8" t="str">
        <f t="shared" si="4"/>
        <v>Yip Kan Street, 23</v>
      </c>
      <c r="F41" s="8"/>
      <c r="G41" s="8" t="s">
        <v>130</v>
      </c>
      <c r="H41" s="8" t="s">
        <v>45</v>
      </c>
      <c r="I41" s="8" t="e">
        <f>VLOOKUP(K41,Reference!$A$2:$B$27,2,FALSE)</f>
        <v>#N/A</v>
      </c>
      <c r="J41" s="8" t="s">
        <v>40</v>
      </c>
      <c r="K41" s="8" t="s">
        <v>22</v>
      </c>
      <c r="L41" s="15"/>
      <c r="M41" s="8" t="s">
        <v>363</v>
      </c>
      <c r="N41" s="8" t="str">
        <f t="shared" si="5"/>
        <v/>
      </c>
      <c r="O41" s="8" t="s">
        <v>123</v>
      </c>
      <c r="P41" s="8" t="s">
        <v>85</v>
      </c>
      <c r="Q41" s="8"/>
      <c r="R41" s="8"/>
      <c r="S41" s="14"/>
      <c r="T41" s="8" t="str">
        <f t="shared" si="6"/>
        <v>Unknown</v>
      </c>
      <c r="U41" s="11"/>
      <c r="V41" s="11"/>
      <c r="W41" s="11"/>
      <c r="X41" s="11"/>
      <c r="Y41" s="11"/>
      <c r="Z41" s="11" t="str">
        <f t="shared" si="7"/>
        <v/>
      </c>
      <c r="AA41" s="8" t="s">
        <v>123</v>
      </c>
      <c r="AB41" s="8" t="s">
        <v>113</v>
      </c>
      <c r="AC41" s="8"/>
      <c r="AD41" s="10"/>
      <c r="AE41" s="10"/>
      <c r="AF41" s="8" t="s">
        <v>30</v>
      </c>
      <c r="AG41" s="8"/>
      <c r="AH41" s="8"/>
      <c r="AI41" s="8"/>
      <c r="AJ41" s="8" t="s">
        <v>81</v>
      </c>
      <c r="AK41" s="8"/>
      <c r="AL41" s="8"/>
      <c r="AM41" s="8"/>
      <c r="AN41" s="8"/>
      <c r="AO41" s="8"/>
      <c r="AP41" s="8"/>
      <c r="AQ41" s="8" t="s">
        <v>673</v>
      </c>
    </row>
    <row r="42" spans="1:43" ht="15" customHeight="1" x14ac:dyDescent="0.35">
      <c r="A42" s="8" t="s">
        <v>630</v>
      </c>
      <c r="B42" s="8" t="s">
        <v>631</v>
      </c>
      <c r="C42" s="8">
        <v>28</v>
      </c>
      <c r="D42" s="8" t="s">
        <v>132</v>
      </c>
      <c r="E42" s="8" t="str">
        <f t="shared" si="4"/>
        <v>Wong Chuk Hang Road, 28</v>
      </c>
      <c r="F42" s="8"/>
      <c r="G42" s="8" t="s">
        <v>130</v>
      </c>
      <c r="H42" s="8" t="s">
        <v>45</v>
      </c>
      <c r="I42" s="8" t="e">
        <f>VLOOKUP(K42,Reference!$A$2:$B$27,2,FALSE)</f>
        <v>#N/A</v>
      </c>
      <c r="J42" s="8" t="s">
        <v>40</v>
      </c>
      <c r="K42" s="8" t="s">
        <v>22</v>
      </c>
      <c r="L42" s="15"/>
      <c r="M42" s="8" t="s">
        <v>363</v>
      </c>
      <c r="N42" s="8" t="str">
        <f t="shared" si="5"/>
        <v/>
      </c>
      <c r="O42" s="8" t="s">
        <v>123</v>
      </c>
      <c r="P42" s="8" t="s">
        <v>85</v>
      </c>
      <c r="Q42" s="8"/>
      <c r="R42" s="8"/>
      <c r="S42" s="14"/>
      <c r="T42" s="8" t="str">
        <f t="shared" si="6"/>
        <v>Unknown</v>
      </c>
      <c r="U42" s="11"/>
      <c r="V42" s="11"/>
      <c r="W42" s="11"/>
      <c r="X42" s="11"/>
      <c r="Y42" s="11"/>
      <c r="Z42" s="11" t="str">
        <f t="shared" si="7"/>
        <v/>
      </c>
      <c r="AA42" s="8" t="s">
        <v>123</v>
      </c>
      <c r="AB42" s="8" t="s">
        <v>113</v>
      </c>
      <c r="AC42" s="8"/>
      <c r="AD42" s="10"/>
      <c r="AE42" s="10"/>
      <c r="AF42" s="8"/>
      <c r="AG42" s="8"/>
      <c r="AH42" s="8"/>
      <c r="AI42" s="8"/>
      <c r="AJ42" s="8" t="s">
        <v>82</v>
      </c>
      <c r="AK42" s="8"/>
      <c r="AL42" s="8"/>
      <c r="AM42" s="8"/>
      <c r="AN42" s="8"/>
      <c r="AO42" s="8"/>
      <c r="AP42" s="8"/>
      <c r="AQ42" s="8" t="s">
        <v>632</v>
      </c>
    </row>
    <row r="43" spans="1:43" ht="15" customHeight="1" x14ac:dyDescent="0.35">
      <c r="A43" s="8"/>
      <c r="B43" s="8" t="s">
        <v>780</v>
      </c>
      <c r="C43" s="8">
        <v>100</v>
      </c>
      <c r="D43" s="8" t="s">
        <v>202</v>
      </c>
      <c r="E43" s="8" t="str">
        <f t="shared" si="4"/>
        <v>Kwai Cheong Road, 100</v>
      </c>
      <c r="F43" s="8"/>
      <c r="G43" s="8" t="s">
        <v>746</v>
      </c>
      <c r="H43" s="8" t="s">
        <v>51</v>
      </c>
      <c r="I43" s="8" t="str">
        <f>VLOOKUP(K43,Reference!$A$2:$B$27,2,FALSE)</f>
        <v>New Territories</v>
      </c>
      <c r="J43" s="8" t="s">
        <v>42</v>
      </c>
      <c r="K43" s="8" t="s">
        <v>15</v>
      </c>
      <c r="L43" s="15">
        <v>2014</v>
      </c>
      <c r="M43" s="8">
        <v>2</v>
      </c>
      <c r="N43" s="8" t="str">
        <f t="shared" si="5"/>
        <v>2014 Q2</v>
      </c>
      <c r="O43" s="33" t="s">
        <v>748</v>
      </c>
      <c r="P43" s="8" t="s">
        <v>83</v>
      </c>
      <c r="Q43" s="8">
        <v>1</v>
      </c>
      <c r="R43" s="8">
        <v>13</v>
      </c>
      <c r="S43" s="11">
        <f>V43/R43</f>
        <v>23076.923076923078</v>
      </c>
      <c r="T43" s="8" t="str">
        <f t="shared" si="6"/>
        <v>Yes</v>
      </c>
      <c r="U43" s="11">
        <f>V43/10.764</f>
        <v>27870.680044593089</v>
      </c>
      <c r="V43" s="11">
        <v>300000</v>
      </c>
      <c r="W43" s="11">
        <f>U43*0.75</f>
        <v>20903.010033444818</v>
      </c>
      <c r="X43" s="11">
        <f>W43*10.764</f>
        <v>225000</v>
      </c>
      <c r="Y43" s="11"/>
      <c r="Z43" s="11">
        <f t="shared" si="7"/>
        <v>225000</v>
      </c>
      <c r="AA43" s="8"/>
      <c r="AB43" s="8"/>
      <c r="AC43" s="8"/>
      <c r="AD43" s="10"/>
      <c r="AE43" s="10">
        <v>41429</v>
      </c>
      <c r="AF43" s="8" t="s">
        <v>748</v>
      </c>
      <c r="AG43" s="8" t="s">
        <v>749</v>
      </c>
      <c r="AH43" s="8" t="s">
        <v>73</v>
      </c>
      <c r="AI43" s="8" t="s">
        <v>705</v>
      </c>
      <c r="AJ43" s="8" t="s">
        <v>81</v>
      </c>
      <c r="AK43" s="8"/>
      <c r="AL43" s="8"/>
      <c r="AM43" s="8"/>
      <c r="AN43" s="8"/>
      <c r="AO43" s="8"/>
      <c r="AP43" s="8"/>
      <c r="AQ43" s="8"/>
    </row>
    <row r="44" spans="1:43" ht="15" customHeight="1" x14ac:dyDescent="0.35">
      <c r="A44" s="8"/>
      <c r="B44" s="8" t="s">
        <v>306</v>
      </c>
      <c r="C44" s="8" t="s">
        <v>307</v>
      </c>
      <c r="D44" s="8" t="s">
        <v>308</v>
      </c>
      <c r="E44" s="8" t="str">
        <f t="shared" si="4"/>
        <v>Yiu Wa Street &amp; 11-21  Sharp Street East, 1 &amp; 1A</v>
      </c>
      <c r="F44" s="8"/>
      <c r="G44" s="8" t="s">
        <v>5</v>
      </c>
      <c r="H44" s="8" t="s">
        <v>4</v>
      </c>
      <c r="I44" s="8" t="str">
        <f>VLOOKUP(K44,Reference!$A$2:$B$27,2,FALSE)</f>
        <v>Wan Chai &amp; Causeway Bay</v>
      </c>
      <c r="J44" s="8" t="s">
        <v>40</v>
      </c>
      <c r="K44" s="8" t="s">
        <v>5</v>
      </c>
      <c r="L44" s="15">
        <v>2014</v>
      </c>
      <c r="M44" s="8">
        <v>1</v>
      </c>
      <c r="N44" s="8" t="str">
        <f t="shared" si="5"/>
        <v>2014 Q1</v>
      </c>
      <c r="O44" s="8" t="s">
        <v>198</v>
      </c>
      <c r="P44" s="8" t="s">
        <v>86</v>
      </c>
      <c r="Q44" s="8">
        <v>1</v>
      </c>
      <c r="R44" s="8">
        <v>26</v>
      </c>
      <c r="S44" s="14">
        <f>+V44/R44</f>
        <v>3641.2128000000002</v>
      </c>
      <c r="T44" s="8" t="str">
        <f t="shared" si="6"/>
        <v>No</v>
      </c>
      <c r="U44" s="11">
        <v>8795.2000000000007</v>
      </c>
      <c r="V44" s="11">
        <f>+U44*10.764</f>
        <v>94671.532800000001</v>
      </c>
      <c r="W44" s="11">
        <f t="shared" ref="W44:W50" si="8">X44/10.764</f>
        <v>6596.4000000000005</v>
      </c>
      <c r="X44" s="11">
        <f>V44*0.75</f>
        <v>71003.649600000004</v>
      </c>
      <c r="Y44" s="11"/>
      <c r="Z44" s="11">
        <f t="shared" si="7"/>
        <v>71003.649600000004</v>
      </c>
      <c r="AA44" s="8" t="s">
        <v>89</v>
      </c>
      <c r="AB44" s="8" t="s">
        <v>138</v>
      </c>
      <c r="AC44" s="8" t="s">
        <v>92</v>
      </c>
      <c r="AD44" s="10">
        <v>40513</v>
      </c>
      <c r="AE44" s="10">
        <v>40674</v>
      </c>
      <c r="AF44" s="8" t="s">
        <v>30</v>
      </c>
      <c r="AG44" s="8" t="s">
        <v>309</v>
      </c>
      <c r="AH44" s="8" t="s">
        <v>73</v>
      </c>
      <c r="AI44" s="8"/>
      <c r="AJ44" s="8"/>
      <c r="AK44" s="8"/>
      <c r="AL44" s="8"/>
      <c r="AM44" s="8"/>
      <c r="AN44" s="8"/>
      <c r="AO44" s="8"/>
      <c r="AP44" s="8"/>
      <c r="AQ44" s="26" t="s">
        <v>810</v>
      </c>
    </row>
    <row r="45" spans="1:43" ht="14.9" customHeight="1" x14ac:dyDescent="0.35">
      <c r="A45" s="8"/>
      <c r="B45" s="8" t="s">
        <v>332</v>
      </c>
      <c r="C45" s="8" t="s">
        <v>307</v>
      </c>
      <c r="D45" s="8" t="s">
        <v>333</v>
      </c>
      <c r="E45" s="8" t="str">
        <f t="shared" si="4"/>
        <v>Yiu Wa Street &amp; 11 &amp; 13  Sharp Street East, 1 &amp; 1A</v>
      </c>
      <c r="F45" s="8"/>
      <c r="G45" s="8" t="s">
        <v>5</v>
      </c>
      <c r="H45" s="8" t="s">
        <v>4</v>
      </c>
      <c r="I45" s="8" t="str">
        <f>VLOOKUP(K45,Reference!$A$2:$B$27,2,FALSE)</f>
        <v>Wan Chai &amp; Causeway Bay</v>
      </c>
      <c r="J45" s="8" t="s">
        <v>40</v>
      </c>
      <c r="K45" s="8" t="s">
        <v>5</v>
      </c>
      <c r="L45" s="15">
        <v>2014</v>
      </c>
      <c r="M45" s="8">
        <v>1</v>
      </c>
      <c r="N45" s="8" t="str">
        <f t="shared" si="5"/>
        <v>2014 Q1</v>
      </c>
      <c r="O45" s="8" t="s">
        <v>198</v>
      </c>
      <c r="P45" s="8" t="s">
        <v>86</v>
      </c>
      <c r="Q45" s="8" t="s">
        <v>334</v>
      </c>
      <c r="R45" s="8" t="s">
        <v>335</v>
      </c>
      <c r="S45" s="14"/>
      <c r="T45" s="8" t="str">
        <f t="shared" si="6"/>
        <v>Unknown</v>
      </c>
      <c r="U45" s="11">
        <v>4483.1000000000004</v>
      </c>
      <c r="V45" s="11">
        <f>+U45*10.764</f>
        <v>48256.088400000001</v>
      </c>
      <c r="W45" s="11">
        <f t="shared" si="8"/>
        <v>3362.3250000000003</v>
      </c>
      <c r="X45" s="11">
        <f>V45*0.75</f>
        <v>36192.066299999999</v>
      </c>
      <c r="Y45" s="11"/>
      <c r="Z45" s="11">
        <f t="shared" si="7"/>
        <v>36192.066299999999</v>
      </c>
      <c r="AA45" s="8" t="s">
        <v>89</v>
      </c>
      <c r="AB45" s="8" t="s">
        <v>138</v>
      </c>
      <c r="AC45" s="8" t="s">
        <v>92</v>
      </c>
      <c r="AD45" s="10">
        <v>40848</v>
      </c>
      <c r="AE45" s="10">
        <v>40941</v>
      </c>
      <c r="AF45" s="8" t="s">
        <v>30</v>
      </c>
      <c r="AG45" s="8" t="s">
        <v>309</v>
      </c>
      <c r="AH45" s="8" t="s">
        <v>73</v>
      </c>
      <c r="AI45" s="8"/>
      <c r="AJ45" s="8"/>
      <c r="AK45" s="8"/>
      <c r="AL45" s="8"/>
      <c r="AM45" s="8"/>
      <c r="AN45" s="8"/>
      <c r="AO45" s="8"/>
      <c r="AP45" s="8"/>
      <c r="AQ45" s="26" t="s">
        <v>809</v>
      </c>
    </row>
    <row r="46" spans="1:43" ht="15" customHeight="1" x14ac:dyDescent="0.35">
      <c r="A46" s="8"/>
      <c r="B46" s="8" t="s">
        <v>322</v>
      </c>
      <c r="C46" s="8" t="s">
        <v>323</v>
      </c>
      <c r="D46" s="8" t="s">
        <v>324</v>
      </c>
      <c r="E46" s="8" t="str">
        <f t="shared" si="4"/>
        <v>On Lan Street, 12-20</v>
      </c>
      <c r="F46" s="8"/>
      <c r="G46" s="8" t="s">
        <v>1</v>
      </c>
      <c r="H46" s="8" t="s">
        <v>43</v>
      </c>
      <c r="I46" s="8" t="str">
        <f>VLOOKUP(K46,Reference!$A$2:$B$27,2,FALSE)</f>
        <v>Central</v>
      </c>
      <c r="J46" s="8" t="s">
        <v>40</v>
      </c>
      <c r="K46" s="8" t="s">
        <v>1</v>
      </c>
      <c r="L46" s="15">
        <v>2014</v>
      </c>
      <c r="M46" s="8">
        <v>4</v>
      </c>
      <c r="N46" s="8" t="str">
        <f t="shared" si="5"/>
        <v>2014 Q4</v>
      </c>
      <c r="O46" s="8" t="s">
        <v>21</v>
      </c>
      <c r="P46" s="8" t="s">
        <v>83</v>
      </c>
      <c r="Q46" s="8">
        <v>1</v>
      </c>
      <c r="R46" s="8" t="s">
        <v>325</v>
      </c>
      <c r="S46" s="14">
        <f>V46/27</f>
        <v>2041.9307999999999</v>
      </c>
      <c r="T46" s="8" t="str">
        <f t="shared" si="6"/>
        <v>No</v>
      </c>
      <c r="U46" s="11">
        <v>5121.8999999999996</v>
      </c>
      <c r="V46" s="11">
        <f>+U46*10.764</f>
        <v>55132.131599999993</v>
      </c>
      <c r="W46" s="11">
        <f t="shared" si="8"/>
        <v>3841.4249999999997</v>
      </c>
      <c r="X46" s="11">
        <f>V46*0.75</f>
        <v>41349.098699999995</v>
      </c>
      <c r="Y46" s="11"/>
      <c r="Z46" s="11">
        <f t="shared" si="7"/>
        <v>41349.098699999995</v>
      </c>
      <c r="AA46" s="8" t="s">
        <v>89</v>
      </c>
      <c r="AB46" s="8" t="s">
        <v>138</v>
      </c>
      <c r="AC46" s="8" t="s">
        <v>92</v>
      </c>
      <c r="AD46" s="10">
        <v>40848</v>
      </c>
      <c r="AE46" s="10">
        <v>40941</v>
      </c>
      <c r="AF46" s="8"/>
      <c r="AG46" s="8" t="s">
        <v>326</v>
      </c>
      <c r="AH46" s="8"/>
      <c r="AI46" s="8"/>
      <c r="AJ46" s="8"/>
      <c r="AK46" s="8"/>
      <c r="AL46" s="8"/>
      <c r="AM46" s="8"/>
      <c r="AN46" s="8"/>
      <c r="AO46" s="8"/>
      <c r="AP46" s="8"/>
      <c r="AQ46" s="8" t="s">
        <v>668</v>
      </c>
    </row>
    <row r="47" spans="1:43" ht="15" customHeight="1" x14ac:dyDescent="0.35">
      <c r="A47" s="8" t="s">
        <v>274</v>
      </c>
      <c r="B47" s="8" t="s">
        <v>299</v>
      </c>
      <c r="C47" s="8" t="s">
        <v>276</v>
      </c>
      <c r="D47" s="8" t="s">
        <v>277</v>
      </c>
      <c r="E47" s="8" t="str">
        <f t="shared" si="4"/>
        <v>Harbour Road, 26</v>
      </c>
      <c r="F47" s="8"/>
      <c r="G47" s="8" t="s">
        <v>4</v>
      </c>
      <c r="H47" s="8" t="s">
        <v>4</v>
      </c>
      <c r="I47" s="8" t="str">
        <f>VLOOKUP(K47,Reference!$A$2:$B$27,2,FALSE)</f>
        <v>Wan Chai &amp; Causeway Bay</v>
      </c>
      <c r="J47" s="8" t="s">
        <v>40</v>
      </c>
      <c r="K47" s="8" t="s">
        <v>4</v>
      </c>
      <c r="L47" s="15">
        <v>2014</v>
      </c>
      <c r="M47" s="8">
        <v>4</v>
      </c>
      <c r="N47" s="8" t="str">
        <f t="shared" si="5"/>
        <v>2014 Q4</v>
      </c>
      <c r="O47" s="8" t="s">
        <v>163</v>
      </c>
      <c r="P47" s="8" t="s">
        <v>86</v>
      </c>
      <c r="Q47" s="8">
        <v>1</v>
      </c>
      <c r="R47" s="8" t="s">
        <v>300</v>
      </c>
      <c r="S47" s="14">
        <f>V47/18</f>
        <v>5974.9169999999995</v>
      </c>
      <c r="T47" s="8" t="str">
        <f t="shared" si="6"/>
        <v>No</v>
      </c>
      <c r="U47" s="11">
        <v>9991.5</v>
      </c>
      <c r="V47" s="11">
        <f>U47*10.764</f>
        <v>107548.50599999999</v>
      </c>
      <c r="W47" s="20">
        <f t="shared" si="8"/>
        <v>7493.625</v>
      </c>
      <c r="X47" s="11">
        <f>+V47*0.75</f>
        <v>80661.379499999995</v>
      </c>
      <c r="Y47" s="11"/>
      <c r="Z47" s="11">
        <f t="shared" si="7"/>
        <v>80661.379499999995</v>
      </c>
      <c r="AA47" s="8" t="s">
        <v>301</v>
      </c>
      <c r="AB47" s="8" t="s">
        <v>138</v>
      </c>
      <c r="AC47" s="8" t="s">
        <v>92</v>
      </c>
      <c r="AD47" s="10">
        <v>40026</v>
      </c>
      <c r="AE47" s="10">
        <v>40123</v>
      </c>
      <c r="AF47" s="8" t="s">
        <v>275</v>
      </c>
      <c r="AG47" s="8" t="s">
        <v>279</v>
      </c>
      <c r="AH47" s="8"/>
      <c r="AI47" s="8"/>
      <c r="AJ47" s="8"/>
      <c r="AK47" s="8"/>
      <c r="AL47" s="8"/>
      <c r="AM47" s="8"/>
      <c r="AN47" s="8"/>
      <c r="AO47" s="8"/>
      <c r="AP47" s="8"/>
      <c r="AQ47" s="8" t="s">
        <v>302</v>
      </c>
    </row>
    <row r="48" spans="1:43" ht="15" customHeight="1" x14ac:dyDescent="0.35">
      <c r="A48" s="8"/>
      <c r="B48" s="8" t="s">
        <v>733</v>
      </c>
      <c r="C48" s="8"/>
      <c r="D48" s="8" t="s">
        <v>106</v>
      </c>
      <c r="E48" s="8" t="str">
        <f t="shared" si="4"/>
        <v xml:space="preserve">Pak Shek Kok, </v>
      </c>
      <c r="F48" s="8" t="s">
        <v>107</v>
      </c>
      <c r="G48" s="8" t="s">
        <v>56</v>
      </c>
      <c r="H48" s="8" t="s">
        <v>56</v>
      </c>
      <c r="I48" s="8" t="e">
        <f>VLOOKUP(K48,Reference!$A$2:$B$27,2,FALSE)</f>
        <v>#N/A</v>
      </c>
      <c r="J48" s="8" t="s">
        <v>42</v>
      </c>
      <c r="K48" s="8" t="s">
        <v>16</v>
      </c>
      <c r="L48" s="15">
        <v>2014</v>
      </c>
      <c r="M48" s="8">
        <v>1</v>
      </c>
      <c r="N48" s="8" t="str">
        <f t="shared" si="5"/>
        <v>2014 Q1</v>
      </c>
      <c r="O48" s="9" t="s">
        <v>734</v>
      </c>
      <c r="P48" s="8" t="s">
        <v>83</v>
      </c>
      <c r="Q48" s="9">
        <v>3</v>
      </c>
      <c r="R48" s="8" t="s">
        <v>108</v>
      </c>
      <c r="S48" s="14">
        <f>V48/3/8</f>
        <v>25522.083333333332</v>
      </c>
      <c r="T48" s="8" t="str">
        <f t="shared" si="6"/>
        <v>Yes</v>
      </c>
      <c r="U48" s="11">
        <f>V48/10.764</f>
        <v>56905.425492382019</v>
      </c>
      <c r="V48" s="12">
        <v>612530</v>
      </c>
      <c r="W48" s="11">
        <f t="shared" si="8"/>
        <v>42679.069119286512</v>
      </c>
      <c r="X48" s="12">
        <f>V48*0.75</f>
        <v>459397.5</v>
      </c>
      <c r="Y48" s="11"/>
      <c r="Z48" s="11">
        <f t="shared" si="7"/>
        <v>459397.5</v>
      </c>
      <c r="AA48" s="8" t="s">
        <v>89</v>
      </c>
      <c r="AB48" s="8" t="s">
        <v>90</v>
      </c>
      <c r="AC48" s="8" t="s">
        <v>92</v>
      </c>
      <c r="AD48" s="10">
        <v>40179</v>
      </c>
      <c r="AE48" s="10">
        <v>40246</v>
      </c>
      <c r="AF48" s="8" t="s">
        <v>29</v>
      </c>
      <c r="AG48" s="8" t="s">
        <v>109</v>
      </c>
      <c r="AH48" s="8" t="s">
        <v>73</v>
      </c>
      <c r="AI48" s="8" t="s">
        <v>705</v>
      </c>
      <c r="AJ48" s="8" t="s">
        <v>81</v>
      </c>
      <c r="AK48" s="8"/>
      <c r="AL48" s="8"/>
      <c r="AM48" s="8"/>
      <c r="AN48" s="8"/>
      <c r="AO48" s="8"/>
      <c r="AP48" s="8" t="str">
        <f>IF(ISBLANK(AK48),"",SUM(AK48:AO48))</f>
        <v/>
      </c>
      <c r="AQ48" s="8" t="s">
        <v>719</v>
      </c>
    </row>
    <row r="49" spans="1:43" ht="15" customHeight="1" x14ac:dyDescent="0.35">
      <c r="A49" s="8"/>
      <c r="B49" s="8" t="s">
        <v>282</v>
      </c>
      <c r="C49" s="8" t="s">
        <v>283</v>
      </c>
      <c r="D49" s="8" t="s">
        <v>284</v>
      </c>
      <c r="E49" s="8" t="str">
        <f t="shared" si="4"/>
        <v>Cheung Yee Street, 9</v>
      </c>
      <c r="F49" s="8"/>
      <c r="G49" s="8" t="s">
        <v>12</v>
      </c>
      <c r="H49" s="8" t="s">
        <v>47</v>
      </c>
      <c r="I49" s="8" t="str">
        <f>VLOOKUP(K49,Reference!$A$2:$B$27,2,FALSE)</f>
        <v>Kowloon Others</v>
      </c>
      <c r="J49" s="8" t="s">
        <v>41</v>
      </c>
      <c r="K49" s="8" t="s">
        <v>12</v>
      </c>
      <c r="L49" s="15">
        <v>2014</v>
      </c>
      <c r="M49" s="8">
        <v>4</v>
      </c>
      <c r="N49" s="8" t="str">
        <f t="shared" si="5"/>
        <v>2014 Q4</v>
      </c>
      <c r="O49" s="8" t="s">
        <v>21</v>
      </c>
      <c r="P49" s="8" t="s">
        <v>86</v>
      </c>
      <c r="Q49" s="8">
        <v>1</v>
      </c>
      <c r="R49" s="8">
        <v>32</v>
      </c>
      <c r="S49" s="14">
        <f>X49/R49</f>
        <v>7596.087524999999</v>
      </c>
      <c r="T49" s="8" t="str">
        <f t="shared" si="6"/>
        <v>No</v>
      </c>
      <c r="U49" s="11">
        <v>30109.599999999999</v>
      </c>
      <c r="V49" s="11">
        <f>+U49*10.764</f>
        <v>324099.73439999996</v>
      </c>
      <c r="W49" s="11">
        <f t="shared" si="8"/>
        <v>22582.199999999997</v>
      </c>
      <c r="X49" s="11">
        <f>V49*0.75</f>
        <v>243074.80079999997</v>
      </c>
      <c r="Y49" s="11"/>
      <c r="Z49" s="11">
        <f t="shared" si="7"/>
        <v>243074.80079999997</v>
      </c>
      <c r="AA49" s="8" t="s">
        <v>89</v>
      </c>
      <c r="AB49" s="8" t="s">
        <v>138</v>
      </c>
      <c r="AC49" s="8" t="s">
        <v>92</v>
      </c>
      <c r="AD49" s="10">
        <v>40269</v>
      </c>
      <c r="AE49" s="10">
        <v>40333</v>
      </c>
      <c r="AF49" s="8"/>
      <c r="AG49" s="8" t="s">
        <v>285</v>
      </c>
      <c r="AH49" s="8" t="s">
        <v>73</v>
      </c>
      <c r="AI49" s="8"/>
      <c r="AJ49" s="8"/>
      <c r="AK49" s="8"/>
      <c r="AL49" s="8"/>
      <c r="AM49" s="8"/>
      <c r="AN49" s="8"/>
      <c r="AO49" s="8"/>
      <c r="AP49" s="8"/>
      <c r="AQ49" s="8" t="s">
        <v>286</v>
      </c>
    </row>
    <row r="50" spans="1:43" ht="14.9" customHeight="1" x14ac:dyDescent="0.35">
      <c r="A50" s="8"/>
      <c r="B50" s="8" t="s">
        <v>455</v>
      </c>
      <c r="C50" s="8"/>
      <c r="D50" s="8" t="s">
        <v>455</v>
      </c>
      <c r="E50" s="8" t="str">
        <f t="shared" si="4"/>
        <v xml:space="preserve">Sheung On Street and Wing Tai Road, </v>
      </c>
      <c r="F50" s="8"/>
      <c r="G50" s="8" t="s">
        <v>124</v>
      </c>
      <c r="H50" s="8" t="s">
        <v>44</v>
      </c>
      <c r="I50" s="8" t="e">
        <f>VLOOKUP(K50,Reference!$A$2:$B$27,2,FALSE)</f>
        <v>#N/A</v>
      </c>
      <c r="J50" s="8" t="s">
        <v>40</v>
      </c>
      <c r="K50" s="8" t="s">
        <v>22</v>
      </c>
      <c r="L50" s="15"/>
      <c r="M50" s="8"/>
      <c r="N50" s="8" t="str">
        <f t="shared" si="5"/>
        <v/>
      </c>
      <c r="O50" s="8" t="s">
        <v>131</v>
      </c>
      <c r="P50" s="8" t="s">
        <v>85</v>
      </c>
      <c r="Q50" s="8"/>
      <c r="R50" s="8"/>
      <c r="S50" s="14"/>
      <c r="T50" s="8" t="str">
        <f t="shared" si="6"/>
        <v>Unknown</v>
      </c>
      <c r="U50" s="11">
        <f>V50/10.764</f>
        <v>22956.521739130436</v>
      </c>
      <c r="V50" s="11">
        <f>X50/0.75</f>
        <v>247104</v>
      </c>
      <c r="W50" s="11">
        <f t="shared" si="8"/>
        <v>17217.391304347828</v>
      </c>
      <c r="X50" s="11">
        <f>20592*12*0.75</f>
        <v>185328</v>
      </c>
      <c r="Y50" s="11"/>
      <c r="Z50" s="11">
        <f t="shared" si="7"/>
        <v>185328</v>
      </c>
      <c r="AA50" s="8"/>
      <c r="AB50" s="8" t="s">
        <v>113</v>
      </c>
      <c r="AC50" s="8"/>
      <c r="AD50" s="10"/>
      <c r="AE50" s="10"/>
      <c r="AF50" s="8" t="s">
        <v>29</v>
      </c>
      <c r="AG50" s="8"/>
      <c r="AH50" s="8"/>
      <c r="AI50" s="8"/>
      <c r="AJ50" s="8"/>
      <c r="AK50" s="8"/>
      <c r="AL50" s="8"/>
      <c r="AM50" s="8"/>
      <c r="AN50" s="8"/>
      <c r="AO50" s="8"/>
      <c r="AP50" s="8"/>
      <c r="AQ50" s="8" t="s">
        <v>456</v>
      </c>
    </row>
    <row r="51" spans="1:43" ht="15" customHeight="1" x14ac:dyDescent="0.35">
      <c r="A51" s="9" t="s">
        <v>652</v>
      </c>
      <c r="B51" s="9" t="s">
        <v>653</v>
      </c>
      <c r="C51" s="9" t="s">
        <v>660</v>
      </c>
      <c r="D51" s="9" t="s">
        <v>661</v>
      </c>
      <c r="E51" s="9" t="str">
        <f t="shared" si="4"/>
        <v>Connaught Road West &amp; 29-31 New Martket Street, 15-16</v>
      </c>
      <c r="F51" s="9"/>
      <c r="G51" s="9" t="s">
        <v>2</v>
      </c>
      <c r="H51" s="9" t="s">
        <v>43</v>
      </c>
      <c r="I51" s="9" t="str">
        <f>VLOOKUP(K51,Reference!$A$2:$B$27,2,FALSE)</f>
        <v>Admiralty &amp; Sheung Wan</v>
      </c>
      <c r="J51" s="9" t="s">
        <v>40</v>
      </c>
      <c r="K51" s="9" t="s">
        <v>2</v>
      </c>
      <c r="L51" s="16"/>
      <c r="M51" s="9"/>
      <c r="N51" s="9" t="str">
        <f t="shared" si="5"/>
        <v/>
      </c>
      <c r="O51" s="9"/>
      <c r="P51" s="9"/>
      <c r="Q51" s="9"/>
      <c r="R51" s="9"/>
      <c r="S51" s="12"/>
      <c r="T51" s="9" t="str">
        <f t="shared" si="6"/>
        <v>Unknown</v>
      </c>
      <c r="U51" s="12"/>
      <c r="V51" s="12"/>
      <c r="W51" s="12"/>
      <c r="X51" s="12"/>
      <c r="Y51" s="12"/>
      <c r="Z51" s="12" t="str">
        <f t="shared" si="7"/>
        <v/>
      </c>
      <c r="AA51" s="9" t="s">
        <v>89</v>
      </c>
      <c r="AB51" s="9" t="s">
        <v>231</v>
      </c>
      <c r="AC51" s="9" t="s">
        <v>92</v>
      </c>
      <c r="AD51" s="13">
        <v>40878</v>
      </c>
      <c r="AE51" s="13">
        <v>40941</v>
      </c>
      <c r="AF51" s="9" t="s">
        <v>30</v>
      </c>
      <c r="AG51" s="9" t="s">
        <v>687</v>
      </c>
      <c r="AH51" s="9"/>
      <c r="AI51" s="9"/>
      <c r="AJ51" s="9"/>
      <c r="AK51" s="9"/>
      <c r="AL51" s="9"/>
      <c r="AM51" s="9"/>
      <c r="AN51" s="9"/>
      <c r="AO51" s="9"/>
      <c r="AP51" s="9"/>
      <c r="AQ51" s="9" t="s">
        <v>688</v>
      </c>
    </row>
    <row r="52" spans="1:43" ht="14.9" customHeight="1" x14ac:dyDescent="0.35">
      <c r="A52" s="8"/>
      <c r="B52" s="8" t="s">
        <v>613</v>
      </c>
      <c r="C52" s="8" t="s">
        <v>614</v>
      </c>
      <c r="D52" s="8" t="s">
        <v>615</v>
      </c>
      <c r="E52" s="8" t="str">
        <f t="shared" si="4"/>
        <v>Bonham Strand, 109-111</v>
      </c>
      <c r="F52" s="8"/>
      <c r="G52" s="8" t="s">
        <v>2</v>
      </c>
      <c r="H52" s="8" t="s">
        <v>43</v>
      </c>
      <c r="I52" s="8" t="str">
        <f>VLOOKUP(K52,Reference!$A$2:$B$27,2,FALSE)</f>
        <v>Admiralty &amp; Sheung Wan</v>
      </c>
      <c r="J52" s="8" t="s">
        <v>40</v>
      </c>
      <c r="K52" s="8" t="s">
        <v>2</v>
      </c>
      <c r="L52" s="15">
        <v>2009</v>
      </c>
      <c r="M52" s="8">
        <v>2</v>
      </c>
      <c r="N52" s="8" t="str">
        <f t="shared" si="5"/>
        <v>2009 Q2</v>
      </c>
      <c r="O52" s="8" t="s">
        <v>21</v>
      </c>
      <c r="P52" s="8" t="s">
        <v>84</v>
      </c>
      <c r="Q52" s="8">
        <v>1</v>
      </c>
      <c r="R52" s="8">
        <v>27</v>
      </c>
      <c r="S52" s="14">
        <f>V52/R52</f>
        <v>763.48653333333334</v>
      </c>
      <c r="T52" s="8" t="str">
        <f t="shared" si="6"/>
        <v>No</v>
      </c>
      <c r="U52" s="11">
        <v>1915.1</v>
      </c>
      <c r="V52" s="11">
        <f>U52*10.764</f>
        <v>20614.136399999999</v>
      </c>
      <c r="W52" s="11">
        <v>947.7</v>
      </c>
      <c r="X52" s="11">
        <f>W52*10.764</f>
        <v>10201.042799999999</v>
      </c>
      <c r="Y52" s="11"/>
      <c r="Z52" s="11">
        <f t="shared" si="7"/>
        <v>10201.042799999999</v>
      </c>
      <c r="AA52" s="8" t="s">
        <v>89</v>
      </c>
      <c r="AB52" s="8" t="s">
        <v>103</v>
      </c>
      <c r="AC52" s="8" t="s">
        <v>92</v>
      </c>
      <c r="AD52" s="10">
        <v>39904</v>
      </c>
      <c r="AE52" s="10">
        <v>40123</v>
      </c>
      <c r="AF52" s="8"/>
      <c r="AG52" s="8" t="s">
        <v>616</v>
      </c>
      <c r="AH52" s="8" t="s">
        <v>73</v>
      </c>
      <c r="AI52" s="8"/>
      <c r="AJ52" s="8" t="s">
        <v>81</v>
      </c>
      <c r="AK52" s="8"/>
      <c r="AL52" s="8"/>
      <c r="AM52" s="8"/>
      <c r="AN52" s="8"/>
      <c r="AO52" s="8"/>
      <c r="AP52" s="8"/>
      <c r="AQ52" s="8" t="s">
        <v>507</v>
      </c>
    </row>
    <row r="53" spans="1:43" ht="15" customHeight="1" x14ac:dyDescent="0.35">
      <c r="A53" s="8" t="s">
        <v>603</v>
      </c>
      <c r="B53" s="8" t="s">
        <v>604</v>
      </c>
      <c r="C53" s="8" t="s">
        <v>605</v>
      </c>
      <c r="D53" s="8" t="s">
        <v>606</v>
      </c>
      <c r="E53" s="8" t="str">
        <f t="shared" si="4"/>
        <v>Wing Lok Street, 50-54</v>
      </c>
      <c r="F53" s="8"/>
      <c r="G53" s="8" t="s">
        <v>2</v>
      </c>
      <c r="H53" s="8" t="s">
        <v>43</v>
      </c>
      <c r="I53" s="8" t="str">
        <f>VLOOKUP(K53,Reference!$A$2:$B$27,2,FALSE)</f>
        <v>Admiralty &amp; Sheung Wan</v>
      </c>
      <c r="J53" s="8" t="s">
        <v>40</v>
      </c>
      <c r="K53" s="8" t="s">
        <v>2</v>
      </c>
      <c r="L53" s="15">
        <v>2009</v>
      </c>
      <c r="M53" s="8">
        <v>3</v>
      </c>
      <c r="N53" s="8" t="str">
        <f t="shared" si="5"/>
        <v>2009 Q3</v>
      </c>
      <c r="O53" s="8" t="s">
        <v>21</v>
      </c>
      <c r="P53" s="8" t="s">
        <v>84</v>
      </c>
      <c r="Q53" s="8">
        <v>1</v>
      </c>
      <c r="R53" s="8">
        <v>26</v>
      </c>
      <c r="S53" s="14">
        <f>V53/R53</f>
        <v>1232.8091999999999</v>
      </c>
      <c r="T53" s="8" t="str">
        <f t="shared" si="6"/>
        <v>No</v>
      </c>
      <c r="U53" s="11">
        <v>2977.8</v>
      </c>
      <c r="V53" s="11">
        <f>+U53*10.764</f>
        <v>32053.039199999999</v>
      </c>
      <c r="W53" s="11">
        <v>1451.1</v>
      </c>
      <c r="X53" s="11">
        <f>+W53*10.764</f>
        <v>15619.640399999998</v>
      </c>
      <c r="Y53" s="11"/>
      <c r="Z53" s="11">
        <f t="shared" si="7"/>
        <v>15619.640399999998</v>
      </c>
      <c r="AA53" s="8" t="s">
        <v>89</v>
      </c>
      <c r="AB53" s="8" t="s">
        <v>103</v>
      </c>
      <c r="AC53" s="8" t="s">
        <v>92</v>
      </c>
      <c r="AD53" s="10">
        <v>40057</v>
      </c>
      <c r="AE53" s="10">
        <v>40122</v>
      </c>
      <c r="AF53" s="8"/>
      <c r="AG53" s="8" t="s">
        <v>607</v>
      </c>
      <c r="AH53" s="8" t="s">
        <v>73</v>
      </c>
      <c r="AI53" s="8"/>
      <c r="AJ53" s="8" t="s">
        <v>81</v>
      </c>
      <c r="AK53" s="8"/>
      <c r="AL53" s="8"/>
      <c r="AM53" s="8"/>
      <c r="AN53" s="8"/>
      <c r="AO53" s="8"/>
      <c r="AP53" s="8"/>
      <c r="AQ53" s="8" t="s">
        <v>507</v>
      </c>
    </row>
    <row r="54" spans="1:43" ht="15" customHeight="1" x14ac:dyDescent="0.35">
      <c r="A54" s="8" t="s">
        <v>294</v>
      </c>
      <c r="B54" s="8" t="s">
        <v>295</v>
      </c>
      <c r="C54" s="8" t="s">
        <v>296</v>
      </c>
      <c r="D54" s="8" t="s">
        <v>121</v>
      </c>
      <c r="E54" s="8" t="str">
        <f t="shared" si="4"/>
        <v>Hung To Road, 35</v>
      </c>
      <c r="F54" s="8"/>
      <c r="G54" s="8" t="s">
        <v>50</v>
      </c>
      <c r="H54" s="8" t="s">
        <v>50</v>
      </c>
      <c r="I54" s="8" t="e">
        <f>VLOOKUP(K54,Reference!$A$2:$B$27,2,FALSE)</f>
        <v>#N/A</v>
      </c>
      <c r="J54" s="8" t="s">
        <v>41</v>
      </c>
      <c r="K54" s="8" t="s">
        <v>14</v>
      </c>
      <c r="L54" s="15">
        <v>2014</v>
      </c>
      <c r="M54" s="8">
        <v>2</v>
      </c>
      <c r="N54" s="8" t="str">
        <f t="shared" si="5"/>
        <v>2014 Q2</v>
      </c>
      <c r="O54" s="8" t="s">
        <v>293</v>
      </c>
      <c r="P54" s="8" t="s">
        <v>83</v>
      </c>
      <c r="Q54" s="8">
        <v>1</v>
      </c>
      <c r="R54" s="8">
        <v>32</v>
      </c>
      <c r="S54" s="23">
        <f>V54/R54</f>
        <v>3947.764275</v>
      </c>
      <c r="T54" s="8" t="str">
        <f t="shared" si="6"/>
        <v>No</v>
      </c>
      <c r="U54" s="20">
        <v>11736.2</v>
      </c>
      <c r="V54" s="20">
        <f>U54*10.764</f>
        <v>126328.4568</v>
      </c>
      <c r="W54" s="20">
        <f>X54/10.764</f>
        <v>8802.1500000000015</v>
      </c>
      <c r="X54" s="11">
        <f>V54*0.75</f>
        <v>94746.342600000004</v>
      </c>
      <c r="Y54" s="11"/>
      <c r="Z54" s="11">
        <f t="shared" si="7"/>
        <v>94746.342600000004</v>
      </c>
      <c r="AA54" s="8" t="s">
        <v>123</v>
      </c>
      <c r="AB54" s="8" t="s">
        <v>138</v>
      </c>
      <c r="AC54" s="8" t="s">
        <v>92</v>
      </c>
      <c r="AD54" s="10">
        <v>40452</v>
      </c>
      <c r="AE54" s="10">
        <v>40672</v>
      </c>
      <c r="AF54" s="8" t="s">
        <v>30</v>
      </c>
      <c r="AG54" s="8" t="s">
        <v>297</v>
      </c>
      <c r="AH54" s="8" t="s">
        <v>73</v>
      </c>
      <c r="AI54" s="8" t="s">
        <v>704</v>
      </c>
      <c r="AJ54" s="8"/>
      <c r="AK54" s="8"/>
      <c r="AL54" s="8"/>
      <c r="AM54" s="8"/>
      <c r="AN54" s="8"/>
      <c r="AO54" s="8"/>
      <c r="AP54" s="8"/>
      <c r="AQ54" s="8" t="s">
        <v>298</v>
      </c>
    </row>
    <row r="55" spans="1:43" ht="15" customHeight="1" x14ac:dyDescent="0.35">
      <c r="A55" s="8"/>
      <c r="B55" s="8" t="s">
        <v>757</v>
      </c>
      <c r="C55" s="8">
        <v>133</v>
      </c>
      <c r="D55" s="8" t="s">
        <v>424</v>
      </c>
      <c r="E55" s="8" t="str">
        <f t="shared" si="4"/>
        <v>Wai Yip Street, 133</v>
      </c>
      <c r="F55" s="8" t="s">
        <v>758</v>
      </c>
      <c r="G55" s="8" t="s">
        <v>162</v>
      </c>
      <c r="H55" s="8" t="s">
        <v>50</v>
      </c>
      <c r="I55" s="8" t="e">
        <f>VLOOKUP(K55,Reference!$A$2:$B$27,2,FALSE)</f>
        <v>#N/A</v>
      </c>
      <c r="J55" s="8" t="s">
        <v>41</v>
      </c>
      <c r="K55" s="8" t="s">
        <v>14</v>
      </c>
      <c r="L55" s="15">
        <v>2015</v>
      </c>
      <c r="M55" s="8">
        <v>4</v>
      </c>
      <c r="N55" s="8" t="str">
        <f t="shared" si="5"/>
        <v>2015 Q4</v>
      </c>
      <c r="O55" s="8" t="s">
        <v>748</v>
      </c>
      <c r="P55" s="8" t="s">
        <v>83</v>
      </c>
      <c r="Q55" s="8">
        <v>1</v>
      </c>
      <c r="R55" s="8">
        <v>10</v>
      </c>
      <c r="S55" s="11">
        <v>14563</v>
      </c>
      <c r="T55" s="8" t="str">
        <f t="shared" si="6"/>
        <v>Yes</v>
      </c>
      <c r="U55" s="11">
        <f>V55/10.765</f>
        <v>14972.875058058522</v>
      </c>
      <c r="V55" s="11">
        <v>161183</v>
      </c>
      <c r="W55" s="11">
        <f>X55/10.765</f>
        <v>11229.656293543892</v>
      </c>
      <c r="X55" s="11">
        <f>V55*0.75</f>
        <v>120887.25</v>
      </c>
      <c r="Y55" s="11"/>
      <c r="Z55" s="11">
        <f t="shared" si="7"/>
        <v>120887.25</v>
      </c>
      <c r="AA55" s="8"/>
      <c r="AB55" s="8"/>
      <c r="AC55" s="8"/>
      <c r="AD55" s="10"/>
      <c r="AE55" s="10">
        <v>41432</v>
      </c>
      <c r="AF55" s="8" t="s">
        <v>748</v>
      </c>
      <c r="AG55" s="8" t="s">
        <v>747</v>
      </c>
      <c r="AH55" s="8" t="s">
        <v>73</v>
      </c>
      <c r="AI55" s="8" t="s">
        <v>705</v>
      </c>
      <c r="AJ55" s="8" t="s">
        <v>81</v>
      </c>
      <c r="AK55" s="8"/>
      <c r="AL55" s="8"/>
      <c r="AM55" s="8"/>
      <c r="AN55" s="8"/>
      <c r="AO55" s="8"/>
      <c r="AP55" s="8"/>
      <c r="AQ55" s="8" t="s">
        <v>759</v>
      </c>
    </row>
    <row r="56" spans="1:43" ht="15" customHeight="1" x14ac:dyDescent="0.35">
      <c r="A56" s="8"/>
      <c r="B56" s="8" t="s">
        <v>327</v>
      </c>
      <c r="C56" s="8" t="s">
        <v>177</v>
      </c>
      <c r="D56" s="8" t="s">
        <v>117</v>
      </c>
      <c r="E56" s="8" t="str">
        <f t="shared" si="4"/>
        <v>King Yip Street, 41</v>
      </c>
      <c r="F56" s="8"/>
      <c r="G56" s="8" t="s">
        <v>50</v>
      </c>
      <c r="H56" s="8" t="s">
        <v>50</v>
      </c>
      <c r="I56" s="8" t="e">
        <f>VLOOKUP(K56,Reference!$A$2:$B$27,2,FALSE)</f>
        <v>#N/A</v>
      </c>
      <c r="J56" s="8" t="s">
        <v>41</v>
      </c>
      <c r="K56" s="8" t="s">
        <v>14</v>
      </c>
      <c r="L56" s="15">
        <v>2014</v>
      </c>
      <c r="M56" s="8" t="s">
        <v>175</v>
      </c>
      <c r="N56" s="8" t="str">
        <f t="shared" si="5"/>
        <v>2014+</v>
      </c>
      <c r="O56" s="8" t="s">
        <v>123</v>
      </c>
      <c r="P56" s="8" t="s">
        <v>83</v>
      </c>
      <c r="Q56" s="8"/>
      <c r="R56" s="8"/>
      <c r="S56" s="21"/>
      <c r="T56" s="8" t="str">
        <f t="shared" si="6"/>
        <v>Unknown</v>
      </c>
      <c r="U56" s="22"/>
      <c r="V56" s="22"/>
      <c r="W56" s="22"/>
      <c r="X56" s="22"/>
      <c r="Y56" s="22"/>
      <c r="Z56" s="11" t="str">
        <f t="shared" si="7"/>
        <v/>
      </c>
      <c r="AA56" s="8" t="s">
        <v>123</v>
      </c>
      <c r="AB56" s="8" t="s">
        <v>231</v>
      </c>
      <c r="AC56" s="8" t="s">
        <v>92</v>
      </c>
      <c r="AD56" s="10">
        <v>40026</v>
      </c>
      <c r="AE56" s="10">
        <v>40109</v>
      </c>
      <c r="AF56" s="8" t="s">
        <v>30</v>
      </c>
      <c r="AG56" s="8" t="s">
        <v>328</v>
      </c>
      <c r="AH56" s="8" t="s">
        <v>73</v>
      </c>
      <c r="AI56" s="8" t="s">
        <v>705</v>
      </c>
      <c r="AJ56" s="8"/>
      <c r="AK56" s="8"/>
      <c r="AL56" s="8"/>
      <c r="AM56" s="8"/>
      <c r="AN56" s="8"/>
      <c r="AO56" s="8"/>
      <c r="AP56" s="8"/>
      <c r="AQ56" s="8" t="s">
        <v>329</v>
      </c>
    </row>
    <row r="57" spans="1:43" ht="15" customHeight="1" x14ac:dyDescent="0.35">
      <c r="A57" s="8" t="s">
        <v>316</v>
      </c>
      <c r="B57" s="8" t="s">
        <v>317</v>
      </c>
      <c r="C57" s="8" t="s">
        <v>318</v>
      </c>
      <c r="D57" s="8" t="s">
        <v>319</v>
      </c>
      <c r="E57" s="8" t="str">
        <f t="shared" si="4"/>
        <v>Nathan Road &amp; Hamilton Street, 558-560</v>
      </c>
      <c r="F57" s="8"/>
      <c r="G57" s="8" t="s">
        <v>320</v>
      </c>
      <c r="H57" s="8" t="s">
        <v>46</v>
      </c>
      <c r="I57" s="8" t="e">
        <f>VLOOKUP(K57,Reference!$A$2:$B$27,2,FALSE)</f>
        <v>#N/A</v>
      </c>
      <c r="J57" s="8" t="s">
        <v>41</v>
      </c>
      <c r="K57" s="8" t="s">
        <v>10</v>
      </c>
      <c r="L57" s="15">
        <v>2014</v>
      </c>
      <c r="M57" s="8">
        <v>1</v>
      </c>
      <c r="N57" s="8" t="str">
        <f t="shared" si="5"/>
        <v>2014 Q1</v>
      </c>
      <c r="O57" s="8" t="s">
        <v>21</v>
      </c>
      <c r="P57" s="8" t="s">
        <v>83</v>
      </c>
      <c r="Q57" s="8">
        <v>1</v>
      </c>
      <c r="R57" s="8">
        <v>23</v>
      </c>
      <c r="S57" s="14">
        <f>+V57/R57</f>
        <v>2458.8695652173915</v>
      </c>
      <c r="T57" s="8" t="str">
        <f t="shared" si="6"/>
        <v>No</v>
      </c>
      <c r="U57" s="11">
        <v>5254</v>
      </c>
      <c r="V57" s="11">
        <v>56554</v>
      </c>
      <c r="W57" s="11">
        <f>X57/10.764</f>
        <v>3940.4960981047939</v>
      </c>
      <c r="X57" s="11">
        <f>V57*0.75</f>
        <v>42415.5</v>
      </c>
      <c r="Y57" s="11"/>
      <c r="Z57" s="11">
        <f t="shared" si="7"/>
        <v>42415.5</v>
      </c>
      <c r="AA57" s="8" t="s">
        <v>89</v>
      </c>
      <c r="AB57" s="8" t="s">
        <v>231</v>
      </c>
      <c r="AC57" s="8" t="s">
        <v>92</v>
      </c>
      <c r="AD57" s="10">
        <v>41579</v>
      </c>
      <c r="AE57" s="10">
        <v>41677</v>
      </c>
      <c r="AF57" s="8" t="s">
        <v>30</v>
      </c>
      <c r="AG57" s="8" t="s">
        <v>321</v>
      </c>
      <c r="AH57" s="8"/>
      <c r="AI57" s="8" t="s">
        <v>705</v>
      </c>
      <c r="AJ57" s="8"/>
      <c r="AK57" s="8"/>
      <c r="AL57" s="8"/>
      <c r="AM57" s="8"/>
      <c r="AN57" s="8"/>
      <c r="AO57" s="8"/>
      <c r="AP57" s="8"/>
      <c r="AQ57" s="30" t="s">
        <v>789</v>
      </c>
    </row>
    <row r="58" spans="1:43" ht="14.9" customHeight="1" x14ac:dyDescent="0.35">
      <c r="A58" s="8"/>
      <c r="B58" s="8" t="s">
        <v>505</v>
      </c>
      <c r="C58" s="8" t="s">
        <v>506</v>
      </c>
      <c r="D58" s="8" t="s">
        <v>94</v>
      </c>
      <c r="E58" s="8" t="str">
        <f t="shared" si="4"/>
        <v>Hennessy Road, 256</v>
      </c>
      <c r="F58" s="8"/>
      <c r="G58" s="8" t="s">
        <v>4</v>
      </c>
      <c r="H58" s="8" t="s">
        <v>4</v>
      </c>
      <c r="I58" s="8" t="str">
        <f>VLOOKUP(K58,Reference!$A$2:$B$27,2,FALSE)</f>
        <v>Wan Chai &amp; Causeway Bay</v>
      </c>
      <c r="J58" s="8" t="s">
        <v>40</v>
      </c>
      <c r="K58" s="8" t="s">
        <v>4</v>
      </c>
      <c r="L58" s="15">
        <v>2008</v>
      </c>
      <c r="M58" s="8">
        <v>4</v>
      </c>
      <c r="N58" s="8" t="str">
        <f t="shared" si="5"/>
        <v>2008 Q4</v>
      </c>
      <c r="O58" s="8" t="s">
        <v>21</v>
      </c>
      <c r="P58" s="8" t="s">
        <v>84</v>
      </c>
      <c r="Q58" s="8">
        <v>1</v>
      </c>
      <c r="R58" s="8" t="s">
        <v>98</v>
      </c>
      <c r="S58" s="14">
        <f>V58/29</f>
        <v>2477.984151724138</v>
      </c>
      <c r="T58" s="8" t="str">
        <f t="shared" si="6"/>
        <v>No</v>
      </c>
      <c r="U58" s="11">
        <v>6676.1</v>
      </c>
      <c r="V58" s="11">
        <f>U58*10.764</f>
        <v>71861.540399999998</v>
      </c>
      <c r="W58" s="11">
        <v>4804.3999999999996</v>
      </c>
      <c r="X58" s="11">
        <f>W58*10.764</f>
        <v>51714.561599999994</v>
      </c>
      <c r="Y58" s="11"/>
      <c r="Z58" s="11">
        <f t="shared" si="7"/>
        <v>51714.561599999994</v>
      </c>
      <c r="AA58" s="8" t="s">
        <v>89</v>
      </c>
      <c r="AB58" s="8" t="s">
        <v>103</v>
      </c>
      <c r="AC58" s="8" t="s">
        <v>92</v>
      </c>
      <c r="AD58" s="10">
        <v>39753</v>
      </c>
      <c r="AE58" s="10">
        <v>40123</v>
      </c>
      <c r="AF58" s="8"/>
      <c r="AG58" s="8" t="s">
        <v>272</v>
      </c>
      <c r="AH58" s="8" t="s">
        <v>73</v>
      </c>
      <c r="AI58" s="8"/>
      <c r="AJ58" s="8"/>
      <c r="AK58" s="8"/>
      <c r="AL58" s="8"/>
      <c r="AM58" s="8"/>
      <c r="AN58" s="8"/>
      <c r="AO58" s="8"/>
      <c r="AP58" s="8"/>
      <c r="AQ58" s="8" t="s">
        <v>507</v>
      </c>
    </row>
    <row r="59" spans="1:43" ht="14.9" customHeight="1" x14ac:dyDescent="0.35">
      <c r="A59" s="8"/>
      <c r="B59" s="8" t="s">
        <v>569</v>
      </c>
      <c r="C59" s="8" t="s">
        <v>570</v>
      </c>
      <c r="D59" s="8" t="s">
        <v>571</v>
      </c>
      <c r="E59" s="8" t="str">
        <f t="shared" si="4"/>
        <v>Gloucester Road, 218</v>
      </c>
      <c r="F59" s="8"/>
      <c r="G59" s="8" t="s">
        <v>4</v>
      </c>
      <c r="H59" s="8" t="s">
        <v>4</v>
      </c>
      <c r="I59" s="8" t="str">
        <f>VLOOKUP(K59,Reference!$A$2:$B$27,2,FALSE)</f>
        <v>Wan Chai &amp; Causeway Bay</v>
      </c>
      <c r="J59" s="8" t="s">
        <v>40</v>
      </c>
      <c r="K59" s="8" t="s">
        <v>4</v>
      </c>
      <c r="L59" s="15">
        <v>2010</v>
      </c>
      <c r="M59" s="8">
        <v>1</v>
      </c>
      <c r="N59" s="8" t="str">
        <f t="shared" si="5"/>
        <v>2010 Q1</v>
      </c>
      <c r="O59" s="8" t="s">
        <v>198</v>
      </c>
      <c r="P59" s="8" t="s">
        <v>84</v>
      </c>
      <c r="Q59" s="8">
        <v>1</v>
      </c>
      <c r="R59" s="8" t="s">
        <v>572</v>
      </c>
      <c r="S59" s="14">
        <f>V59/29</f>
        <v>1259.4622344827585</v>
      </c>
      <c r="T59" s="8" t="str">
        <f t="shared" si="6"/>
        <v>No</v>
      </c>
      <c r="U59" s="11">
        <v>3393.2</v>
      </c>
      <c r="V59" s="11">
        <v>36524.404799999997</v>
      </c>
      <c r="W59" s="11">
        <v>1833.4</v>
      </c>
      <c r="X59" s="11">
        <v>19734.7176</v>
      </c>
      <c r="Y59" s="11"/>
      <c r="Z59" s="11">
        <f t="shared" si="7"/>
        <v>19734.7176</v>
      </c>
      <c r="AA59" s="8" t="s">
        <v>89</v>
      </c>
      <c r="AB59" s="8" t="s">
        <v>103</v>
      </c>
      <c r="AC59" s="8" t="s">
        <v>92</v>
      </c>
      <c r="AD59" s="10">
        <v>40238</v>
      </c>
      <c r="AE59" s="10">
        <v>40291</v>
      </c>
      <c r="AF59" s="8"/>
      <c r="AG59" s="8" t="s">
        <v>573</v>
      </c>
      <c r="AH59" s="8" t="s">
        <v>73</v>
      </c>
      <c r="AI59" s="8"/>
      <c r="AJ59" s="8"/>
      <c r="AK59" s="8"/>
      <c r="AL59" s="8"/>
      <c r="AM59" s="8"/>
      <c r="AN59" s="8"/>
      <c r="AO59" s="8"/>
      <c r="AP59" s="8"/>
      <c r="AQ59" s="8" t="s">
        <v>574</v>
      </c>
    </row>
    <row r="60" spans="1:43" ht="14.9" customHeight="1" x14ac:dyDescent="0.35">
      <c r="A60" s="8"/>
      <c r="B60" s="8" t="s">
        <v>248</v>
      </c>
      <c r="C60" s="8" t="s">
        <v>249</v>
      </c>
      <c r="D60" s="8" t="s">
        <v>94</v>
      </c>
      <c r="E60" s="8" t="str">
        <f t="shared" si="4"/>
        <v>Hennessy Road, 235-239</v>
      </c>
      <c r="F60" s="8"/>
      <c r="G60" s="8" t="s">
        <v>4</v>
      </c>
      <c r="H60" s="8" t="s">
        <v>4</v>
      </c>
      <c r="I60" s="8" t="str">
        <f>VLOOKUP(K60,Reference!$A$2:$B$27,2,FALSE)</f>
        <v>Wan Chai &amp; Causeway Bay</v>
      </c>
      <c r="J60" s="8" t="s">
        <v>40</v>
      </c>
      <c r="K60" s="8" t="s">
        <v>4</v>
      </c>
      <c r="L60" s="15">
        <v>2012</v>
      </c>
      <c r="M60" s="8">
        <v>3</v>
      </c>
      <c r="N60" s="8" t="str">
        <f t="shared" si="5"/>
        <v>2012 Q3</v>
      </c>
      <c r="O60" s="8" t="s">
        <v>21</v>
      </c>
      <c r="P60" s="8" t="s">
        <v>84</v>
      </c>
      <c r="Q60" s="8">
        <v>1</v>
      </c>
      <c r="R60" s="8">
        <v>27</v>
      </c>
      <c r="S60" s="14">
        <f>V60/R60</f>
        <v>1574.8529333333333</v>
      </c>
      <c r="T60" s="8" t="str">
        <f t="shared" si="6"/>
        <v>No</v>
      </c>
      <c r="U60" s="11">
        <v>3950.3</v>
      </c>
      <c r="V60" s="11">
        <f>+U60*10.764</f>
        <v>42521.029199999997</v>
      </c>
      <c r="W60" s="11">
        <v>2133.1999999999998</v>
      </c>
      <c r="X60" s="11">
        <f>+W60*10.764</f>
        <v>22961.764799999997</v>
      </c>
      <c r="Y60" s="11"/>
      <c r="Z60" s="11">
        <f t="shared" si="7"/>
        <v>22961.764799999997</v>
      </c>
      <c r="AA60" s="8" t="s">
        <v>89</v>
      </c>
      <c r="AB60" s="8" t="s">
        <v>103</v>
      </c>
      <c r="AC60" s="8" t="s">
        <v>92</v>
      </c>
      <c r="AD60" s="10">
        <v>41122</v>
      </c>
      <c r="AE60" s="10">
        <v>41327</v>
      </c>
      <c r="AF60" s="8"/>
      <c r="AG60" s="8" t="s">
        <v>250</v>
      </c>
      <c r="AH60" s="8" t="s">
        <v>73</v>
      </c>
      <c r="AI60" s="8"/>
      <c r="AJ60" s="8"/>
      <c r="AK60" s="8"/>
      <c r="AL60" s="8"/>
      <c r="AM60" s="8"/>
      <c r="AN60" s="8"/>
      <c r="AO60" s="8"/>
      <c r="AP60" s="8"/>
      <c r="AQ60" s="8" t="s">
        <v>251</v>
      </c>
    </row>
    <row r="61" spans="1:43" ht="15" customHeight="1" x14ac:dyDescent="0.35">
      <c r="A61" s="8"/>
      <c r="B61" s="8" t="s">
        <v>310</v>
      </c>
      <c r="C61" s="8" t="s">
        <v>311</v>
      </c>
      <c r="D61" s="8" t="s">
        <v>312</v>
      </c>
      <c r="E61" s="8" t="str">
        <f t="shared" si="4"/>
        <v>Luen Fat Street, 1</v>
      </c>
      <c r="F61" s="8"/>
      <c r="G61" s="8" t="s">
        <v>313</v>
      </c>
      <c r="H61" s="8" t="s">
        <v>55</v>
      </c>
      <c r="I61" s="8" t="str">
        <f>VLOOKUP(K61,Reference!$A$2:$B$27,2,FALSE)</f>
        <v>New Territories</v>
      </c>
      <c r="J61" s="8" t="s">
        <v>42</v>
      </c>
      <c r="K61" s="8" t="s">
        <v>17</v>
      </c>
      <c r="L61" s="15">
        <v>2014</v>
      </c>
      <c r="M61" s="8">
        <v>1</v>
      </c>
      <c r="N61" s="8" t="str">
        <f t="shared" si="5"/>
        <v>2014 Q1</v>
      </c>
      <c r="O61" s="8" t="s">
        <v>21</v>
      </c>
      <c r="P61" s="8" t="s">
        <v>83</v>
      </c>
      <c r="Q61" s="8">
        <v>1</v>
      </c>
      <c r="R61" s="8" t="s">
        <v>314</v>
      </c>
      <c r="S61" s="14">
        <f>+V61/17</f>
        <v>3788.6747294117645</v>
      </c>
      <c r="T61" s="8" t="str">
        <f t="shared" si="6"/>
        <v>No</v>
      </c>
      <c r="U61" s="11">
        <v>5983.6</v>
      </c>
      <c r="V61" s="11">
        <f>+U61*10.764</f>
        <v>64407.470399999998</v>
      </c>
      <c r="W61" s="11">
        <f>X61/10.764</f>
        <v>4487.7000000000007</v>
      </c>
      <c r="X61" s="11">
        <f>V61*0.75</f>
        <v>48305.602800000001</v>
      </c>
      <c r="Y61" s="11"/>
      <c r="Z61" s="11">
        <f t="shared" si="7"/>
        <v>48305.602800000001</v>
      </c>
      <c r="AA61" s="8" t="s">
        <v>156</v>
      </c>
      <c r="AB61" s="8" t="s">
        <v>138</v>
      </c>
      <c r="AC61" s="8" t="s">
        <v>92</v>
      </c>
      <c r="AD61" s="10">
        <v>40603</v>
      </c>
      <c r="AE61" s="10">
        <v>40675</v>
      </c>
      <c r="AF61" s="8"/>
      <c r="AG61" s="8" t="s">
        <v>315</v>
      </c>
      <c r="AH61" s="8"/>
      <c r="AI61" s="8" t="s">
        <v>705</v>
      </c>
      <c r="AJ61" s="8"/>
      <c r="AK61" s="8"/>
      <c r="AL61" s="8"/>
      <c r="AM61" s="8"/>
      <c r="AN61" s="8"/>
      <c r="AO61" s="8"/>
      <c r="AP61" s="8"/>
      <c r="AQ61" s="8"/>
    </row>
    <row r="62" spans="1:43" ht="15" customHeight="1" x14ac:dyDescent="0.35">
      <c r="A62" s="8"/>
      <c r="B62" s="8" t="s">
        <v>735</v>
      </c>
      <c r="C62" s="8"/>
      <c r="D62" s="8" t="s">
        <v>106</v>
      </c>
      <c r="E62" s="8" t="str">
        <f t="shared" si="4"/>
        <v xml:space="preserve">Pak Shek Kok, </v>
      </c>
      <c r="F62" s="8" t="s">
        <v>107</v>
      </c>
      <c r="G62" s="8" t="s">
        <v>56</v>
      </c>
      <c r="H62" s="8" t="s">
        <v>56</v>
      </c>
      <c r="I62" s="8" t="e">
        <f>VLOOKUP(K62,Reference!$A$2:$B$27,2,FALSE)</f>
        <v>#N/A</v>
      </c>
      <c r="J62" s="8" t="s">
        <v>42</v>
      </c>
      <c r="K62" s="8" t="s">
        <v>16</v>
      </c>
      <c r="L62" s="15">
        <v>2015</v>
      </c>
      <c r="M62" s="8">
        <v>1</v>
      </c>
      <c r="N62" s="8" t="str">
        <f t="shared" si="5"/>
        <v>2015 Q1</v>
      </c>
      <c r="O62" s="9" t="s">
        <v>734</v>
      </c>
      <c r="P62" s="8" t="s">
        <v>83</v>
      </c>
      <c r="Q62" s="8">
        <v>2</v>
      </c>
      <c r="R62" s="8" t="s">
        <v>108</v>
      </c>
      <c r="S62" s="14">
        <f>V62/2/8</f>
        <v>15187.5</v>
      </c>
      <c r="T62" s="8" t="str">
        <f t="shared" si="6"/>
        <v>Yes</v>
      </c>
      <c r="U62" s="11">
        <f>V62/10.764</f>
        <v>22575.250836120402</v>
      </c>
      <c r="V62" s="11">
        <v>243000</v>
      </c>
      <c r="W62" s="11">
        <f>X62/10.764</f>
        <v>16931.438127090303</v>
      </c>
      <c r="X62" s="11">
        <f>V62*0.75</f>
        <v>182250</v>
      </c>
      <c r="Y62" s="11"/>
      <c r="Z62" s="11">
        <f t="shared" si="7"/>
        <v>182250</v>
      </c>
      <c r="AA62" s="8"/>
      <c r="AB62" s="8"/>
      <c r="AC62" s="8"/>
      <c r="AD62" s="10"/>
      <c r="AE62" s="10"/>
      <c r="AF62" s="8" t="s">
        <v>29</v>
      </c>
      <c r="AG62" s="8" t="s">
        <v>109</v>
      </c>
      <c r="AH62" s="8" t="s">
        <v>73</v>
      </c>
      <c r="AI62" s="8" t="s">
        <v>705</v>
      </c>
      <c r="AJ62" s="8" t="s">
        <v>81</v>
      </c>
      <c r="AK62" s="8"/>
      <c r="AL62" s="8"/>
      <c r="AM62" s="8"/>
      <c r="AN62" s="8"/>
      <c r="AO62" s="8"/>
      <c r="AP62" s="8" t="str">
        <f>IF(ISBLANK(AK62),"",SUM(AK62:AO62))</f>
        <v/>
      </c>
      <c r="AQ62" s="8" t="s">
        <v>719</v>
      </c>
    </row>
    <row r="63" spans="1:43" ht="15" customHeight="1" x14ac:dyDescent="0.35">
      <c r="A63" s="8"/>
      <c r="B63" s="8" t="s">
        <v>184</v>
      </c>
      <c r="C63" s="8" t="s">
        <v>185</v>
      </c>
      <c r="D63" s="8" t="s">
        <v>178</v>
      </c>
      <c r="E63" s="8" t="str">
        <f t="shared" si="4"/>
        <v>Heung Yip Road, 38</v>
      </c>
      <c r="F63" s="8"/>
      <c r="G63" s="8" t="s">
        <v>130</v>
      </c>
      <c r="H63" s="8" t="s">
        <v>45</v>
      </c>
      <c r="I63" s="8" t="e">
        <f>VLOOKUP(K63,Reference!$A$2:$B$27,2,FALSE)</f>
        <v>#N/A</v>
      </c>
      <c r="J63" s="8" t="s">
        <v>40</v>
      </c>
      <c r="K63" s="8" t="s">
        <v>22</v>
      </c>
      <c r="L63" s="15">
        <v>2013</v>
      </c>
      <c r="M63" s="8">
        <v>2</v>
      </c>
      <c r="N63" s="8" t="str">
        <f t="shared" si="5"/>
        <v>2013 Q2</v>
      </c>
      <c r="O63" s="9" t="s">
        <v>720</v>
      </c>
      <c r="P63" s="8" t="s">
        <v>84</v>
      </c>
      <c r="Q63" s="8">
        <v>1</v>
      </c>
      <c r="R63" s="8" t="s">
        <v>98</v>
      </c>
      <c r="S63" s="14">
        <v>6000</v>
      </c>
      <c r="T63" s="8" t="str">
        <f t="shared" si="6"/>
        <v>No</v>
      </c>
      <c r="U63" s="11">
        <v>15328.5</v>
      </c>
      <c r="V63" s="11">
        <f>+U63*10.764</f>
        <v>164995.97399999999</v>
      </c>
      <c r="W63" s="11">
        <v>11056</v>
      </c>
      <c r="X63" s="11">
        <f>+W63*10.764</f>
        <v>119006.784</v>
      </c>
      <c r="Y63" s="11"/>
      <c r="Z63" s="11">
        <f t="shared" si="7"/>
        <v>119006.784</v>
      </c>
      <c r="AA63" s="8" t="s">
        <v>89</v>
      </c>
      <c r="AB63" s="8" t="s">
        <v>103</v>
      </c>
      <c r="AC63" s="8" t="s">
        <v>92</v>
      </c>
      <c r="AD63" s="10">
        <v>41395</v>
      </c>
      <c r="AE63" s="10">
        <v>41540</v>
      </c>
      <c r="AF63" s="8" t="s">
        <v>30</v>
      </c>
      <c r="AG63" s="9" t="s">
        <v>760</v>
      </c>
      <c r="AH63" s="8" t="s">
        <v>73</v>
      </c>
      <c r="AI63" s="9" t="s">
        <v>704</v>
      </c>
      <c r="AJ63" s="9" t="s">
        <v>82</v>
      </c>
      <c r="AK63" s="8"/>
      <c r="AL63" s="8"/>
      <c r="AM63" s="8"/>
      <c r="AN63" s="8"/>
      <c r="AO63" s="8"/>
      <c r="AP63" s="8"/>
      <c r="AQ63" s="8" t="s">
        <v>186</v>
      </c>
    </row>
    <row r="64" spans="1:43" ht="15" customHeight="1" x14ac:dyDescent="0.35">
      <c r="A64" s="8"/>
      <c r="B64" s="8" t="s">
        <v>440</v>
      </c>
      <c r="C64" s="8" t="s">
        <v>441</v>
      </c>
      <c r="D64" s="8" t="s">
        <v>442</v>
      </c>
      <c r="E64" s="8" t="str">
        <f t="shared" si="4"/>
        <v>Jervois Street, 53, 55, 57 &amp; 59</v>
      </c>
      <c r="F64" s="8"/>
      <c r="G64" s="8" t="s">
        <v>2</v>
      </c>
      <c r="H64" s="8" t="s">
        <v>43</v>
      </c>
      <c r="I64" s="8" t="str">
        <f>VLOOKUP(K64,Reference!$A$2:$B$27,2,FALSE)</f>
        <v>Admiralty &amp; Sheung Wan</v>
      </c>
      <c r="J64" s="8" t="s">
        <v>40</v>
      </c>
      <c r="K64" s="8" t="s">
        <v>2</v>
      </c>
      <c r="L64" s="15">
        <v>2015</v>
      </c>
      <c r="M64" s="8">
        <v>1</v>
      </c>
      <c r="N64" s="8" t="str">
        <f t="shared" si="5"/>
        <v>2015 Q1</v>
      </c>
      <c r="O64" s="8" t="s">
        <v>21</v>
      </c>
      <c r="P64" s="8" t="s">
        <v>83</v>
      </c>
      <c r="Q64" s="8">
        <v>1</v>
      </c>
      <c r="R64" s="8">
        <v>24</v>
      </c>
      <c r="S64" s="14">
        <f>+V64/R64</f>
        <v>1219.4266500000001</v>
      </c>
      <c r="T64" s="8" t="str">
        <f t="shared" si="6"/>
        <v>No</v>
      </c>
      <c r="U64" s="11">
        <v>2718.9</v>
      </c>
      <c r="V64" s="11">
        <f>+U64*10.764</f>
        <v>29266.239600000001</v>
      </c>
      <c r="W64" s="11">
        <f>X64/10.764</f>
        <v>2039.1750000000002</v>
      </c>
      <c r="X64" s="11">
        <f>V64*0.75</f>
        <v>21949.679700000001</v>
      </c>
      <c r="Y64" s="11"/>
      <c r="Z64" s="11">
        <f t="shared" si="7"/>
        <v>21949.679700000001</v>
      </c>
      <c r="AA64" s="8" t="s">
        <v>89</v>
      </c>
      <c r="AB64" s="8" t="s">
        <v>138</v>
      </c>
      <c r="AC64" s="8" t="s">
        <v>92</v>
      </c>
      <c r="AD64" s="10">
        <v>40483</v>
      </c>
      <c r="AE64" s="10">
        <v>40672</v>
      </c>
      <c r="AF64" s="8"/>
      <c r="AG64" s="8" t="s">
        <v>443</v>
      </c>
      <c r="AH64" s="8"/>
      <c r="AI64" s="8"/>
      <c r="AJ64" s="8"/>
      <c r="AK64" s="8"/>
      <c r="AL64" s="8"/>
      <c r="AM64" s="8"/>
      <c r="AN64" s="8"/>
      <c r="AO64" s="8"/>
      <c r="AP64" s="8"/>
      <c r="AQ64" s="8" t="s">
        <v>444</v>
      </c>
    </row>
    <row r="65" spans="1:44" s="40" customFormat="1" ht="14.9" customHeight="1" x14ac:dyDescent="0.35">
      <c r="A65" s="8"/>
      <c r="B65" s="34" t="s">
        <v>429</v>
      </c>
      <c r="C65" s="34">
        <v>123</v>
      </c>
      <c r="D65" s="34" t="s">
        <v>430</v>
      </c>
      <c r="E65" s="34" t="str">
        <f t="shared" si="4"/>
        <v>Gloucester Road and 219-227 Lockhart Road, 123</v>
      </c>
      <c r="F65" s="34" t="s">
        <v>431</v>
      </c>
      <c r="G65" s="34" t="s">
        <v>4</v>
      </c>
      <c r="H65" s="34" t="s">
        <v>4</v>
      </c>
      <c r="I65" s="34" t="str">
        <f>VLOOKUP(K65,Reference!$A$2:$B$27,2,FALSE)</f>
        <v>Wan Chai &amp; Causeway Bay</v>
      </c>
      <c r="J65" s="34" t="s">
        <v>40</v>
      </c>
      <c r="K65" s="34" t="s">
        <v>4</v>
      </c>
      <c r="L65" s="35">
        <v>2018</v>
      </c>
      <c r="M65" s="34"/>
      <c r="N65" s="34" t="str">
        <f t="shared" si="5"/>
        <v>2018</v>
      </c>
      <c r="O65" s="34"/>
      <c r="P65" s="34" t="s">
        <v>83</v>
      </c>
      <c r="Q65" s="34"/>
      <c r="R65" s="34"/>
      <c r="S65" s="36">
        <f>+V65/30</f>
        <v>16395.724800000004</v>
      </c>
      <c r="T65" s="34" t="str">
        <f t="shared" si="6"/>
        <v>Yes</v>
      </c>
      <c r="U65" s="36">
        <f>V65/10.764</f>
        <v>45696.000000000007</v>
      </c>
      <c r="V65" s="37">
        <f>0.3808*10000*10.764*12</f>
        <v>491871.74400000006</v>
      </c>
      <c r="W65" s="37">
        <f>X65/10.764</f>
        <v>34272.000000000007</v>
      </c>
      <c r="X65" s="36">
        <f>+V65*0.75</f>
        <v>368903.80800000008</v>
      </c>
      <c r="Y65" s="36"/>
      <c r="Z65" s="36">
        <f t="shared" si="7"/>
        <v>368903.80800000008</v>
      </c>
      <c r="AA65" s="34" t="s">
        <v>432</v>
      </c>
      <c r="AB65" s="34" t="s">
        <v>113</v>
      </c>
      <c r="AC65" s="34" t="s">
        <v>801</v>
      </c>
      <c r="AD65" s="38">
        <v>41671</v>
      </c>
      <c r="AE65" s="38">
        <v>41671</v>
      </c>
      <c r="AF65" s="34"/>
      <c r="AG65" s="34" t="s">
        <v>433</v>
      </c>
      <c r="AH65" s="34" t="s">
        <v>74</v>
      </c>
      <c r="AI65" s="34"/>
      <c r="AJ65" s="34" t="s">
        <v>81</v>
      </c>
      <c r="AK65" s="8"/>
      <c r="AL65" s="8"/>
      <c r="AM65" s="8"/>
      <c r="AN65" s="8"/>
      <c r="AO65" s="8"/>
      <c r="AP65" s="34"/>
      <c r="AQ65" s="39" t="s">
        <v>802</v>
      </c>
      <c r="AR65" s="40" t="s">
        <v>807</v>
      </c>
    </row>
    <row r="66" spans="1:44" ht="15" customHeight="1" x14ac:dyDescent="0.35">
      <c r="A66" s="8" t="s">
        <v>342</v>
      </c>
      <c r="B66" s="8" t="s">
        <v>685</v>
      </c>
      <c r="C66" s="8" t="s">
        <v>343</v>
      </c>
      <c r="D66" s="8" t="s">
        <v>344</v>
      </c>
      <c r="E66" s="8" t="str">
        <f t="shared" ref="E66:E85" si="9">CONCATENATE(D66,", ",C66)</f>
        <v>Hankow Road, 14-16</v>
      </c>
      <c r="F66" s="8"/>
      <c r="G66" s="8" t="s">
        <v>8</v>
      </c>
      <c r="H66" s="8" t="s">
        <v>46</v>
      </c>
      <c r="I66" s="8" t="str">
        <f>VLOOKUP(K66,Reference!$A$2:$B$27,2,FALSE)</f>
        <v>Tsim Sha Tsui</v>
      </c>
      <c r="J66" s="8" t="s">
        <v>41</v>
      </c>
      <c r="K66" s="8" t="s">
        <v>8</v>
      </c>
      <c r="L66" s="15">
        <v>2015</v>
      </c>
      <c r="M66" s="8">
        <v>4</v>
      </c>
      <c r="N66" s="8" t="str">
        <f t="shared" ref="N66:N85" si="10">IF(ISNUMBER(M66),CONCATENATE(L66," Q",M66),CONCATENATE(L66,M66))</f>
        <v>2015 Q4</v>
      </c>
      <c r="O66" s="8" t="s">
        <v>21</v>
      </c>
      <c r="P66" s="8" t="s">
        <v>83</v>
      </c>
      <c r="Q66" s="8">
        <v>1</v>
      </c>
      <c r="R66" s="8">
        <v>20</v>
      </c>
      <c r="S66" s="14"/>
      <c r="T66" s="8" t="str">
        <f t="shared" ref="T66:T85" si="11">IF(S66&gt;=10000,"Yes",IF(S66="","Unknown","No"))</f>
        <v>Unknown</v>
      </c>
      <c r="U66" s="11"/>
      <c r="V66" s="11"/>
      <c r="W66" s="11"/>
      <c r="X66" s="11"/>
      <c r="Y66" s="11"/>
      <c r="Z66" s="11" t="str">
        <f t="shared" ref="Z66:Z83" si="12">IF(ISBLANK(X66),"",X66-Y66)</f>
        <v/>
      </c>
      <c r="AA66" s="8" t="s">
        <v>89</v>
      </c>
      <c r="AB66" s="8" t="s">
        <v>113</v>
      </c>
      <c r="AC66" s="8" t="s">
        <v>346</v>
      </c>
      <c r="AD66" s="10">
        <v>40977</v>
      </c>
      <c r="AE66" s="10">
        <v>40983</v>
      </c>
      <c r="AF66" s="8" t="s">
        <v>30</v>
      </c>
      <c r="AG66" s="8" t="s">
        <v>345</v>
      </c>
      <c r="AH66" s="8" t="s">
        <v>73</v>
      </c>
      <c r="AI66" s="8" t="s">
        <v>705</v>
      </c>
      <c r="AJ66" s="8"/>
      <c r="AK66" s="8"/>
      <c r="AL66" s="8"/>
      <c r="AM66" s="8"/>
      <c r="AN66" s="8"/>
      <c r="AO66" s="8"/>
      <c r="AP66" s="8"/>
      <c r="AQ66" s="8" t="s">
        <v>347</v>
      </c>
    </row>
    <row r="67" spans="1:44" ht="14.9" customHeight="1" x14ac:dyDescent="0.35">
      <c r="A67" s="8"/>
      <c r="B67" s="8" t="s">
        <v>641</v>
      </c>
      <c r="C67" s="8">
        <v>46</v>
      </c>
      <c r="D67" s="8" t="s">
        <v>169</v>
      </c>
      <c r="E67" s="8" t="str">
        <f t="shared" si="9"/>
        <v>Tsun Yip Street, 46</v>
      </c>
      <c r="F67" s="8"/>
      <c r="G67" s="8" t="s">
        <v>50</v>
      </c>
      <c r="H67" s="8" t="s">
        <v>50</v>
      </c>
      <c r="I67" s="8" t="e">
        <f>VLOOKUP(K67,Reference!$A$2:$B$27,2,FALSE)</f>
        <v>#N/A</v>
      </c>
      <c r="J67" s="8" t="s">
        <v>41</v>
      </c>
      <c r="K67" s="8" t="s">
        <v>14</v>
      </c>
      <c r="L67" s="15"/>
      <c r="M67" s="8"/>
      <c r="N67" s="8" t="str">
        <f t="shared" si="10"/>
        <v/>
      </c>
      <c r="O67" s="8" t="s">
        <v>22</v>
      </c>
      <c r="P67" s="8" t="s">
        <v>85</v>
      </c>
      <c r="Q67" s="8"/>
      <c r="R67" s="8"/>
      <c r="S67" s="11"/>
      <c r="T67" s="8" t="str">
        <f t="shared" si="11"/>
        <v>Unknown</v>
      </c>
      <c r="U67" s="11"/>
      <c r="V67" s="11"/>
      <c r="W67" s="11"/>
      <c r="X67" s="11"/>
      <c r="Y67" s="11"/>
      <c r="Z67" s="11" t="str">
        <f t="shared" si="12"/>
        <v/>
      </c>
      <c r="AA67" s="8"/>
      <c r="AB67" s="8"/>
      <c r="AC67" s="8" t="s">
        <v>642</v>
      </c>
      <c r="AD67" s="10">
        <v>41039</v>
      </c>
      <c r="AE67" s="10">
        <v>41071</v>
      </c>
      <c r="AF67" s="8" t="s">
        <v>30</v>
      </c>
      <c r="AG67" s="8" t="s">
        <v>643</v>
      </c>
      <c r="AH67" s="8" t="s">
        <v>73</v>
      </c>
      <c r="AI67" s="8"/>
      <c r="AJ67" s="8" t="s">
        <v>81</v>
      </c>
      <c r="AK67" s="8"/>
      <c r="AL67" s="8"/>
      <c r="AM67" s="8"/>
      <c r="AN67" s="8"/>
      <c r="AO67" s="8"/>
      <c r="AP67" s="8"/>
      <c r="AQ67" s="8" t="s">
        <v>689</v>
      </c>
    </row>
    <row r="68" spans="1:44" ht="15" customHeight="1" x14ac:dyDescent="0.35">
      <c r="A68" s="8"/>
      <c r="B68" s="8" t="s">
        <v>436</v>
      </c>
      <c r="C68" s="8"/>
      <c r="D68" s="8" t="s">
        <v>436</v>
      </c>
      <c r="E68" s="8" t="str">
        <f t="shared" si="9"/>
        <v xml:space="preserve">Area 3A, Tung Chung, Lantau, </v>
      </c>
      <c r="F68" s="8" t="s">
        <v>437</v>
      </c>
      <c r="G68" s="8" t="s">
        <v>18</v>
      </c>
      <c r="H68" s="8" t="s">
        <v>59</v>
      </c>
      <c r="I68" s="8" t="e">
        <f>VLOOKUP(K68,Reference!$A$2:$B$27,2,FALSE)</f>
        <v>#N/A</v>
      </c>
      <c r="J68" s="8" t="s">
        <v>42</v>
      </c>
      <c r="K68" s="8" t="s">
        <v>18</v>
      </c>
      <c r="L68" s="15">
        <v>2018</v>
      </c>
      <c r="M68" s="8">
        <v>4</v>
      </c>
      <c r="N68" s="8" t="str">
        <f t="shared" si="10"/>
        <v>2018 Q4</v>
      </c>
      <c r="O68" s="8" t="s">
        <v>163</v>
      </c>
      <c r="P68" s="8" t="s">
        <v>86</v>
      </c>
      <c r="Q68" s="8"/>
      <c r="R68" s="8"/>
      <c r="S68" s="14"/>
      <c r="T68" s="8" t="str">
        <f t="shared" si="11"/>
        <v>Unknown</v>
      </c>
      <c r="U68" s="11">
        <f>V68/10.764</f>
        <v>30077.999999999996</v>
      </c>
      <c r="V68" s="11">
        <f>1.0026*10000*10.764*3</f>
        <v>323759.59199999995</v>
      </c>
      <c r="W68" s="11">
        <f t="shared" ref="W68:W79" si="13">X68/10.764</f>
        <v>22558.499999999996</v>
      </c>
      <c r="X68" s="11">
        <f>V68*0.75</f>
        <v>242819.69399999996</v>
      </c>
      <c r="Y68" s="11"/>
      <c r="Z68" s="11">
        <f t="shared" si="12"/>
        <v>242819.69399999996</v>
      </c>
      <c r="AA68" s="8" t="s">
        <v>89</v>
      </c>
      <c r="AB68" s="8" t="s">
        <v>113</v>
      </c>
      <c r="AC68" s="8" t="s">
        <v>801</v>
      </c>
      <c r="AD68" s="10">
        <v>41671</v>
      </c>
      <c r="AE68" s="10">
        <v>41671</v>
      </c>
      <c r="AF68" s="8"/>
      <c r="AG68" s="8" t="s">
        <v>433</v>
      </c>
      <c r="AH68" s="8" t="s">
        <v>74</v>
      </c>
      <c r="AI68" s="8" t="s">
        <v>705</v>
      </c>
      <c r="AJ68" s="8"/>
      <c r="AK68" s="8"/>
      <c r="AL68" s="8"/>
      <c r="AM68" s="8"/>
      <c r="AN68" s="8"/>
      <c r="AO68" s="8"/>
      <c r="AP68" s="8"/>
      <c r="AQ68" s="8" t="s">
        <v>803</v>
      </c>
    </row>
    <row r="69" spans="1:44" ht="15" customHeight="1" x14ac:dyDescent="0.35">
      <c r="A69" s="8"/>
      <c r="B69" s="8" t="s">
        <v>736</v>
      </c>
      <c r="C69" s="8"/>
      <c r="D69" s="8" t="s">
        <v>106</v>
      </c>
      <c r="E69" s="8" t="str">
        <f t="shared" si="9"/>
        <v xml:space="preserve">Pak Shek Kok, </v>
      </c>
      <c r="F69" s="8" t="s">
        <v>107</v>
      </c>
      <c r="G69" s="8" t="s">
        <v>56</v>
      </c>
      <c r="H69" s="8" t="s">
        <v>56</v>
      </c>
      <c r="I69" s="8" t="e">
        <f>VLOOKUP(K69,Reference!$A$2:$B$27,2,FALSE)</f>
        <v>#N/A</v>
      </c>
      <c r="J69" s="8" t="s">
        <v>42</v>
      </c>
      <c r="K69" s="8" t="s">
        <v>16</v>
      </c>
      <c r="L69" s="15">
        <v>2016</v>
      </c>
      <c r="M69" s="8">
        <v>1</v>
      </c>
      <c r="N69" s="8" t="str">
        <f t="shared" si="10"/>
        <v>2016 Q1</v>
      </c>
      <c r="O69" s="9" t="s">
        <v>734</v>
      </c>
      <c r="P69" s="8" t="s">
        <v>83</v>
      </c>
      <c r="Q69" s="8">
        <v>1</v>
      </c>
      <c r="R69" s="8" t="s">
        <v>108</v>
      </c>
      <c r="S69" s="14">
        <f>V69/8</f>
        <v>10226.25</v>
      </c>
      <c r="T69" s="8" t="str">
        <f t="shared" si="11"/>
        <v>Yes</v>
      </c>
      <c r="U69" s="11">
        <f>V69/10.764</f>
        <v>7600.3344481605354</v>
      </c>
      <c r="V69" s="11">
        <v>81810</v>
      </c>
      <c r="W69" s="11">
        <f t="shared" si="13"/>
        <v>5700.2508361204018</v>
      </c>
      <c r="X69" s="11">
        <f>V69*0.75</f>
        <v>61357.5</v>
      </c>
      <c r="Y69" s="11"/>
      <c r="Z69" s="11">
        <f t="shared" si="12"/>
        <v>61357.5</v>
      </c>
      <c r="AA69" s="8"/>
      <c r="AB69" s="8"/>
      <c r="AC69" s="8"/>
      <c r="AD69" s="10"/>
      <c r="AE69" s="10"/>
      <c r="AF69" s="8" t="s">
        <v>29</v>
      </c>
      <c r="AG69" s="8" t="s">
        <v>109</v>
      </c>
      <c r="AH69" s="8" t="s">
        <v>73</v>
      </c>
      <c r="AI69" s="8" t="s">
        <v>705</v>
      </c>
      <c r="AJ69" s="8" t="s">
        <v>81</v>
      </c>
      <c r="AK69" s="8"/>
      <c r="AL69" s="8"/>
      <c r="AM69" s="8"/>
      <c r="AN69" s="8"/>
      <c r="AO69" s="8"/>
      <c r="AP69" s="8"/>
      <c r="AQ69" s="8" t="s">
        <v>719</v>
      </c>
    </row>
    <row r="70" spans="1:44" ht="14.9" customHeight="1" x14ac:dyDescent="0.35">
      <c r="A70" s="8"/>
      <c r="B70" s="8" t="s">
        <v>392</v>
      </c>
      <c r="C70" s="8">
        <v>8</v>
      </c>
      <c r="D70" s="8" t="s">
        <v>393</v>
      </c>
      <c r="E70" s="8" t="str">
        <f t="shared" si="9"/>
        <v>Lam Chak Street, 8</v>
      </c>
      <c r="F70" s="8"/>
      <c r="G70" s="8" t="s">
        <v>171</v>
      </c>
      <c r="H70" s="8" t="s">
        <v>50</v>
      </c>
      <c r="I70" s="8" t="e">
        <f>VLOOKUP(K70,Reference!$A$2:$B$27,2,FALSE)</f>
        <v>#N/A</v>
      </c>
      <c r="J70" s="8" t="s">
        <v>41</v>
      </c>
      <c r="K70" s="8" t="s">
        <v>14</v>
      </c>
      <c r="L70" s="15">
        <v>2010</v>
      </c>
      <c r="M70" s="8">
        <v>4</v>
      </c>
      <c r="N70" s="8" t="str">
        <f t="shared" si="10"/>
        <v>2010 Q4</v>
      </c>
      <c r="O70" s="8" t="s">
        <v>21</v>
      </c>
      <c r="P70" s="8" t="s">
        <v>84</v>
      </c>
      <c r="Q70" s="8">
        <v>1</v>
      </c>
      <c r="R70" s="8" t="s">
        <v>394</v>
      </c>
      <c r="S70" s="14">
        <f>V70/23</f>
        <v>30134.782608695652</v>
      </c>
      <c r="T70" s="8" t="str">
        <f t="shared" si="11"/>
        <v>Yes</v>
      </c>
      <c r="U70" s="11">
        <f>V70/10.764</f>
        <v>64390.561129691567</v>
      </c>
      <c r="V70" s="11">
        <f>23800*9+22400+35500*11+34000+32000</f>
        <v>693100</v>
      </c>
      <c r="W70" s="11">
        <f t="shared" si="13"/>
        <v>51512.448903753255</v>
      </c>
      <c r="X70" s="11">
        <f>V70*0.8</f>
        <v>554480</v>
      </c>
      <c r="Y70" s="11"/>
      <c r="Z70" s="11">
        <f t="shared" si="12"/>
        <v>554480</v>
      </c>
      <c r="AA70" s="8" t="s">
        <v>395</v>
      </c>
      <c r="AB70" s="8" t="s">
        <v>103</v>
      </c>
      <c r="AC70" s="8" t="s">
        <v>92</v>
      </c>
      <c r="AD70" s="10">
        <v>40483</v>
      </c>
      <c r="AE70" s="10">
        <v>40672</v>
      </c>
      <c r="AF70" s="8"/>
      <c r="AG70" s="8" t="s">
        <v>396</v>
      </c>
      <c r="AH70" s="8" t="s">
        <v>73</v>
      </c>
      <c r="AI70" s="8"/>
      <c r="AJ70" s="8" t="s">
        <v>81</v>
      </c>
      <c r="AK70" s="8"/>
      <c r="AL70" s="8"/>
      <c r="AM70" s="8"/>
      <c r="AN70" s="8"/>
      <c r="AO70" s="8"/>
      <c r="AP70" s="8"/>
      <c r="AQ70" s="8" t="s">
        <v>397</v>
      </c>
    </row>
    <row r="71" spans="1:44" ht="14.9" customHeight="1" x14ac:dyDescent="0.35">
      <c r="A71" s="8"/>
      <c r="B71" s="8" t="s">
        <v>469</v>
      </c>
      <c r="C71" s="8"/>
      <c r="D71" s="8" t="s">
        <v>470</v>
      </c>
      <c r="E71" s="8" t="str">
        <f t="shared" si="9"/>
        <v xml:space="preserve">Oil Street, </v>
      </c>
      <c r="F71" s="8" t="s">
        <v>471</v>
      </c>
      <c r="G71" s="8" t="s">
        <v>6</v>
      </c>
      <c r="H71" s="8" t="s">
        <v>44</v>
      </c>
      <c r="I71" s="8" t="str">
        <f>VLOOKUP(K71,Reference!$A$2:$B$27,2,FALSE)</f>
        <v>Hong Kong East</v>
      </c>
      <c r="J71" s="8" t="s">
        <v>40</v>
      </c>
      <c r="K71" s="8" t="s">
        <v>6</v>
      </c>
      <c r="L71" s="15">
        <v>2016</v>
      </c>
      <c r="M71" s="8" t="s">
        <v>175</v>
      </c>
      <c r="N71" s="8" t="str">
        <f t="shared" si="10"/>
        <v>2016+</v>
      </c>
      <c r="O71" s="8" t="s">
        <v>174</v>
      </c>
      <c r="P71" s="8" t="s">
        <v>86</v>
      </c>
      <c r="Q71" s="8"/>
      <c r="R71" s="8"/>
      <c r="S71" s="14">
        <f>+V71/30</f>
        <v>6522.9839999999995</v>
      </c>
      <c r="T71" s="8" t="str">
        <f t="shared" si="11"/>
        <v>No</v>
      </c>
      <c r="U71" s="11">
        <f>V71/10.764</f>
        <v>18180</v>
      </c>
      <c r="V71" s="11">
        <f>18180*10.764</f>
        <v>195689.52</v>
      </c>
      <c r="W71" s="11">
        <f t="shared" si="13"/>
        <v>13635</v>
      </c>
      <c r="X71" s="11">
        <f>V71*0.75</f>
        <v>146767.13999999998</v>
      </c>
      <c r="Y71" s="11"/>
      <c r="Z71" s="11">
        <f t="shared" si="12"/>
        <v>146767.13999999998</v>
      </c>
      <c r="AA71" s="8"/>
      <c r="AB71" s="8" t="s">
        <v>113</v>
      </c>
      <c r="AC71" s="8" t="s">
        <v>435</v>
      </c>
      <c r="AD71" s="10"/>
      <c r="AE71" s="10">
        <v>40049</v>
      </c>
      <c r="AF71" s="8" t="s">
        <v>29</v>
      </c>
      <c r="AG71" s="8" t="s">
        <v>433</v>
      </c>
      <c r="AH71" s="8" t="s">
        <v>74</v>
      </c>
      <c r="AI71" s="8"/>
      <c r="AJ71" s="8" t="s">
        <v>81</v>
      </c>
      <c r="AK71" s="8"/>
      <c r="AL71" s="8"/>
      <c r="AM71" s="8"/>
      <c r="AN71" s="8"/>
      <c r="AO71" s="8"/>
      <c r="AP71" s="8"/>
      <c r="AQ71" s="8" t="s">
        <v>671</v>
      </c>
    </row>
    <row r="72" spans="1:44" ht="14.9" customHeight="1" x14ac:dyDescent="0.35">
      <c r="A72" s="8"/>
      <c r="B72" s="8" t="s">
        <v>465</v>
      </c>
      <c r="C72" s="8"/>
      <c r="D72" s="8" t="s">
        <v>466</v>
      </c>
      <c r="E72" s="8" t="str">
        <f t="shared" si="9"/>
        <v xml:space="preserve">Area 108 A, Tin Shui Wai, </v>
      </c>
      <c r="F72" s="8" t="s">
        <v>467</v>
      </c>
      <c r="G72" s="8" t="s">
        <v>468</v>
      </c>
      <c r="H72" s="8" t="s">
        <v>54</v>
      </c>
      <c r="I72" s="8" t="e">
        <f>VLOOKUP(K72,Reference!$A$2:$B$27,2,FALSE)</f>
        <v>#N/A</v>
      </c>
      <c r="J72" s="8" t="s">
        <v>42</v>
      </c>
      <c r="K72" s="8" t="s">
        <v>22</v>
      </c>
      <c r="L72" s="15">
        <v>2016</v>
      </c>
      <c r="M72" s="8" t="s">
        <v>175</v>
      </c>
      <c r="N72" s="8" t="str">
        <f t="shared" si="10"/>
        <v>2016+</v>
      </c>
      <c r="O72" s="8" t="s">
        <v>198</v>
      </c>
      <c r="P72" s="8" t="s">
        <v>83</v>
      </c>
      <c r="Q72" s="8"/>
      <c r="R72" s="8"/>
      <c r="S72" s="14"/>
      <c r="T72" s="8" t="str">
        <f t="shared" si="11"/>
        <v>Unknown</v>
      </c>
      <c r="U72" s="11">
        <f>V72/10.764</f>
        <v>26000</v>
      </c>
      <c r="V72" s="11">
        <f>0.65*10000*10.764*4</f>
        <v>279864</v>
      </c>
      <c r="W72" s="11">
        <f t="shared" si="13"/>
        <v>19500</v>
      </c>
      <c r="X72" s="11">
        <f>+V72*0.75</f>
        <v>209898</v>
      </c>
      <c r="Y72" s="11"/>
      <c r="Z72" s="11">
        <f t="shared" si="12"/>
        <v>209898</v>
      </c>
      <c r="AA72" s="8"/>
      <c r="AB72" s="8" t="s">
        <v>113</v>
      </c>
      <c r="AC72" s="8" t="s">
        <v>416</v>
      </c>
      <c r="AD72" s="10">
        <v>40597</v>
      </c>
      <c r="AE72" s="10">
        <v>40603</v>
      </c>
      <c r="AF72" s="8" t="s">
        <v>29</v>
      </c>
      <c r="AG72" s="8" t="s">
        <v>433</v>
      </c>
      <c r="AH72" s="8" t="s">
        <v>74</v>
      </c>
      <c r="AI72" s="8" t="s">
        <v>705</v>
      </c>
      <c r="AJ72" s="8" t="s">
        <v>81</v>
      </c>
      <c r="AK72" s="8"/>
      <c r="AL72" s="8"/>
      <c r="AM72" s="8"/>
      <c r="AN72" s="8"/>
      <c r="AO72" s="8"/>
      <c r="AP72" s="8"/>
      <c r="AQ72" s="8"/>
    </row>
    <row r="73" spans="1:44" ht="15" customHeight="1" x14ac:dyDescent="0.35">
      <c r="A73" s="8"/>
      <c r="B73" s="8" t="s">
        <v>472</v>
      </c>
      <c r="C73" s="8"/>
      <c r="D73" s="8" t="s">
        <v>473</v>
      </c>
      <c r="E73" s="8" t="str">
        <f t="shared" si="9"/>
        <v xml:space="preserve">Central Harbour Reclamation Site 2, </v>
      </c>
      <c r="F73" s="8"/>
      <c r="G73" s="8" t="s">
        <v>1</v>
      </c>
      <c r="H73" s="8" t="s">
        <v>43</v>
      </c>
      <c r="I73" s="8" t="str">
        <f>VLOOKUP(K73,Reference!$A$2:$B$27,2,FALSE)</f>
        <v>Central</v>
      </c>
      <c r="J73" s="8" t="s">
        <v>40</v>
      </c>
      <c r="K73" s="8" t="s">
        <v>1</v>
      </c>
      <c r="L73" s="15">
        <v>2017</v>
      </c>
      <c r="M73" s="8" t="s">
        <v>175</v>
      </c>
      <c r="N73" s="8" t="str">
        <f t="shared" si="10"/>
        <v>2017+</v>
      </c>
      <c r="O73" s="8"/>
      <c r="P73" s="8" t="s">
        <v>86</v>
      </c>
      <c r="Q73" s="8"/>
      <c r="R73" s="8"/>
      <c r="S73" s="14"/>
      <c r="T73" s="8" t="str">
        <f t="shared" si="11"/>
        <v>Unknown</v>
      </c>
      <c r="U73" s="11">
        <v>0</v>
      </c>
      <c r="V73" s="19">
        <f>0*10.764</f>
        <v>0</v>
      </c>
      <c r="W73" s="11">
        <f t="shared" si="13"/>
        <v>0</v>
      </c>
      <c r="X73" s="11">
        <f>V73*0.75</f>
        <v>0</v>
      </c>
      <c r="Y73" s="11"/>
      <c r="Z73" s="11">
        <f t="shared" si="12"/>
        <v>0</v>
      </c>
      <c r="AA73" s="8"/>
      <c r="AB73" s="8"/>
      <c r="AC73" s="8" t="s">
        <v>474</v>
      </c>
      <c r="AD73" s="10"/>
      <c r="AE73" s="10">
        <v>40127</v>
      </c>
      <c r="AF73" s="8" t="s">
        <v>29</v>
      </c>
      <c r="AG73" s="8" t="s">
        <v>433</v>
      </c>
      <c r="AH73" s="8" t="s">
        <v>74</v>
      </c>
      <c r="AI73" s="8"/>
      <c r="AJ73" s="8"/>
      <c r="AK73" s="8"/>
      <c r="AL73" s="8"/>
      <c r="AM73" s="8"/>
      <c r="AN73" s="8"/>
      <c r="AO73" s="8"/>
      <c r="AP73" s="8"/>
      <c r="AQ73" s="8" t="s">
        <v>670</v>
      </c>
    </row>
    <row r="74" spans="1:44" ht="14.9" customHeight="1" x14ac:dyDescent="0.35">
      <c r="A74" s="8"/>
      <c r="B74" s="8" t="s">
        <v>513</v>
      </c>
      <c r="C74" s="8" t="s">
        <v>514</v>
      </c>
      <c r="D74" s="8" t="s">
        <v>515</v>
      </c>
      <c r="E74" s="8" t="str">
        <f t="shared" si="9"/>
        <v>Wang Tai Road, 7</v>
      </c>
      <c r="F74" s="8"/>
      <c r="G74" s="8" t="s">
        <v>171</v>
      </c>
      <c r="H74" s="8" t="s">
        <v>50</v>
      </c>
      <c r="I74" s="8" t="e">
        <f>VLOOKUP(K74,Reference!$A$2:$B$27,2,FALSE)</f>
        <v>#N/A</v>
      </c>
      <c r="J74" s="8" t="s">
        <v>41</v>
      </c>
      <c r="K74" s="8" t="s">
        <v>14</v>
      </c>
      <c r="L74" s="15">
        <v>2021</v>
      </c>
      <c r="M74" s="8" t="s">
        <v>175</v>
      </c>
      <c r="N74" s="8" t="str">
        <f t="shared" si="10"/>
        <v>2021+</v>
      </c>
      <c r="O74" s="8" t="s">
        <v>459</v>
      </c>
      <c r="P74" s="8" t="s">
        <v>85</v>
      </c>
      <c r="Q74" s="8">
        <v>1</v>
      </c>
      <c r="R74" s="8" t="s">
        <v>516</v>
      </c>
      <c r="S74" s="11">
        <f>+V74/14</f>
        <v>27646.334485714284</v>
      </c>
      <c r="T74" s="8" t="str">
        <f t="shared" si="11"/>
        <v>Yes</v>
      </c>
      <c r="U74" s="11">
        <v>35957.699999999997</v>
      </c>
      <c r="V74" s="11">
        <v>387048.68279999995</v>
      </c>
      <c r="W74" s="11">
        <f t="shared" si="13"/>
        <v>26968.274999999994</v>
      </c>
      <c r="X74" s="11">
        <f>V74*0.75</f>
        <v>290286.51209999993</v>
      </c>
      <c r="Y74" s="11"/>
      <c r="Z74" s="11">
        <f t="shared" si="12"/>
        <v>290286.51209999993</v>
      </c>
      <c r="AA74" s="8" t="s">
        <v>517</v>
      </c>
      <c r="AB74" s="8" t="s">
        <v>138</v>
      </c>
      <c r="AC74" s="8" t="s">
        <v>92</v>
      </c>
      <c r="AD74" s="10">
        <v>39692</v>
      </c>
      <c r="AE74" s="10">
        <v>40147</v>
      </c>
      <c r="AF74" s="8" t="s">
        <v>30</v>
      </c>
      <c r="AG74" s="8" t="s">
        <v>518</v>
      </c>
      <c r="AH74" s="8" t="s">
        <v>73</v>
      </c>
      <c r="AI74" s="8"/>
      <c r="AJ74" s="8"/>
      <c r="AK74" s="8"/>
      <c r="AL74" s="8"/>
      <c r="AM74" s="8"/>
      <c r="AN74" s="8"/>
      <c r="AO74" s="8"/>
      <c r="AP74" s="8"/>
      <c r="AQ74" s="8" t="s">
        <v>519</v>
      </c>
    </row>
    <row r="75" spans="1:44" ht="15" customHeight="1" x14ac:dyDescent="0.35">
      <c r="A75" s="8" t="s">
        <v>553</v>
      </c>
      <c r="B75" s="8" t="s">
        <v>554</v>
      </c>
      <c r="C75" s="8" t="s">
        <v>555</v>
      </c>
      <c r="D75" s="8" t="s">
        <v>556</v>
      </c>
      <c r="E75" s="8" t="str">
        <f t="shared" si="9"/>
        <v>Wellington Street, 68-76</v>
      </c>
      <c r="F75" s="8"/>
      <c r="G75" s="8" t="s">
        <v>1</v>
      </c>
      <c r="H75" s="8" t="s">
        <v>43</v>
      </c>
      <c r="I75" s="8" t="str">
        <f>VLOOKUP(K75,Reference!$A$2:$B$27,2,FALSE)</f>
        <v>Central</v>
      </c>
      <c r="J75" s="8" t="s">
        <v>40</v>
      </c>
      <c r="K75" s="8" t="s">
        <v>1</v>
      </c>
      <c r="L75" s="15">
        <v>2020</v>
      </c>
      <c r="M75" s="8">
        <v>4</v>
      </c>
      <c r="N75" s="8" t="str">
        <f t="shared" si="10"/>
        <v>2020 Q4</v>
      </c>
      <c r="O75" s="8" t="s">
        <v>21</v>
      </c>
      <c r="P75" s="8" t="s">
        <v>83</v>
      </c>
      <c r="Q75" s="8">
        <v>1</v>
      </c>
      <c r="R75" s="8">
        <v>23</v>
      </c>
      <c r="S75" s="14">
        <f>+V75/R75</f>
        <v>2626.0884000000001</v>
      </c>
      <c r="T75" s="8" t="str">
        <f t="shared" si="11"/>
        <v>No</v>
      </c>
      <c r="U75" s="11">
        <v>5611.3</v>
      </c>
      <c r="V75" s="11">
        <f>+U75*10.764</f>
        <v>60400.033199999998</v>
      </c>
      <c r="W75" s="11">
        <f t="shared" si="13"/>
        <v>4208.4750000000004</v>
      </c>
      <c r="X75" s="11">
        <f>V75*0.75</f>
        <v>45300.024899999997</v>
      </c>
      <c r="Y75" s="11"/>
      <c r="Z75" s="11">
        <f t="shared" si="12"/>
        <v>45300.024899999997</v>
      </c>
      <c r="AA75" s="8" t="s">
        <v>89</v>
      </c>
      <c r="AB75" s="8" t="s">
        <v>138</v>
      </c>
      <c r="AC75" s="8" t="s">
        <v>92</v>
      </c>
      <c r="AD75" s="10">
        <v>40483</v>
      </c>
      <c r="AE75" s="10">
        <v>40672</v>
      </c>
      <c r="AF75" s="8" t="s">
        <v>30</v>
      </c>
      <c r="AG75" s="8" t="s">
        <v>557</v>
      </c>
      <c r="AH75" s="8" t="s">
        <v>73</v>
      </c>
      <c r="AI75" s="8"/>
      <c r="AJ75" s="8"/>
      <c r="AK75" s="8"/>
      <c r="AL75" s="8"/>
      <c r="AM75" s="8"/>
      <c r="AN75" s="8"/>
      <c r="AO75" s="8"/>
      <c r="AP75" s="8"/>
      <c r="AQ75" s="8" t="s">
        <v>558</v>
      </c>
    </row>
    <row r="76" spans="1:44" ht="15" customHeight="1" x14ac:dyDescent="0.35">
      <c r="A76" s="8"/>
      <c r="B76" s="8" t="s">
        <v>523</v>
      </c>
      <c r="C76" s="8" t="s">
        <v>524</v>
      </c>
      <c r="D76" s="8" t="s">
        <v>525</v>
      </c>
      <c r="E76" s="8" t="str">
        <f t="shared" si="9"/>
        <v>Connaught Road West &amp; 345 Des Voeux Road West, 179-180</v>
      </c>
      <c r="F76" s="8"/>
      <c r="G76" s="8" t="s">
        <v>526</v>
      </c>
      <c r="H76" s="8" t="s">
        <v>43</v>
      </c>
      <c r="I76" s="8" t="e">
        <f>VLOOKUP(K76,Reference!$A$2:$B$27,2,FALSE)</f>
        <v>#N/A</v>
      </c>
      <c r="J76" s="8" t="s">
        <v>40</v>
      </c>
      <c r="K76" s="8" t="s">
        <v>22</v>
      </c>
      <c r="L76" s="15">
        <v>2020</v>
      </c>
      <c r="M76" s="8" t="s">
        <v>175</v>
      </c>
      <c r="N76" s="8" t="str">
        <f t="shared" si="10"/>
        <v>2020+</v>
      </c>
      <c r="O76" s="8" t="s">
        <v>21</v>
      </c>
      <c r="P76" s="8" t="s">
        <v>83</v>
      </c>
      <c r="Q76" s="8">
        <v>1</v>
      </c>
      <c r="R76" s="8" t="s">
        <v>527</v>
      </c>
      <c r="S76" s="14">
        <f>V76/30</f>
        <v>9132.9669599999997</v>
      </c>
      <c r="T76" s="8" t="str">
        <f t="shared" si="11"/>
        <v>No</v>
      </c>
      <c r="U76" s="11">
        <v>25454.2</v>
      </c>
      <c r="V76" s="11">
        <f>+U76*10.764</f>
        <v>273989.00880000001</v>
      </c>
      <c r="W76" s="11">
        <f t="shared" si="13"/>
        <v>19090.650000000001</v>
      </c>
      <c r="X76" s="11">
        <f>+V76*0.75</f>
        <v>205491.75660000002</v>
      </c>
      <c r="Y76" s="11"/>
      <c r="Z76" s="11">
        <f t="shared" si="12"/>
        <v>205491.75660000002</v>
      </c>
      <c r="AA76" s="8" t="s">
        <v>89</v>
      </c>
      <c r="AB76" s="8" t="s">
        <v>138</v>
      </c>
      <c r="AC76" s="8" t="s">
        <v>92</v>
      </c>
      <c r="AD76" s="10">
        <v>40057</v>
      </c>
      <c r="AE76" s="10">
        <v>40123</v>
      </c>
      <c r="AF76" s="8" t="s">
        <v>30</v>
      </c>
      <c r="AG76" s="8" t="s">
        <v>528</v>
      </c>
      <c r="AH76" s="8"/>
      <c r="AI76" s="8"/>
      <c r="AJ76" s="8"/>
      <c r="AK76" s="8"/>
      <c r="AL76" s="8"/>
      <c r="AM76" s="8"/>
      <c r="AN76" s="8"/>
      <c r="AO76" s="8"/>
      <c r="AP76" s="8"/>
      <c r="AQ76" s="8" t="s">
        <v>529</v>
      </c>
    </row>
    <row r="77" spans="1:44" ht="14.9" customHeight="1" x14ac:dyDescent="0.35">
      <c r="A77" s="8"/>
      <c r="B77" s="8" t="s">
        <v>371</v>
      </c>
      <c r="C77" s="8"/>
      <c r="D77" s="8" t="s">
        <v>371</v>
      </c>
      <c r="E77" s="8" t="str">
        <f t="shared" si="9"/>
        <v xml:space="preserve">Junction of Sam Chuk Street and Tsat Po Street, </v>
      </c>
      <c r="F77" s="8" t="s">
        <v>372</v>
      </c>
      <c r="G77" s="8" t="s">
        <v>11</v>
      </c>
      <c r="H77" s="8" t="s">
        <v>49</v>
      </c>
      <c r="I77" s="8" t="str">
        <f>VLOOKUP(K77,Reference!$A$2:$B$27,2,FALSE)</f>
        <v>Kowloon Others</v>
      </c>
      <c r="J77" s="8" t="s">
        <v>41</v>
      </c>
      <c r="K77" s="8" t="s">
        <v>11</v>
      </c>
      <c r="L77" s="15"/>
      <c r="M77" s="8"/>
      <c r="N77" s="8" t="str">
        <f t="shared" si="10"/>
        <v/>
      </c>
      <c r="O77" s="8" t="s">
        <v>131</v>
      </c>
      <c r="P77" s="8" t="s">
        <v>85</v>
      </c>
      <c r="Q77" s="8"/>
      <c r="R77" s="8"/>
      <c r="S77" s="14"/>
      <c r="T77" s="8" t="str">
        <f t="shared" si="11"/>
        <v>Unknown</v>
      </c>
      <c r="U77" s="11">
        <f>V77/10.764</f>
        <v>103559.64325529544</v>
      </c>
      <c r="V77" s="11">
        <f>X77/0.75</f>
        <v>1114716</v>
      </c>
      <c r="W77" s="11">
        <f t="shared" si="13"/>
        <v>77669.732441471569</v>
      </c>
      <c r="X77" s="11">
        <f>92893*12*0.75</f>
        <v>836037</v>
      </c>
      <c r="Y77" s="11"/>
      <c r="Z77" s="11">
        <f t="shared" si="12"/>
        <v>836037</v>
      </c>
      <c r="AA77" s="8" t="s">
        <v>89</v>
      </c>
      <c r="AB77" s="8" t="s">
        <v>113</v>
      </c>
      <c r="AC77" s="8"/>
      <c r="AD77" s="10"/>
      <c r="AE77" s="10"/>
      <c r="AF77" s="8" t="s">
        <v>29</v>
      </c>
      <c r="AG77" s="8"/>
      <c r="AH77" s="8"/>
      <c r="AI77" s="8"/>
      <c r="AJ77" s="8"/>
      <c r="AK77" s="8"/>
      <c r="AL77" s="8"/>
      <c r="AM77" s="8"/>
      <c r="AN77" s="8"/>
      <c r="AO77" s="8"/>
      <c r="AP77" s="8"/>
      <c r="AQ77" s="8" t="s">
        <v>373</v>
      </c>
    </row>
    <row r="78" spans="1:44" ht="14.9" customHeight="1" x14ac:dyDescent="0.35">
      <c r="A78" s="8"/>
      <c r="B78" s="8" t="s">
        <v>378</v>
      </c>
      <c r="C78" s="8"/>
      <c r="D78" s="8" t="s">
        <v>378</v>
      </c>
      <c r="E78" s="8" t="str">
        <f t="shared" si="9"/>
        <v xml:space="preserve">Junction of Sam Chuk Street and King Fuk Street, </v>
      </c>
      <c r="F78" s="8" t="s">
        <v>379</v>
      </c>
      <c r="G78" s="8" t="s">
        <v>11</v>
      </c>
      <c r="H78" s="8" t="s">
        <v>49</v>
      </c>
      <c r="I78" s="8" t="str">
        <f>VLOOKUP(K78,Reference!$A$2:$B$27,2,FALSE)</f>
        <v>Kowloon Others</v>
      </c>
      <c r="J78" s="8" t="s">
        <v>41</v>
      </c>
      <c r="K78" s="8" t="s">
        <v>11</v>
      </c>
      <c r="L78" s="15"/>
      <c r="M78" s="8"/>
      <c r="N78" s="8" t="str">
        <f t="shared" si="10"/>
        <v/>
      </c>
      <c r="O78" s="8" t="s">
        <v>131</v>
      </c>
      <c r="P78" s="8" t="s">
        <v>85</v>
      </c>
      <c r="Q78" s="8"/>
      <c r="R78" s="8"/>
      <c r="S78" s="14"/>
      <c r="T78" s="8" t="str">
        <f t="shared" si="11"/>
        <v>Unknown</v>
      </c>
      <c r="U78" s="11">
        <f>V78/10.764</f>
        <v>89759.197324414723</v>
      </c>
      <c r="V78" s="11">
        <f>X78/0.75</f>
        <v>966168</v>
      </c>
      <c r="W78" s="11">
        <f t="shared" si="13"/>
        <v>67319.397993311039</v>
      </c>
      <c r="X78" s="11">
        <f>80514*12*0.75</f>
        <v>724626</v>
      </c>
      <c r="Y78" s="11"/>
      <c r="Z78" s="11">
        <f t="shared" si="12"/>
        <v>724626</v>
      </c>
      <c r="AA78" s="8" t="s">
        <v>89</v>
      </c>
      <c r="AB78" s="8" t="s">
        <v>113</v>
      </c>
      <c r="AC78" s="8"/>
      <c r="AD78" s="10"/>
      <c r="AE78" s="10"/>
      <c r="AF78" s="8" t="s">
        <v>29</v>
      </c>
      <c r="AG78" s="8"/>
      <c r="AH78" s="8"/>
      <c r="AI78" s="8"/>
      <c r="AJ78" s="8"/>
      <c r="AK78" s="8"/>
      <c r="AL78" s="8"/>
      <c r="AM78" s="8"/>
      <c r="AN78" s="8"/>
      <c r="AO78" s="8"/>
      <c r="AP78" s="8"/>
      <c r="AQ78" s="8" t="s">
        <v>380</v>
      </c>
    </row>
    <row r="79" spans="1:44" ht="15" customHeight="1" x14ac:dyDescent="0.35">
      <c r="A79" s="8" t="s">
        <v>549</v>
      </c>
      <c r="B79" s="8" t="s">
        <v>832</v>
      </c>
      <c r="C79" s="8" t="s">
        <v>311</v>
      </c>
      <c r="D79" s="8" t="s">
        <v>550</v>
      </c>
      <c r="E79" s="8" t="str">
        <f t="shared" si="9"/>
        <v>Yip Fat Street, 1</v>
      </c>
      <c r="F79" s="8"/>
      <c r="G79" s="8" t="s">
        <v>130</v>
      </c>
      <c r="H79" s="8" t="s">
        <v>45</v>
      </c>
      <c r="I79" s="8" t="e">
        <f>VLOOKUP(K79,Reference!$A$2:$B$27,2,FALSE)</f>
        <v>#N/A</v>
      </c>
      <c r="J79" s="8" t="s">
        <v>40</v>
      </c>
      <c r="K79" s="8" t="s">
        <v>22</v>
      </c>
      <c r="L79" s="15">
        <v>2009</v>
      </c>
      <c r="M79" s="8"/>
      <c r="N79" s="8" t="str">
        <f t="shared" si="10"/>
        <v>2009</v>
      </c>
      <c r="O79" s="8" t="s">
        <v>748</v>
      </c>
      <c r="P79" s="8" t="s">
        <v>83</v>
      </c>
      <c r="Q79" s="8">
        <v>1</v>
      </c>
      <c r="R79" s="8" t="s">
        <v>551</v>
      </c>
      <c r="S79" s="14">
        <f>V79/25</f>
        <v>5577.7325760000003</v>
      </c>
      <c r="T79" s="8" t="str">
        <f t="shared" si="11"/>
        <v>No</v>
      </c>
      <c r="U79" s="11">
        <v>12954.6</v>
      </c>
      <c r="V79" s="11">
        <f>+U79*10.764</f>
        <v>139443.3144</v>
      </c>
      <c r="W79" s="11">
        <f t="shared" si="13"/>
        <v>9715.9500000000007</v>
      </c>
      <c r="X79" s="11">
        <f>+V79*0.75</f>
        <v>104582.48579999999</v>
      </c>
      <c r="Y79" s="11"/>
      <c r="Z79" s="11">
        <f t="shared" si="12"/>
        <v>104582.48579999999</v>
      </c>
      <c r="AA79" s="8" t="s">
        <v>89</v>
      </c>
      <c r="AB79" s="8" t="s">
        <v>138</v>
      </c>
      <c r="AC79" s="8" t="s">
        <v>92</v>
      </c>
      <c r="AD79" s="10">
        <v>40057</v>
      </c>
      <c r="AE79" s="10">
        <v>40123</v>
      </c>
      <c r="AF79" s="8" t="s">
        <v>30</v>
      </c>
      <c r="AG79" s="8" t="s">
        <v>547</v>
      </c>
      <c r="AH79" s="8"/>
      <c r="AI79" s="8"/>
      <c r="AJ79" s="8"/>
      <c r="AK79" s="8"/>
      <c r="AL79" s="8"/>
      <c r="AM79" s="8"/>
      <c r="AN79" s="8"/>
      <c r="AO79" s="8"/>
      <c r="AP79" s="8"/>
      <c r="AQ79" s="8" t="s">
        <v>548</v>
      </c>
    </row>
    <row r="80" spans="1:44" ht="15" customHeight="1" x14ac:dyDescent="0.35">
      <c r="A80" s="8"/>
      <c r="B80" s="8" t="s">
        <v>785</v>
      </c>
      <c r="C80" s="8">
        <v>128</v>
      </c>
      <c r="D80" s="8" t="s">
        <v>732</v>
      </c>
      <c r="E80" s="8" t="str">
        <f t="shared" si="9"/>
        <v>Sai Yee Street, 128</v>
      </c>
      <c r="F80" s="8"/>
      <c r="G80" s="8" t="s">
        <v>730</v>
      </c>
      <c r="H80" s="8" t="s">
        <v>46</v>
      </c>
      <c r="I80" s="8" t="e">
        <f>VLOOKUP(K80,Reference!$A$2:$B$27,2,FALSE)</f>
        <v>#N/A</v>
      </c>
      <c r="J80" s="8" t="s">
        <v>41</v>
      </c>
      <c r="K80" s="8" t="s">
        <v>10</v>
      </c>
      <c r="L80" s="15">
        <v>2018</v>
      </c>
      <c r="M80" s="8"/>
      <c r="N80" s="8" t="str">
        <f t="shared" si="10"/>
        <v>2018</v>
      </c>
      <c r="O80" s="9" t="s">
        <v>720</v>
      </c>
      <c r="P80" s="8" t="s">
        <v>83</v>
      </c>
      <c r="Q80" s="8"/>
      <c r="R80" s="8"/>
      <c r="S80" s="11"/>
      <c r="T80" s="8" t="str">
        <f t="shared" si="11"/>
        <v>Unknown</v>
      </c>
      <c r="U80" s="12"/>
      <c r="V80" s="12"/>
      <c r="W80" s="12"/>
      <c r="X80" s="12"/>
      <c r="Y80" s="11"/>
      <c r="Z80" s="11" t="str">
        <f t="shared" si="12"/>
        <v/>
      </c>
      <c r="AA80" s="8"/>
      <c r="AB80" s="8" t="s">
        <v>113</v>
      </c>
      <c r="AC80" s="8"/>
      <c r="AD80" s="10">
        <v>41332</v>
      </c>
      <c r="AE80" s="10">
        <v>41344</v>
      </c>
      <c r="AF80" s="8" t="s">
        <v>30</v>
      </c>
      <c r="AG80" s="8" t="s">
        <v>754</v>
      </c>
      <c r="AH80" s="8" t="s">
        <v>74</v>
      </c>
      <c r="AI80" s="9" t="s">
        <v>705</v>
      </c>
      <c r="AJ80" s="9" t="s">
        <v>81</v>
      </c>
      <c r="AK80" s="8"/>
      <c r="AL80" s="8"/>
      <c r="AM80" s="8"/>
      <c r="AN80" s="8"/>
      <c r="AO80" s="8"/>
      <c r="AP80" s="8"/>
      <c r="AQ80" s="8" t="s">
        <v>745</v>
      </c>
    </row>
    <row r="81" spans="1:43" ht="14.9" customHeight="1" x14ac:dyDescent="0.35">
      <c r="A81" s="8"/>
      <c r="B81" s="8" t="s">
        <v>598</v>
      </c>
      <c r="C81" s="8" t="s">
        <v>559</v>
      </c>
      <c r="D81" s="8" t="s">
        <v>599</v>
      </c>
      <c r="E81" s="8" t="str">
        <f t="shared" si="9"/>
        <v>Prat Avenue, 10</v>
      </c>
      <c r="F81" s="8"/>
      <c r="G81" s="8" t="s">
        <v>8</v>
      </c>
      <c r="H81" s="8" t="s">
        <v>46</v>
      </c>
      <c r="I81" s="8" t="str">
        <f>VLOOKUP(K81,Reference!$A$2:$B$27,2,FALSE)</f>
        <v>Tsim Sha Tsui</v>
      </c>
      <c r="J81" s="8" t="s">
        <v>41</v>
      </c>
      <c r="K81" s="8" t="s">
        <v>8</v>
      </c>
      <c r="L81" s="15">
        <v>2009</v>
      </c>
      <c r="M81" s="8">
        <v>1</v>
      </c>
      <c r="N81" s="8" t="str">
        <f t="shared" si="10"/>
        <v>2009 Q1</v>
      </c>
      <c r="O81" s="8" t="s">
        <v>21</v>
      </c>
      <c r="P81" s="8" t="s">
        <v>84</v>
      </c>
      <c r="Q81" s="8">
        <v>1</v>
      </c>
      <c r="R81" s="8" t="s">
        <v>600</v>
      </c>
      <c r="S81" s="14">
        <f>V81/13</f>
        <v>1650.0383999999999</v>
      </c>
      <c r="T81" s="8" t="str">
        <f t="shared" si="11"/>
        <v>No</v>
      </c>
      <c r="U81" s="11">
        <v>1992.8</v>
      </c>
      <c r="V81" s="11">
        <f>U81*10.764</f>
        <v>21450.499199999998</v>
      </c>
      <c r="W81" s="11">
        <f>X81/10.764</f>
        <v>1494.6</v>
      </c>
      <c r="X81" s="11">
        <f>V81*0.75</f>
        <v>16087.874399999999</v>
      </c>
      <c r="Y81" s="11"/>
      <c r="Z81" s="11">
        <f t="shared" si="12"/>
        <v>16087.874399999999</v>
      </c>
      <c r="AA81" s="8" t="s">
        <v>89</v>
      </c>
      <c r="AB81" s="8" t="s">
        <v>103</v>
      </c>
      <c r="AC81" s="8" t="s">
        <v>92</v>
      </c>
      <c r="AD81" s="10">
        <v>39814</v>
      </c>
      <c r="AE81" s="10">
        <v>40123</v>
      </c>
      <c r="AF81" s="8"/>
      <c r="AG81" s="8" t="s">
        <v>601</v>
      </c>
      <c r="AH81" s="8" t="s">
        <v>73</v>
      </c>
      <c r="AI81" s="8"/>
      <c r="AJ81" s="8" t="s">
        <v>81</v>
      </c>
      <c r="AK81" s="8"/>
      <c r="AL81" s="8"/>
      <c r="AM81" s="8"/>
      <c r="AN81" s="8"/>
      <c r="AO81" s="8"/>
      <c r="AP81" s="8"/>
      <c r="AQ81" s="8" t="s">
        <v>602</v>
      </c>
    </row>
    <row r="82" spans="1:43" ht="14.9" customHeight="1" x14ac:dyDescent="0.35">
      <c r="A82" s="8"/>
      <c r="B82" s="8" t="s">
        <v>617</v>
      </c>
      <c r="C82" s="8" t="s">
        <v>618</v>
      </c>
      <c r="D82" s="8" t="s">
        <v>619</v>
      </c>
      <c r="E82" s="8" t="str">
        <f t="shared" si="9"/>
        <v>Mody Road, 30</v>
      </c>
      <c r="F82" s="8"/>
      <c r="G82" s="8" t="s">
        <v>8</v>
      </c>
      <c r="H82" s="8" t="s">
        <v>46</v>
      </c>
      <c r="I82" s="8" t="str">
        <f>VLOOKUP(K82,Reference!$A$2:$B$27,2,FALSE)</f>
        <v>Tsim Sha Tsui</v>
      </c>
      <c r="J82" s="8" t="s">
        <v>41</v>
      </c>
      <c r="K82" s="8" t="s">
        <v>8</v>
      </c>
      <c r="L82" s="15">
        <v>2010</v>
      </c>
      <c r="M82" s="8">
        <v>2</v>
      </c>
      <c r="N82" s="8" t="str">
        <f t="shared" si="10"/>
        <v>2010 Q2</v>
      </c>
      <c r="O82" s="8" t="s">
        <v>21</v>
      </c>
      <c r="P82" s="8" t="s">
        <v>84</v>
      </c>
      <c r="Q82" s="8">
        <v>1</v>
      </c>
      <c r="R82" s="8">
        <v>13</v>
      </c>
      <c r="S82" s="14">
        <f>V82/R82</f>
        <v>1007.2619999999999</v>
      </c>
      <c r="T82" s="8" t="str">
        <f t="shared" si="11"/>
        <v>No</v>
      </c>
      <c r="U82" s="11">
        <v>1216.5</v>
      </c>
      <c r="V82" s="11">
        <f>+U82*10.764</f>
        <v>13094.405999999999</v>
      </c>
      <c r="W82" s="11">
        <v>691.7</v>
      </c>
      <c r="X82" s="11">
        <f>+W82*10.764</f>
        <v>7445.4588000000003</v>
      </c>
      <c r="Y82" s="11"/>
      <c r="Z82" s="11">
        <f t="shared" si="12"/>
        <v>7445.4588000000003</v>
      </c>
      <c r="AA82" s="8" t="s">
        <v>89</v>
      </c>
      <c r="AB82" s="8" t="s">
        <v>103</v>
      </c>
      <c r="AC82" s="8" t="s">
        <v>92</v>
      </c>
      <c r="AD82" s="10">
        <v>40544</v>
      </c>
      <c r="AE82" s="10">
        <v>40675</v>
      </c>
      <c r="AF82" s="8"/>
      <c r="AG82" s="8" t="s">
        <v>620</v>
      </c>
      <c r="AH82" s="8" t="s">
        <v>73</v>
      </c>
      <c r="AI82" s="8"/>
      <c r="AJ82" s="8" t="s">
        <v>81</v>
      </c>
      <c r="AK82" s="8"/>
      <c r="AL82" s="8"/>
      <c r="AM82" s="8"/>
      <c r="AN82" s="8"/>
      <c r="AO82" s="8"/>
      <c r="AP82" s="8"/>
      <c r="AQ82" s="8" t="s">
        <v>621</v>
      </c>
    </row>
    <row r="83" spans="1:43" ht="15" customHeight="1" x14ac:dyDescent="0.35">
      <c r="A83" s="8"/>
      <c r="B83" s="8" t="s">
        <v>530</v>
      </c>
      <c r="C83" s="8"/>
      <c r="D83" s="8" t="s">
        <v>530</v>
      </c>
      <c r="E83" s="8" t="str">
        <f t="shared" si="9"/>
        <v xml:space="preserve">Site 11, Area 77, Ma On Shan, Sha Tin, </v>
      </c>
      <c r="F83" s="8" t="s">
        <v>531</v>
      </c>
      <c r="G83" s="8" t="s">
        <v>16</v>
      </c>
      <c r="H83" s="8" t="s">
        <v>57</v>
      </c>
      <c r="I83" s="8" t="e">
        <f>VLOOKUP(K83,Reference!$A$2:$B$27,2,FALSE)</f>
        <v>#N/A</v>
      </c>
      <c r="J83" s="8" t="s">
        <v>42</v>
      </c>
      <c r="K83" s="8" t="s">
        <v>16</v>
      </c>
      <c r="L83" s="15">
        <v>2020</v>
      </c>
      <c r="M83" s="8" t="s">
        <v>175</v>
      </c>
      <c r="N83" s="8" t="str">
        <f t="shared" si="10"/>
        <v>2020+</v>
      </c>
      <c r="O83" s="8" t="s">
        <v>163</v>
      </c>
      <c r="P83" s="8" t="s">
        <v>83</v>
      </c>
      <c r="Q83" s="8"/>
      <c r="R83" s="8"/>
      <c r="S83" s="14"/>
      <c r="T83" s="8" t="str">
        <f t="shared" si="11"/>
        <v>Unknown</v>
      </c>
      <c r="U83" s="11">
        <f>V83/10.764</f>
        <v>25450</v>
      </c>
      <c r="V83" s="11">
        <f>0.509*10000*10.764*5</f>
        <v>273943.8</v>
      </c>
      <c r="W83" s="11">
        <f>X83/10.764</f>
        <v>19087.5</v>
      </c>
      <c r="X83" s="11">
        <f>V83*0.75</f>
        <v>205457.84999999998</v>
      </c>
      <c r="Y83" s="11"/>
      <c r="Z83" s="11">
        <f t="shared" si="12"/>
        <v>205457.84999999998</v>
      </c>
      <c r="AA83" s="8" t="s">
        <v>89</v>
      </c>
      <c r="AB83" s="8" t="s">
        <v>113</v>
      </c>
      <c r="AC83" s="8" t="s">
        <v>423</v>
      </c>
      <c r="AD83" s="10">
        <v>40620</v>
      </c>
      <c r="AE83" s="10">
        <v>40620</v>
      </c>
      <c r="AF83" s="8"/>
      <c r="AG83" s="8" t="s">
        <v>433</v>
      </c>
      <c r="AH83" s="8" t="s">
        <v>74</v>
      </c>
      <c r="AI83" s="8" t="s">
        <v>705</v>
      </c>
      <c r="AJ83" s="8"/>
      <c r="AK83" s="8"/>
      <c r="AL83" s="8"/>
      <c r="AM83" s="8"/>
      <c r="AN83" s="8"/>
      <c r="AO83" s="8"/>
      <c r="AP83" s="8"/>
      <c r="AQ83" s="8"/>
    </row>
    <row r="84" spans="1:43" ht="14.9" customHeight="1" x14ac:dyDescent="0.35">
      <c r="A84" s="8"/>
      <c r="B84" s="8" t="s">
        <v>330</v>
      </c>
      <c r="C84" s="8">
        <v>3</v>
      </c>
      <c r="D84" s="8" t="s">
        <v>331</v>
      </c>
      <c r="E84" s="8" t="str">
        <f t="shared" si="9"/>
        <v>Hoi Shing Street, 3</v>
      </c>
      <c r="F84" s="8"/>
      <c r="G84" s="8" t="s">
        <v>52</v>
      </c>
      <c r="H84" s="8" t="s">
        <v>52</v>
      </c>
      <c r="I84" s="8" t="str">
        <f>VLOOKUP(K84,Reference!$A$2:$B$27,2,FALSE)</f>
        <v>New Territories</v>
      </c>
      <c r="J84" s="8" t="s">
        <v>42</v>
      </c>
      <c r="K84" s="8" t="s">
        <v>15</v>
      </c>
      <c r="L84" s="15">
        <v>2014</v>
      </c>
      <c r="M84" s="8" t="s">
        <v>175</v>
      </c>
      <c r="N84" s="8" t="str">
        <f t="shared" si="10"/>
        <v>2014+</v>
      </c>
      <c r="O84" s="8" t="s">
        <v>123</v>
      </c>
      <c r="P84" s="8" t="s">
        <v>84</v>
      </c>
      <c r="Q84" s="8"/>
      <c r="R84" s="8"/>
      <c r="S84" s="24"/>
      <c r="T84" s="8" t="str">
        <f t="shared" si="11"/>
        <v>Unknown</v>
      </c>
      <c r="U84" s="4"/>
      <c r="V84" s="11"/>
      <c r="W84" s="11"/>
      <c r="X84" s="11"/>
      <c r="Y84" s="11"/>
      <c r="Z84" s="11" t="str">
        <f t="shared" ref="Z84:Z92" si="14">IF(ISBLANK(X84),"",X84-Y84)</f>
        <v/>
      </c>
      <c r="AA84" s="8" t="s">
        <v>123</v>
      </c>
      <c r="AB84" s="8" t="s">
        <v>113</v>
      </c>
      <c r="AC84" s="8" t="s">
        <v>92</v>
      </c>
      <c r="AD84" s="10">
        <v>41487</v>
      </c>
      <c r="AE84" s="10">
        <v>41699</v>
      </c>
      <c r="AF84" s="8" t="s">
        <v>29</v>
      </c>
      <c r="AG84" s="8" t="s">
        <v>115</v>
      </c>
      <c r="AH84" s="8" t="s">
        <v>73</v>
      </c>
      <c r="AI84" s="8" t="s">
        <v>704</v>
      </c>
      <c r="AJ84" s="8" t="s">
        <v>82</v>
      </c>
      <c r="AK84" s="8"/>
      <c r="AL84" s="8"/>
      <c r="AM84" s="8"/>
      <c r="AN84" s="8"/>
      <c r="AO84" s="8"/>
      <c r="AP84" s="8"/>
      <c r="AQ84" s="26" t="s">
        <v>815</v>
      </c>
    </row>
    <row r="85" spans="1:43" ht="15" customHeight="1" x14ac:dyDescent="0.35">
      <c r="A85" s="8" t="s">
        <v>508</v>
      </c>
      <c r="B85" s="8" t="s">
        <v>509</v>
      </c>
      <c r="C85" s="8">
        <v>14</v>
      </c>
      <c r="D85" s="8" t="s">
        <v>510</v>
      </c>
      <c r="E85" s="8" t="str">
        <f t="shared" si="9"/>
        <v>Wong Tai Road, 14</v>
      </c>
      <c r="F85" s="8"/>
      <c r="G85" s="8" t="s">
        <v>162</v>
      </c>
      <c r="H85" s="8" t="s">
        <v>50</v>
      </c>
      <c r="I85" s="8" t="e">
        <f>VLOOKUP(K85,Reference!$A$2:$B$27,2,FALSE)</f>
        <v>#N/A</v>
      </c>
      <c r="J85" s="8" t="s">
        <v>41</v>
      </c>
      <c r="K85" s="8" t="s">
        <v>14</v>
      </c>
      <c r="L85" s="15">
        <v>2021</v>
      </c>
      <c r="M85" s="8" t="s">
        <v>175</v>
      </c>
      <c r="N85" s="8" t="str">
        <f t="shared" si="10"/>
        <v>2021+</v>
      </c>
      <c r="O85" s="8" t="s">
        <v>22</v>
      </c>
      <c r="P85" s="8" t="s">
        <v>86</v>
      </c>
      <c r="Q85" s="8">
        <v>1</v>
      </c>
      <c r="R85" s="8">
        <v>28</v>
      </c>
      <c r="S85" s="14">
        <f>+V85/R85</f>
        <v>8140.7747571428563</v>
      </c>
      <c r="T85" s="8" t="str">
        <f t="shared" si="11"/>
        <v>No</v>
      </c>
      <c r="U85" s="11">
        <v>21176.3</v>
      </c>
      <c r="V85" s="11">
        <f>+U85*10.764</f>
        <v>227941.69319999998</v>
      </c>
      <c r="W85" s="11">
        <f t="shared" ref="W85:W90" si="15">X85/10.764</f>
        <v>15882.225</v>
      </c>
      <c r="X85" s="11">
        <f t="shared" ref="X85:X90" si="16">V85*0.75</f>
        <v>170956.26989999998</v>
      </c>
      <c r="Y85" s="11"/>
      <c r="Z85" s="11">
        <f t="shared" si="14"/>
        <v>170956.26989999998</v>
      </c>
      <c r="AA85" s="8" t="s">
        <v>89</v>
      </c>
      <c r="AB85" s="8" t="s">
        <v>138</v>
      </c>
      <c r="AC85" s="8" t="s">
        <v>92</v>
      </c>
      <c r="AD85" s="10">
        <v>40634</v>
      </c>
      <c r="AE85" s="10">
        <v>40694</v>
      </c>
      <c r="AF85" s="8"/>
      <c r="AG85" s="8" t="s">
        <v>511</v>
      </c>
      <c r="AH85" s="8" t="s">
        <v>73</v>
      </c>
      <c r="AI85" s="8"/>
      <c r="AJ85" s="8" t="s">
        <v>82</v>
      </c>
      <c r="AK85" s="8"/>
      <c r="AL85" s="8"/>
      <c r="AM85" s="8"/>
      <c r="AN85" s="8"/>
      <c r="AO85" s="8"/>
      <c r="AP85" s="8"/>
      <c r="AQ85" s="8" t="s">
        <v>684</v>
      </c>
    </row>
    <row r="86" spans="1:43" ht="15" customHeight="1" x14ac:dyDescent="0.35">
      <c r="A86" s="8" t="s">
        <v>402</v>
      </c>
      <c r="B86" s="8" t="s">
        <v>403</v>
      </c>
      <c r="C86" s="8"/>
      <c r="D86" s="8" t="s">
        <v>404</v>
      </c>
      <c r="E86" s="8" t="str">
        <f t="shared" ref="E86:E92" si="17">CONCATENATE(D86,", ",C86)</f>
        <v xml:space="preserve">Jubilee Street, </v>
      </c>
      <c r="F86" s="8"/>
      <c r="G86" s="8" t="s">
        <v>1</v>
      </c>
      <c r="H86" s="8" t="s">
        <v>43</v>
      </c>
      <c r="I86" s="8" t="str">
        <f>VLOOKUP(K86,Reference!$A$2:$B$27,2,FALSE)</f>
        <v>Central</v>
      </c>
      <c r="J86" s="8" t="s">
        <v>40</v>
      </c>
      <c r="K86" s="8" t="s">
        <v>1</v>
      </c>
      <c r="L86" s="15"/>
      <c r="M86" s="8" t="s">
        <v>363</v>
      </c>
      <c r="N86" s="8" t="str">
        <f t="shared" ref="N86:N92" si="18">IF(ISNUMBER(M86),CONCATENATE(L86," Q",M86),CONCATENATE(L86,M86))</f>
        <v/>
      </c>
      <c r="O86" s="8" t="s">
        <v>131</v>
      </c>
      <c r="P86" s="8" t="s">
        <v>86</v>
      </c>
      <c r="Q86" s="8"/>
      <c r="R86" s="8"/>
      <c r="S86" s="14"/>
      <c r="T86" s="8" t="str">
        <f t="shared" ref="T86:T92" si="19">IF(S86&gt;=10000,"Yes",IF(S86="","Unknown","No"))</f>
        <v>Unknown</v>
      </c>
      <c r="U86" s="11">
        <f>V86/10.764</f>
        <v>62294.964697138617</v>
      </c>
      <c r="V86" s="11">
        <v>670543</v>
      </c>
      <c r="W86" s="11">
        <f t="shared" si="15"/>
        <v>46721.223522853958</v>
      </c>
      <c r="X86" s="11">
        <f t="shared" si="16"/>
        <v>502907.25</v>
      </c>
      <c r="Y86" s="11"/>
      <c r="Z86" s="11">
        <f t="shared" si="14"/>
        <v>502907.25</v>
      </c>
      <c r="AA86" s="8"/>
      <c r="AB86" s="8" t="s">
        <v>113</v>
      </c>
      <c r="AC86" s="8" t="s">
        <v>133</v>
      </c>
      <c r="AD86" s="10"/>
      <c r="AE86" s="10">
        <v>40101</v>
      </c>
      <c r="AF86" s="8" t="s">
        <v>30</v>
      </c>
      <c r="AG86" s="8"/>
      <c r="AH86" s="8"/>
      <c r="AI86" s="8"/>
      <c r="AJ86" s="8"/>
      <c r="AK86" s="8"/>
      <c r="AL86" s="8"/>
      <c r="AM86" s="8"/>
      <c r="AN86" s="8"/>
      <c r="AO86" s="8"/>
      <c r="AP86" s="8"/>
      <c r="AQ86" s="8" t="s">
        <v>405</v>
      </c>
    </row>
    <row r="87" spans="1:43" ht="15" customHeight="1" x14ac:dyDescent="0.35">
      <c r="A87" s="8" t="s">
        <v>409</v>
      </c>
      <c r="B87" s="8" t="s">
        <v>410</v>
      </c>
      <c r="C87" s="8"/>
      <c r="D87" s="8"/>
      <c r="E87" s="8" t="str">
        <f t="shared" si="17"/>
        <v xml:space="preserve">, </v>
      </c>
      <c r="F87" s="8"/>
      <c r="G87" s="8" t="s">
        <v>360</v>
      </c>
      <c r="H87" s="8" t="s">
        <v>44</v>
      </c>
      <c r="I87" s="8" t="e">
        <f>VLOOKUP(K87,Reference!$A$2:$B$27,2,FALSE)</f>
        <v>#N/A</v>
      </c>
      <c r="J87" s="8" t="s">
        <v>40</v>
      </c>
      <c r="K87" s="8" t="s">
        <v>7</v>
      </c>
      <c r="L87" s="15"/>
      <c r="M87" s="8" t="s">
        <v>363</v>
      </c>
      <c r="N87" s="8" t="str">
        <f t="shared" si="18"/>
        <v/>
      </c>
      <c r="O87" s="8"/>
      <c r="P87" s="8" t="s">
        <v>86</v>
      </c>
      <c r="Q87" s="8"/>
      <c r="R87" s="8"/>
      <c r="S87" s="14"/>
      <c r="T87" s="8" t="str">
        <f t="shared" si="19"/>
        <v>Unknown</v>
      </c>
      <c r="U87" s="11">
        <f>V87/10.764</f>
        <v>56737.458193979939</v>
      </c>
      <c r="V87" s="11">
        <v>610722</v>
      </c>
      <c r="W87" s="11">
        <f t="shared" si="15"/>
        <v>42553.093645484951</v>
      </c>
      <c r="X87" s="11">
        <f t="shared" si="16"/>
        <v>458041.5</v>
      </c>
      <c r="Y87" s="11"/>
      <c r="Z87" s="11">
        <f t="shared" si="14"/>
        <v>458041.5</v>
      </c>
      <c r="AA87" s="8"/>
      <c r="AB87" s="8" t="s">
        <v>113</v>
      </c>
      <c r="AC87" s="8" t="s">
        <v>133</v>
      </c>
      <c r="AD87" s="10"/>
      <c r="AE87" s="10">
        <v>40059</v>
      </c>
      <c r="AF87" s="8" t="s">
        <v>30</v>
      </c>
      <c r="AG87" s="8" t="s">
        <v>99</v>
      </c>
      <c r="AH87" s="8" t="s">
        <v>73</v>
      </c>
      <c r="AI87" s="8"/>
      <c r="AJ87" s="8"/>
      <c r="AK87" s="8"/>
      <c r="AL87" s="8"/>
      <c r="AM87" s="8"/>
      <c r="AN87" s="8"/>
      <c r="AO87" s="8"/>
      <c r="AP87" s="8"/>
      <c r="AQ87" s="8" t="s">
        <v>411</v>
      </c>
    </row>
    <row r="88" spans="1:43" ht="15" customHeight="1" x14ac:dyDescent="0.35">
      <c r="A88" s="8" t="s">
        <v>488</v>
      </c>
      <c r="B88" s="8" t="s">
        <v>489</v>
      </c>
      <c r="C88" s="8">
        <v>58</v>
      </c>
      <c r="D88" s="8" t="s">
        <v>169</v>
      </c>
      <c r="E88" s="8" t="str">
        <f t="shared" si="17"/>
        <v>Tsun Yip Street, 58</v>
      </c>
      <c r="F88" s="8"/>
      <c r="G88" s="8" t="s">
        <v>50</v>
      </c>
      <c r="H88" s="8" t="s">
        <v>50</v>
      </c>
      <c r="I88" s="8" t="e">
        <f>VLOOKUP(K88,Reference!$A$2:$B$27,2,FALSE)</f>
        <v>#N/A</v>
      </c>
      <c r="J88" s="8" t="s">
        <v>41</v>
      </c>
      <c r="K88" s="8" t="s">
        <v>14</v>
      </c>
      <c r="L88" s="15"/>
      <c r="M88" s="8"/>
      <c r="N88" s="8" t="str">
        <f t="shared" si="18"/>
        <v/>
      </c>
      <c r="O88" s="8" t="s">
        <v>131</v>
      </c>
      <c r="P88" s="8" t="s">
        <v>86</v>
      </c>
      <c r="Q88" s="8">
        <v>1</v>
      </c>
      <c r="R88" s="8">
        <v>13</v>
      </c>
      <c r="S88" s="14">
        <f>V88/R88</f>
        <v>8461.538461538461</v>
      </c>
      <c r="T88" s="8" t="str">
        <f t="shared" si="19"/>
        <v>No</v>
      </c>
      <c r="U88" s="11">
        <f>V88/10.764</f>
        <v>10219.249349684133</v>
      </c>
      <c r="V88" s="11">
        <v>110000</v>
      </c>
      <c r="W88" s="11">
        <f t="shared" si="15"/>
        <v>7664.4370122630999</v>
      </c>
      <c r="X88" s="11">
        <f t="shared" si="16"/>
        <v>82500</v>
      </c>
      <c r="Y88" s="11"/>
      <c r="Z88" s="11">
        <f t="shared" si="14"/>
        <v>82500</v>
      </c>
      <c r="AA88" s="8" t="s">
        <v>123</v>
      </c>
      <c r="AB88" s="8" t="s">
        <v>113</v>
      </c>
      <c r="AC88" s="8" t="s">
        <v>490</v>
      </c>
      <c r="AD88" s="10">
        <v>40626</v>
      </c>
      <c r="AE88" s="10">
        <v>40771</v>
      </c>
      <c r="AF88" s="8" t="s">
        <v>30</v>
      </c>
      <c r="AG88" s="8"/>
      <c r="AH88" s="8" t="s">
        <v>73</v>
      </c>
      <c r="AI88" s="8"/>
      <c r="AJ88" s="8"/>
      <c r="AK88" s="8"/>
      <c r="AL88" s="8"/>
      <c r="AM88" s="8"/>
      <c r="AN88" s="8"/>
      <c r="AO88" s="8"/>
      <c r="AP88" s="8"/>
      <c r="AQ88" s="8" t="s">
        <v>491</v>
      </c>
    </row>
    <row r="89" spans="1:43" ht="14.9" customHeight="1" x14ac:dyDescent="0.35">
      <c r="A89" s="8"/>
      <c r="B89" s="8" t="s">
        <v>520</v>
      </c>
      <c r="C89" s="8"/>
      <c r="D89" s="8" t="s">
        <v>520</v>
      </c>
      <c r="E89" s="8" t="str">
        <f t="shared" si="17"/>
        <v xml:space="preserve">Tui Min Hoi, Sai Kung, </v>
      </c>
      <c r="F89" s="8" t="s">
        <v>521</v>
      </c>
      <c r="G89" s="8" t="s">
        <v>58</v>
      </c>
      <c r="H89" s="8" t="s">
        <v>58</v>
      </c>
      <c r="I89" s="8" t="e">
        <f>VLOOKUP(K89,Reference!$A$2:$B$27,2,FALSE)</f>
        <v>#N/A</v>
      </c>
      <c r="J89" s="8" t="s">
        <v>42</v>
      </c>
      <c r="K89" s="8" t="s">
        <v>22</v>
      </c>
      <c r="L89" s="15"/>
      <c r="M89" s="8" t="s">
        <v>363</v>
      </c>
      <c r="N89" s="8" t="str">
        <f t="shared" si="18"/>
        <v/>
      </c>
      <c r="O89" s="8" t="s">
        <v>21</v>
      </c>
      <c r="P89" s="8" t="s">
        <v>83</v>
      </c>
      <c r="Q89" s="8"/>
      <c r="R89" s="8"/>
      <c r="S89" s="14"/>
      <c r="T89" s="8" t="str">
        <f t="shared" si="19"/>
        <v>Unknown</v>
      </c>
      <c r="U89" s="11">
        <f>V89/10.764</f>
        <v>4977</v>
      </c>
      <c r="V89" s="11">
        <f>0.1659*10000*10.764*3</f>
        <v>53572.428</v>
      </c>
      <c r="W89" s="11">
        <f t="shared" si="15"/>
        <v>3732.75</v>
      </c>
      <c r="X89" s="11">
        <f t="shared" si="16"/>
        <v>40179.320999999996</v>
      </c>
      <c r="Y89" s="11"/>
      <c r="Z89" s="11">
        <f t="shared" si="14"/>
        <v>40179.320999999996</v>
      </c>
      <c r="AA89" s="8" t="s">
        <v>89</v>
      </c>
      <c r="AB89" s="8"/>
      <c r="AC89" s="8" t="s">
        <v>423</v>
      </c>
      <c r="AD89" s="10">
        <v>40620</v>
      </c>
      <c r="AE89" s="10">
        <v>40620</v>
      </c>
      <c r="AF89" s="8"/>
      <c r="AG89" s="8" t="s">
        <v>433</v>
      </c>
      <c r="AH89" s="8"/>
      <c r="AI89" s="8" t="s">
        <v>705</v>
      </c>
      <c r="AJ89" s="8"/>
      <c r="AK89" s="8"/>
      <c r="AL89" s="8"/>
      <c r="AM89" s="8"/>
      <c r="AN89" s="8"/>
      <c r="AO89" s="8"/>
      <c r="AP89" s="8"/>
      <c r="AQ89" s="8" t="s">
        <v>522</v>
      </c>
    </row>
    <row r="90" spans="1:43" ht="14.9" customHeight="1" x14ac:dyDescent="0.35">
      <c r="A90" s="8"/>
      <c r="B90" s="8" t="s">
        <v>374</v>
      </c>
      <c r="C90" s="8"/>
      <c r="D90" s="8" t="s">
        <v>374</v>
      </c>
      <c r="E90" s="8" t="str">
        <f t="shared" si="17"/>
        <v xml:space="preserve">Tseung Kwan O Station, </v>
      </c>
      <c r="F90" s="8"/>
      <c r="G90" s="8" t="s">
        <v>375</v>
      </c>
      <c r="H90" s="8" t="s">
        <v>58</v>
      </c>
      <c r="I90" s="8" t="e">
        <f>VLOOKUP(K90,Reference!$A$2:$B$27,2,FALSE)</f>
        <v>#N/A</v>
      </c>
      <c r="J90" s="8" t="s">
        <v>42</v>
      </c>
      <c r="K90" s="8" t="s">
        <v>22</v>
      </c>
      <c r="L90" s="15"/>
      <c r="M90" s="8" t="s">
        <v>363</v>
      </c>
      <c r="N90" s="8" t="str">
        <f t="shared" si="18"/>
        <v/>
      </c>
      <c r="O90" s="8" t="s">
        <v>131</v>
      </c>
      <c r="P90" s="8" t="s">
        <v>86</v>
      </c>
      <c r="Q90" s="8"/>
      <c r="R90" s="8"/>
      <c r="S90" s="14"/>
      <c r="T90" s="8" t="str">
        <f t="shared" si="19"/>
        <v>Unknown</v>
      </c>
      <c r="U90" s="11">
        <f>V90/10.764</f>
        <v>103129.04189892234</v>
      </c>
      <c r="V90" s="11">
        <v>1110081.007</v>
      </c>
      <c r="W90" s="11">
        <f t="shared" si="15"/>
        <v>77346.781424191751</v>
      </c>
      <c r="X90" s="11">
        <f t="shared" si="16"/>
        <v>832560.75524999993</v>
      </c>
      <c r="Y90" s="11"/>
      <c r="Z90" s="11">
        <f t="shared" si="14"/>
        <v>832560.75524999993</v>
      </c>
      <c r="AA90" s="8"/>
      <c r="AB90" s="8" t="s">
        <v>113</v>
      </c>
      <c r="AC90" s="8" t="s">
        <v>133</v>
      </c>
      <c r="AD90" s="10"/>
      <c r="AE90" s="10">
        <v>40059</v>
      </c>
      <c r="AF90" s="8"/>
      <c r="AG90" s="8" t="s">
        <v>376</v>
      </c>
      <c r="AH90" s="8"/>
      <c r="AI90" s="8"/>
      <c r="AJ90" s="8"/>
      <c r="AK90" s="8"/>
      <c r="AL90" s="8"/>
      <c r="AM90" s="8"/>
      <c r="AN90" s="8"/>
      <c r="AO90" s="8"/>
      <c r="AP90" s="8"/>
      <c r="AQ90" s="8" t="s">
        <v>377</v>
      </c>
    </row>
    <row r="91" spans="1:43" ht="15" customHeight="1" x14ac:dyDescent="0.35">
      <c r="A91" s="8"/>
      <c r="B91" s="8" t="s">
        <v>770</v>
      </c>
      <c r="C91" s="8" t="s">
        <v>771</v>
      </c>
      <c r="D91" s="8" t="s">
        <v>498</v>
      </c>
      <c r="E91" s="8" t="str">
        <f t="shared" si="17"/>
        <v>Castle Peak Road, 403-413</v>
      </c>
      <c r="F91" s="8"/>
      <c r="G91" s="8" t="s">
        <v>112</v>
      </c>
      <c r="H91" s="8" t="s">
        <v>51</v>
      </c>
      <c r="I91" s="8" t="e">
        <f>VLOOKUP(K91,Reference!$A$2:$B$27,2,FALSE)</f>
        <v>#N/A</v>
      </c>
      <c r="J91" s="8" t="s">
        <v>42</v>
      </c>
      <c r="K91" s="8" t="s">
        <v>16</v>
      </c>
      <c r="L91" s="15">
        <v>2016</v>
      </c>
      <c r="M91" s="8">
        <v>2</v>
      </c>
      <c r="N91" s="8" t="str">
        <f t="shared" si="18"/>
        <v>2016 Q2</v>
      </c>
      <c r="O91" s="8" t="s">
        <v>22</v>
      </c>
      <c r="P91" s="8" t="s">
        <v>86</v>
      </c>
      <c r="Q91" s="8">
        <v>1</v>
      </c>
      <c r="R91" s="8" t="s">
        <v>772</v>
      </c>
      <c r="S91" s="11"/>
      <c r="T91" s="8" t="str">
        <f t="shared" si="19"/>
        <v>Unknown</v>
      </c>
      <c r="U91" s="11">
        <v>20052.099999999999</v>
      </c>
      <c r="V91" s="11">
        <f>IF(ISBLANK(U91),"",U91*10.764)</f>
        <v>215840.80439999996</v>
      </c>
      <c r="W91" s="11">
        <v>15520.2</v>
      </c>
      <c r="X91" s="11">
        <f>IF(ISBLANK(W91),"",W91*10.764)</f>
        <v>167059.43280000001</v>
      </c>
      <c r="Y91" s="11"/>
      <c r="Z91" s="11">
        <f t="shared" si="14"/>
        <v>167059.43280000001</v>
      </c>
      <c r="AA91" s="8" t="s">
        <v>123</v>
      </c>
      <c r="AB91" s="8" t="s">
        <v>773</v>
      </c>
      <c r="AC91" s="8" t="s">
        <v>92</v>
      </c>
      <c r="AD91" s="28">
        <v>41183</v>
      </c>
      <c r="AE91" s="10">
        <v>41249</v>
      </c>
      <c r="AF91" s="8"/>
      <c r="AG91" s="8" t="s">
        <v>501</v>
      </c>
      <c r="AH91" s="8" t="s">
        <v>73</v>
      </c>
      <c r="AI91" s="8"/>
      <c r="AJ91" s="8"/>
      <c r="AK91" s="8"/>
      <c r="AL91" s="8"/>
      <c r="AM91" s="8"/>
      <c r="AN91" s="8"/>
      <c r="AO91" s="8"/>
      <c r="AP91" s="8"/>
      <c r="AQ91" s="29" t="s">
        <v>774</v>
      </c>
    </row>
    <row r="92" spans="1:43" ht="14.9" customHeight="1" x14ac:dyDescent="0.35">
      <c r="A92" s="8"/>
      <c r="B92" s="8" t="s">
        <v>790</v>
      </c>
      <c r="C92" s="8" t="s">
        <v>791</v>
      </c>
      <c r="D92" s="8" t="s">
        <v>792</v>
      </c>
      <c r="E92" s="8" t="str">
        <f t="shared" si="17"/>
        <v>King's Road &amp; Tsat Tsz Mui Road, 704-730</v>
      </c>
      <c r="F92" s="8"/>
      <c r="G92" s="8" t="s">
        <v>6</v>
      </c>
      <c r="H92" s="8" t="s">
        <v>44</v>
      </c>
      <c r="I92" s="8" t="e">
        <f>VLOOKUP(K92,Reference!$A$2:$B$27,2,FALSE)</f>
        <v>#N/A</v>
      </c>
      <c r="J92" s="8" t="s">
        <v>40</v>
      </c>
      <c r="K92" s="8" t="s">
        <v>7</v>
      </c>
      <c r="L92" s="15">
        <v>2018</v>
      </c>
      <c r="M92" s="8">
        <v>2</v>
      </c>
      <c r="N92" s="8" t="str">
        <f t="shared" si="18"/>
        <v>2018 Q2</v>
      </c>
      <c r="O92" s="8" t="s">
        <v>720</v>
      </c>
      <c r="P92" s="8" t="s">
        <v>85</v>
      </c>
      <c r="Q92" s="8">
        <v>1</v>
      </c>
      <c r="R92" s="8" t="s">
        <v>793</v>
      </c>
      <c r="S92" s="11">
        <f>V92/26</f>
        <v>18749.646000000001</v>
      </c>
      <c r="T92" s="8" t="str">
        <f t="shared" si="19"/>
        <v>Yes</v>
      </c>
      <c r="U92" s="11">
        <v>45289</v>
      </c>
      <c r="V92" s="32">
        <f>U92*10.764</f>
        <v>487490.79599999997</v>
      </c>
      <c r="W92" s="11">
        <f>X92/10.764</f>
        <v>33966.75</v>
      </c>
      <c r="X92" s="11">
        <f>V92*0.75</f>
        <v>365618.09699999995</v>
      </c>
      <c r="Y92" s="11"/>
      <c r="Z92" s="11">
        <f t="shared" si="14"/>
        <v>365618.09699999995</v>
      </c>
      <c r="AA92" s="31" t="s">
        <v>89</v>
      </c>
      <c r="AB92" s="8" t="s">
        <v>138</v>
      </c>
      <c r="AC92" s="31" t="s">
        <v>92</v>
      </c>
      <c r="AD92" s="10">
        <v>41548</v>
      </c>
      <c r="AE92" s="10">
        <v>41677</v>
      </c>
      <c r="AF92" s="8"/>
      <c r="AG92" s="8" t="s">
        <v>826</v>
      </c>
      <c r="AH92" s="31" t="s">
        <v>73</v>
      </c>
      <c r="AI92" s="8"/>
      <c r="AJ92" s="8"/>
      <c r="AK92" s="8"/>
      <c r="AL92" s="8"/>
      <c r="AM92" s="8"/>
      <c r="AN92" s="8"/>
      <c r="AO92" s="8"/>
      <c r="AP92" s="8"/>
      <c r="AQ92" s="8"/>
    </row>
    <row r="93" spans="1:43" x14ac:dyDescent="0.35">
      <c r="B93" s="8" t="s">
        <v>819</v>
      </c>
      <c r="C93" s="8"/>
      <c r="D93" s="8" t="s">
        <v>106</v>
      </c>
      <c r="E93" s="8" t="s">
        <v>817</v>
      </c>
      <c r="F93" s="8" t="s">
        <v>820</v>
      </c>
      <c r="G93" s="8" t="s">
        <v>56</v>
      </c>
      <c r="H93" s="8" t="s">
        <v>56</v>
      </c>
      <c r="I93" s="8" t="s">
        <v>798</v>
      </c>
      <c r="J93" s="8" t="s">
        <v>42</v>
      </c>
      <c r="K93" s="8" t="s">
        <v>16</v>
      </c>
      <c r="L93" s="15">
        <v>2017</v>
      </c>
      <c r="M93" s="8">
        <v>4</v>
      </c>
      <c r="N93" s="8" t="s">
        <v>821</v>
      </c>
      <c r="O93" s="9" t="s">
        <v>734</v>
      </c>
      <c r="P93" s="8" t="s">
        <v>83</v>
      </c>
      <c r="Q93" s="8">
        <v>2</v>
      </c>
      <c r="R93" s="8" t="s">
        <v>822</v>
      </c>
      <c r="S93" s="14">
        <f>V93/10/2</f>
        <v>15079.85</v>
      </c>
      <c r="T93" s="8" t="s">
        <v>818</v>
      </c>
      <c r="U93" s="11">
        <v>28019</v>
      </c>
      <c r="V93" s="11">
        <v>301597</v>
      </c>
      <c r="W93" s="11">
        <f>U93*0.75</f>
        <v>21014.25</v>
      </c>
      <c r="X93" s="11">
        <f>V93*0.75</f>
        <v>226197.75</v>
      </c>
      <c r="Y93" s="11"/>
      <c r="Z93" s="11"/>
      <c r="AA93" s="8" t="s">
        <v>156</v>
      </c>
      <c r="AB93" s="8" t="s">
        <v>138</v>
      </c>
      <c r="AC93" s="8" t="s">
        <v>92</v>
      </c>
      <c r="AD93" s="10">
        <v>41426</v>
      </c>
      <c r="AE93" s="10">
        <v>41730</v>
      </c>
      <c r="AF93" s="8" t="s">
        <v>29</v>
      </c>
      <c r="AG93" s="8" t="s">
        <v>109</v>
      </c>
      <c r="AH93" s="8" t="s">
        <v>73</v>
      </c>
      <c r="AI93" s="8" t="s">
        <v>705</v>
      </c>
      <c r="AJ93" s="8" t="s">
        <v>81</v>
      </c>
      <c r="AK93" s="8"/>
      <c r="AL93" s="8" t="s">
        <v>719</v>
      </c>
      <c r="AP93" s="8"/>
      <c r="AQ93" s="8" t="s">
        <v>823</v>
      </c>
    </row>
    <row r="94" spans="1:43" x14ac:dyDescent="0.35">
      <c r="B94" s="8" t="s">
        <v>824</v>
      </c>
      <c r="C94" s="8">
        <v>23</v>
      </c>
      <c r="D94" s="8" t="s">
        <v>132</v>
      </c>
      <c r="E94" s="8" t="str">
        <f>CONCATENATE(D94,", ",C94)</f>
        <v>Wong Chuk Hang Road, 23</v>
      </c>
      <c r="F94" s="8"/>
      <c r="G94" s="8" t="s">
        <v>130</v>
      </c>
      <c r="H94" s="8" t="s">
        <v>45</v>
      </c>
      <c r="I94" s="8" t="s">
        <v>798</v>
      </c>
      <c r="J94" s="8" t="s">
        <v>40</v>
      </c>
      <c r="K94" s="8" t="s">
        <v>130</v>
      </c>
      <c r="L94" s="15">
        <v>2016</v>
      </c>
      <c r="M94" s="8">
        <v>4</v>
      </c>
      <c r="N94" s="8" t="str">
        <f>IF(ISNUMBER(M94),CONCATENATE(L94," Q",M94),CONCATENATE(L94,M94))</f>
        <v>2016 Q4</v>
      </c>
      <c r="O94" s="8" t="s">
        <v>21</v>
      </c>
      <c r="P94" s="8" t="s">
        <v>83</v>
      </c>
      <c r="Q94" s="8">
        <v>1</v>
      </c>
      <c r="R94" s="8">
        <v>29</v>
      </c>
      <c r="S94" s="14">
        <v>6162.5893333333324</v>
      </c>
      <c r="T94" s="8" t="str">
        <f>IF(S94&gt;=10000,"Yes",IF(S94="","Unknown","No"))</f>
        <v>No</v>
      </c>
      <c r="U94" s="11">
        <v>9953</v>
      </c>
      <c r="V94" s="11">
        <v>107131</v>
      </c>
      <c r="W94" s="11">
        <f>+U94*0.75</f>
        <v>7464.75</v>
      </c>
      <c r="X94" s="11">
        <f>+V94*0.75</f>
        <v>80348.25</v>
      </c>
      <c r="Y94" s="11"/>
      <c r="Z94" s="11"/>
      <c r="AA94" s="8" t="s">
        <v>89</v>
      </c>
      <c r="AB94" s="8" t="s">
        <v>138</v>
      </c>
      <c r="AC94" s="8" t="s">
        <v>92</v>
      </c>
      <c r="AD94" s="10">
        <v>41456</v>
      </c>
      <c r="AE94" s="10">
        <v>41730</v>
      </c>
      <c r="AF94" s="8" t="s">
        <v>30</v>
      </c>
      <c r="AG94" s="8" t="s">
        <v>825</v>
      </c>
      <c r="AH94" s="8" t="s">
        <v>73</v>
      </c>
      <c r="AI94" s="9"/>
      <c r="AJ94" s="9" t="s">
        <v>81</v>
      </c>
      <c r="AK94" s="8"/>
      <c r="AL94" s="8" t="s">
        <v>727</v>
      </c>
      <c r="AP94" s="8"/>
      <c r="AQ94" s="8"/>
    </row>
    <row r="95" spans="1:43" x14ac:dyDescent="0.35">
      <c r="B95" s="8" t="s">
        <v>833</v>
      </c>
      <c r="C95" s="8" t="s">
        <v>834</v>
      </c>
      <c r="D95" s="8" t="s">
        <v>132</v>
      </c>
      <c r="E95" s="8" t="str">
        <f>CONCATENATE(D95,", ",C95)</f>
        <v>Wong Chuk Hang Road, 33-35</v>
      </c>
      <c r="F95" s="8"/>
      <c r="G95" s="8" t="s">
        <v>130</v>
      </c>
      <c r="H95" s="8" t="s">
        <v>45</v>
      </c>
      <c r="I95" s="8" t="s">
        <v>798</v>
      </c>
      <c r="J95" s="8" t="s">
        <v>40</v>
      </c>
      <c r="K95" s="8" t="s">
        <v>130</v>
      </c>
      <c r="L95" s="15">
        <v>2015</v>
      </c>
      <c r="M95" s="8">
        <v>4</v>
      </c>
      <c r="N95" s="8" t="str">
        <f>IF(ISNUMBER(M95),CONCATENATE(L95," Q",M95),CONCATENATE(L95,M95))</f>
        <v>2015 Q4</v>
      </c>
      <c r="O95" s="8" t="s">
        <v>748</v>
      </c>
      <c r="P95" s="8" t="s">
        <v>83</v>
      </c>
      <c r="Q95" s="8">
        <v>1</v>
      </c>
      <c r="R95" s="8">
        <v>23</v>
      </c>
      <c r="S95" s="14">
        <v>10254</v>
      </c>
      <c r="T95" s="8" t="str">
        <f>IF(S95&gt;=10000,"Yes",IF(S95="","Unknown","No"))</f>
        <v>Yes</v>
      </c>
      <c r="U95" s="11">
        <f>V95/10.764</f>
        <v>22296.544035674473</v>
      </c>
      <c r="V95" s="11">
        <v>240000</v>
      </c>
      <c r="W95" s="11">
        <f>X95/10.764</f>
        <v>15607.58082497213</v>
      </c>
      <c r="X95" s="11">
        <f>V95*0.7</f>
        <v>168000</v>
      </c>
      <c r="Y95" s="11"/>
      <c r="Z95" s="11"/>
      <c r="AA95" s="8" t="s">
        <v>89</v>
      </c>
      <c r="AB95" s="8"/>
      <c r="AC95" s="8" t="s">
        <v>836</v>
      </c>
      <c r="AD95" s="10">
        <v>41306</v>
      </c>
      <c r="AE95" s="10">
        <v>42125</v>
      </c>
      <c r="AF95" s="8" t="s">
        <v>748</v>
      </c>
      <c r="AG95" s="8" t="s">
        <v>835</v>
      </c>
      <c r="AH95" s="8" t="s">
        <v>73</v>
      </c>
      <c r="AI95" s="9" t="s">
        <v>705</v>
      </c>
      <c r="AJ95" s="9" t="s">
        <v>81</v>
      </c>
      <c r="AK95" s="8"/>
      <c r="AL95" s="8"/>
      <c r="AP95" s="8"/>
      <c r="AQ95" s="8" t="s">
        <v>837</v>
      </c>
    </row>
    <row r="96" spans="1:43" ht="15" customHeight="1" x14ac:dyDescent="0.35">
      <c r="A96" s="8"/>
      <c r="B96" s="8" t="s">
        <v>841</v>
      </c>
      <c r="C96" s="8">
        <v>680</v>
      </c>
      <c r="D96" s="8" t="s">
        <v>498</v>
      </c>
      <c r="E96" s="8" t="str">
        <f>CONCATENATE(D96,", ",C96)</f>
        <v>Castle Peak Road, 680</v>
      </c>
      <c r="F96" s="8"/>
      <c r="G96" s="8"/>
      <c r="H96" s="8"/>
      <c r="I96" s="8" t="str">
        <f>VLOOKUP(K96,Reference!$A$2:$B$27,2,FALSE)</f>
        <v>Kowloon Others</v>
      </c>
      <c r="J96" s="8" t="s">
        <v>41</v>
      </c>
      <c r="K96" s="8" t="s">
        <v>12</v>
      </c>
      <c r="L96" s="15">
        <v>2016</v>
      </c>
      <c r="M96" s="8"/>
      <c r="N96" s="8" t="str">
        <f>IF(ISNUMBER(M96),CONCATENATE(L96," Q",M96),CONCATENATE(L96,M96))</f>
        <v>2016</v>
      </c>
      <c r="O96" s="8" t="s">
        <v>20</v>
      </c>
      <c r="P96" s="8" t="s">
        <v>85</v>
      </c>
      <c r="Q96" s="8"/>
      <c r="R96" s="8"/>
      <c r="S96" s="11"/>
      <c r="T96" s="8" t="str">
        <f>IF(S96&gt;=10000,"Yes",IF(S96="","Unknown","No"))</f>
        <v>Unknown</v>
      </c>
      <c r="U96" s="11"/>
      <c r="V96" s="11"/>
      <c r="W96" s="11"/>
      <c r="X96" s="11"/>
      <c r="Y96" s="11"/>
      <c r="Z96" s="11" t="str">
        <f>IF(ISBLANK(X96),"",X96-Y96)</f>
        <v/>
      </c>
      <c r="AA96" s="8"/>
      <c r="AB96" s="8"/>
      <c r="AC96" s="8"/>
      <c r="AD96" s="10"/>
      <c r="AE96" s="10"/>
      <c r="AF96" s="8" t="s">
        <v>29</v>
      </c>
      <c r="AG96" s="8" t="s">
        <v>114</v>
      </c>
      <c r="AH96" s="8" t="s">
        <v>73</v>
      </c>
      <c r="AI96" s="8" t="s">
        <v>705</v>
      </c>
      <c r="AJ96" s="8" t="s">
        <v>81</v>
      </c>
      <c r="AK96" s="8"/>
      <c r="AL96" s="8"/>
      <c r="AM96" s="8"/>
      <c r="AN96" s="8"/>
      <c r="AO96" s="8"/>
      <c r="AP96" s="8"/>
      <c r="AQ96" s="8" t="s">
        <v>840</v>
      </c>
    </row>
    <row r="101" spans="2:3" x14ac:dyDescent="0.35">
      <c r="B101" s="18" t="s">
        <v>28</v>
      </c>
      <c r="C101" s="18" t="s">
        <v>69</v>
      </c>
    </row>
    <row r="102" spans="2:3" x14ac:dyDescent="0.35">
      <c r="B102" s="8" t="s">
        <v>814</v>
      </c>
      <c r="C102" s="11">
        <v>577500</v>
      </c>
    </row>
  </sheetData>
  <autoFilter ref="A1:AR96" xr:uid="{00000000-0009-0000-0000-00000C000000}"/>
  <conditionalFormatting sqref="A2:AQ92">
    <cfRule type="expression" dxfId="14" priority="67">
      <formula>$P2="Potential"</formula>
    </cfRule>
    <cfRule type="expression" dxfId="13" priority="68">
      <formula>$P2="Completed"</formula>
    </cfRule>
    <cfRule type="expression" dxfId="12" priority="69">
      <formula>$P2="Taken Out"</formula>
    </cfRule>
  </conditionalFormatting>
  <conditionalFormatting sqref="A96:AQ96">
    <cfRule type="expression" dxfId="11" priority="1">
      <formula>$P96="Potential"</formula>
    </cfRule>
    <cfRule type="expression" dxfId="10" priority="2">
      <formula>$P96="Completed"</formula>
    </cfRule>
    <cfRule type="expression" dxfId="9" priority="3">
      <formula>$P96="Taken Out"</formula>
    </cfRule>
  </conditionalFormatting>
  <conditionalFormatting sqref="B102:C102">
    <cfRule type="expression" dxfId="8" priority="64">
      <formula>$P102="Potential"</formula>
    </cfRule>
    <cfRule type="expression" dxfId="7" priority="65">
      <formula>$P102="Completed"</formula>
    </cfRule>
    <cfRule type="expression" dxfId="6" priority="66">
      <formula>$P102="Taken Out"</formula>
    </cfRule>
  </conditionalFormatting>
  <conditionalFormatting sqref="B93:AL95">
    <cfRule type="expression" dxfId="5" priority="4">
      <formula>$P93="Potential"</formula>
    </cfRule>
    <cfRule type="expression" dxfId="4" priority="5">
      <formula>$P93="Completed"</formula>
    </cfRule>
    <cfRule type="expression" dxfId="3" priority="6">
      <formula>$P93="Taken Out"</formula>
    </cfRule>
  </conditionalFormatting>
  <conditionalFormatting sqref="AP93:AQ95">
    <cfRule type="expression" dxfId="2" priority="7">
      <formula>$P93="Potential"</formula>
    </cfRule>
    <cfRule type="expression" dxfId="1" priority="8">
      <formula>$P93="Completed"</formula>
    </cfRule>
    <cfRule type="expression" dxfId="0" priority="9">
      <formula>$P93="Taken Out"</formula>
    </cfRule>
  </conditionalFormatting>
  <dataValidations count="2">
    <dataValidation type="list" allowBlank="1" showInputMessage="1" showErrorMessage="1" sqref="AK95:AL95 AK96:AO1048576 AK83:AL92 AM83:AO95 AK2:AO82" xr:uid="{00000000-0002-0000-0C00-000000000000}">
      <formula1>"1,2,3,4,5"</formula1>
    </dataValidation>
    <dataValidation type="list" allowBlank="1" showInputMessage="1" showErrorMessage="1" sqref="S74" xr:uid="{00000000-0002-0000-0C00-000001000000}">
      <formula1>$AF$3:$AF$3</formula1>
    </dataValidation>
  </dataValidations>
  <hyperlinks>
    <hyperlink ref="AQ91" r:id="rId1" xr:uid="{00000000-0004-0000-0C00-000000000000}"/>
  </hyperlinks>
  <pageMargins left="0.7" right="0.7" top="0.75" bottom="0.75" header="0.3" footer="0.3"/>
  <pageSetup paperSize="9" orientation="portrait"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C00-000002000000}">
          <x14:formula1>
            <xm:f>Reference!$I$2:$I$4</xm:f>
          </x14:formula1>
          <xm:sqref>J2:J1048576</xm:sqref>
        </x14:dataValidation>
        <x14:dataValidation type="list" allowBlank="1" showInputMessage="1" showErrorMessage="1" xr:uid="{00000000-0002-0000-0C00-000003000000}">
          <x14:formula1>
            <xm:f>Reference!$H$2:$H$20</xm:f>
          </x14:formula1>
          <xm:sqref>H2:H1048576</xm:sqref>
        </x14:dataValidation>
        <x14:dataValidation type="list" allowBlank="1" showInputMessage="1" showErrorMessage="1" xr:uid="{00000000-0002-0000-0C00-000004000000}">
          <x14:formula1>
            <xm:f>Reference!$G$2:$G$6</xm:f>
          </x14:formula1>
          <xm:sqref>AF2:AF1048576</xm:sqref>
        </x14:dataValidation>
        <x14:dataValidation type="list" allowBlank="1" showInputMessage="1" showErrorMessage="1" xr:uid="{00000000-0002-0000-0C00-000005000000}">
          <x14:formula1>
            <xm:f>Reference!$K$2:$K$5</xm:f>
          </x14:formula1>
          <xm:sqref>P2:P1048576</xm:sqref>
        </x14:dataValidation>
        <x14:dataValidation type="list" allowBlank="1" showInputMessage="1" showErrorMessage="1" xr:uid="{00000000-0002-0000-0C00-000006000000}">
          <x14:formula1>
            <xm:f>Reference!$F$2:$F$6</xm:f>
          </x14:formula1>
          <xm:sqref>M2:M1048576</xm:sqref>
        </x14:dataValidation>
        <x14:dataValidation type="list" allowBlank="1" showInputMessage="1" showErrorMessage="1" xr:uid="{00000000-0002-0000-0C00-000007000000}">
          <x14:formula1>
            <xm:f>Reference!$J$2:$J$3</xm:f>
          </x14:formula1>
          <xm:sqref>AH2:AH1048576</xm:sqref>
        </x14:dataValidation>
        <x14:dataValidation type="list" allowBlank="1" showInputMessage="1" showErrorMessage="1" xr:uid="{00000000-0002-0000-0C00-000008000000}">
          <x14:formula1>
            <xm:f>Reference!$L$2:$L$3</xm:f>
          </x14:formula1>
          <xm:sqref>AJ2:AJ1048576</xm:sqref>
        </x14:dataValidation>
        <x14:dataValidation type="list" allowBlank="1" showInputMessage="1" showErrorMessage="1" xr:uid="{00000000-0002-0000-0C00-00000A000000}">
          <x14:formula1>
            <xm:f>Reference!$E$2:$E$9</xm:f>
          </x14:formula1>
          <xm:sqref>O97:O1048576</xm:sqref>
        </x14:dataValidation>
        <x14:dataValidation type="list" allowBlank="1" showInputMessage="1" showErrorMessage="1" xr:uid="{00000000-0002-0000-0C00-00000B000000}">
          <x14:formula1>
            <xm:f>Reference!$E$2:$E$12</xm:f>
          </x14:formula1>
          <xm:sqref>O2:O96</xm:sqref>
        </x14:dataValidation>
        <x14:dataValidation type="list" allowBlank="1" showInputMessage="1" showErrorMessage="1" xr:uid="{00000000-0002-0000-0C00-000009000000}">
          <x14:formula1>
            <xm:f>Reference!$M$2:$M$5</xm:f>
          </x14:formula1>
          <xm:sqref>AI2:AI1048576</xm:sqref>
        </x14:dataValidation>
        <x14:dataValidation type="list" allowBlank="1" showInputMessage="1" showErrorMessage="1" xr:uid="{00000000-0002-0000-0C00-00000C000000}">
          <x14:formula1>
            <xm:f>Reference!$A$2:$A$29</xm:f>
          </x14:formula1>
          <xm:sqref>K2:K1048576</xm:sqref>
        </x14:dataValidation>
        <x14:dataValidation type="list" allowBlank="1" showInputMessage="1" showErrorMessage="1" xr:uid="{00000000-0002-0000-0C00-00000D000000}">
          <x14:formula1>
            <xm:f>Reference!$B$2:$B$29</xm:f>
          </x14:formula1>
          <xm:sqref>I2:I1048576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M31"/>
  <sheetViews>
    <sheetView workbookViewId="0">
      <selection activeCell="B29" sqref="B29"/>
    </sheetView>
  </sheetViews>
  <sheetFormatPr defaultRowHeight="14.5" x14ac:dyDescent="0.35"/>
  <cols>
    <col min="1" max="1" width="23.54296875" bestFit="1" customWidth="1"/>
    <col min="2" max="2" width="24.453125" bestFit="1" customWidth="1"/>
    <col min="3" max="4" width="24.453125" customWidth="1"/>
    <col min="5" max="5" width="13.453125" bestFit="1" customWidth="1"/>
    <col min="6" max="6" width="7.54296875" bestFit="1" customWidth="1"/>
    <col min="7" max="7" width="21.453125" bestFit="1" customWidth="1"/>
    <col min="8" max="8" width="17.54296875" bestFit="1" customWidth="1"/>
    <col min="9" max="9" width="16.453125" bestFit="1" customWidth="1"/>
    <col min="10" max="10" width="20.54296875" bestFit="1" customWidth="1"/>
    <col min="11" max="11" width="10.54296875" bestFit="1" customWidth="1"/>
    <col min="12" max="12" width="19.54296875" bestFit="1" customWidth="1"/>
    <col min="13" max="13" width="20.453125" bestFit="1" customWidth="1"/>
  </cols>
  <sheetData>
    <row r="1" spans="1:13" s="1" customFormat="1" x14ac:dyDescent="0.35">
      <c r="A1" s="1" t="s">
        <v>1124</v>
      </c>
      <c r="B1" s="1" t="s">
        <v>1196</v>
      </c>
      <c r="C1" s="1" t="s">
        <v>1643</v>
      </c>
      <c r="D1" s="1" t="s">
        <v>39</v>
      </c>
      <c r="E1" s="1" t="s">
        <v>19</v>
      </c>
      <c r="F1" s="1" t="s">
        <v>25</v>
      </c>
      <c r="G1" s="1" t="s">
        <v>64</v>
      </c>
      <c r="H1" s="1" t="s">
        <v>38</v>
      </c>
      <c r="I1" s="1" t="s">
        <v>39</v>
      </c>
      <c r="J1" s="1" t="s">
        <v>72</v>
      </c>
      <c r="K1" s="1" t="s">
        <v>78</v>
      </c>
      <c r="L1" s="1" t="s">
        <v>80</v>
      </c>
      <c r="M1" s="1" t="s">
        <v>703</v>
      </c>
    </row>
    <row r="2" spans="1:13" x14ac:dyDescent="0.35">
      <c r="A2" t="s">
        <v>1</v>
      </c>
      <c r="B2" t="s">
        <v>1</v>
      </c>
      <c r="C2">
        <v>1</v>
      </c>
      <c r="D2" t="s">
        <v>40</v>
      </c>
      <c r="E2" t="s">
        <v>20</v>
      </c>
      <c r="F2">
        <v>1</v>
      </c>
      <c r="G2" t="s">
        <v>29</v>
      </c>
      <c r="H2" t="s">
        <v>43</v>
      </c>
      <c r="I2" t="s">
        <v>40</v>
      </c>
      <c r="J2" t="s">
        <v>73</v>
      </c>
      <c r="K2" t="s">
        <v>83</v>
      </c>
      <c r="L2" t="s">
        <v>81</v>
      </c>
      <c r="M2" t="s">
        <v>704</v>
      </c>
    </row>
    <row r="3" spans="1:13" x14ac:dyDescent="0.35">
      <c r="A3" t="s">
        <v>2</v>
      </c>
      <c r="B3" t="s">
        <v>1126</v>
      </c>
      <c r="C3">
        <v>2</v>
      </c>
      <c r="D3" t="s">
        <v>40</v>
      </c>
      <c r="E3" t="s">
        <v>21</v>
      </c>
      <c r="F3">
        <v>2</v>
      </c>
      <c r="G3" t="s">
        <v>30</v>
      </c>
      <c r="H3" t="s">
        <v>4</v>
      </c>
      <c r="I3" t="s">
        <v>41</v>
      </c>
      <c r="J3" t="s">
        <v>74</v>
      </c>
      <c r="K3" t="s">
        <v>84</v>
      </c>
      <c r="L3" t="s">
        <v>82</v>
      </c>
      <c r="M3" t="s">
        <v>705</v>
      </c>
    </row>
    <row r="4" spans="1:13" x14ac:dyDescent="0.35">
      <c r="A4" t="s">
        <v>3</v>
      </c>
      <c r="B4" t="s">
        <v>1126</v>
      </c>
      <c r="C4">
        <v>2</v>
      </c>
      <c r="D4" t="s">
        <v>40</v>
      </c>
      <c r="E4" t="s">
        <v>748</v>
      </c>
      <c r="F4">
        <v>3</v>
      </c>
      <c r="G4" t="s">
        <v>275</v>
      </c>
      <c r="H4" t="s">
        <v>44</v>
      </c>
      <c r="I4" t="s">
        <v>42</v>
      </c>
      <c r="K4" t="s">
        <v>85</v>
      </c>
      <c r="L4" t="s">
        <v>1068</v>
      </c>
      <c r="M4" t="s">
        <v>1611</v>
      </c>
    </row>
    <row r="5" spans="1:13" x14ac:dyDescent="0.35">
      <c r="A5" t="s">
        <v>4</v>
      </c>
      <c r="B5" t="s">
        <v>1127</v>
      </c>
      <c r="C5">
        <v>3</v>
      </c>
      <c r="D5" t="s">
        <v>40</v>
      </c>
      <c r="E5" t="s">
        <v>174</v>
      </c>
      <c r="F5">
        <v>4</v>
      </c>
      <c r="G5" t="s">
        <v>32</v>
      </c>
      <c r="H5" t="s">
        <v>45</v>
      </c>
      <c r="K5" t="s">
        <v>86</v>
      </c>
      <c r="M5" t="s">
        <v>1068</v>
      </c>
    </row>
    <row r="6" spans="1:13" x14ac:dyDescent="0.35">
      <c r="A6" t="s">
        <v>5</v>
      </c>
      <c r="B6" t="s">
        <v>1127</v>
      </c>
      <c r="C6">
        <v>3</v>
      </c>
      <c r="D6" t="s">
        <v>40</v>
      </c>
      <c r="E6" t="s">
        <v>131</v>
      </c>
      <c r="F6" t="s">
        <v>175</v>
      </c>
      <c r="G6" t="s">
        <v>748</v>
      </c>
      <c r="H6" t="s">
        <v>46</v>
      </c>
    </row>
    <row r="7" spans="1:13" x14ac:dyDescent="0.35">
      <c r="A7" t="s">
        <v>6</v>
      </c>
      <c r="B7" t="s">
        <v>7</v>
      </c>
      <c r="C7">
        <v>4</v>
      </c>
      <c r="D7" t="s">
        <v>40</v>
      </c>
      <c r="H7" t="s">
        <v>47</v>
      </c>
    </row>
    <row r="8" spans="1:13" x14ac:dyDescent="0.35">
      <c r="A8" t="s">
        <v>360</v>
      </c>
      <c r="B8" t="s">
        <v>7</v>
      </c>
      <c r="C8">
        <v>4</v>
      </c>
      <c r="D8" t="s">
        <v>40</v>
      </c>
      <c r="H8" t="s">
        <v>48</v>
      </c>
    </row>
    <row r="9" spans="1:13" x14ac:dyDescent="0.35">
      <c r="A9" t="s">
        <v>130</v>
      </c>
      <c r="B9" t="s">
        <v>130</v>
      </c>
      <c r="C9">
        <v>5</v>
      </c>
      <c r="D9" t="s">
        <v>40</v>
      </c>
      <c r="H9" t="s">
        <v>49</v>
      </c>
    </row>
    <row r="10" spans="1:13" x14ac:dyDescent="0.35">
      <c r="A10" t="s">
        <v>1398</v>
      </c>
      <c r="B10" t="s">
        <v>1398</v>
      </c>
      <c r="C10">
        <v>5</v>
      </c>
      <c r="D10" t="s">
        <v>40</v>
      </c>
    </row>
    <row r="11" spans="1:13" x14ac:dyDescent="0.35">
      <c r="A11" t="s">
        <v>8</v>
      </c>
      <c r="B11" t="s">
        <v>8</v>
      </c>
      <c r="C11">
        <v>6</v>
      </c>
      <c r="D11" t="s">
        <v>41</v>
      </c>
      <c r="H11" t="s">
        <v>50</v>
      </c>
    </row>
    <row r="12" spans="1:13" x14ac:dyDescent="0.35">
      <c r="A12" t="s">
        <v>2496</v>
      </c>
      <c r="B12" t="s">
        <v>2496</v>
      </c>
      <c r="C12">
        <v>6</v>
      </c>
      <c r="D12" t="s">
        <v>41</v>
      </c>
      <c r="H12" t="s">
        <v>51</v>
      </c>
    </row>
    <row r="13" spans="1:13" x14ac:dyDescent="0.35">
      <c r="A13" t="s">
        <v>715</v>
      </c>
      <c r="B13" t="s">
        <v>715</v>
      </c>
      <c r="C13">
        <v>6</v>
      </c>
      <c r="D13" t="s">
        <v>41</v>
      </c>
      <c r="H13" t="s">
        <v>52</v>
      </c>
    </row>
    <row r="14" spans="1:13" x14ac:dyDescent="0.35">
      <c r="A14" t="s">
        <v>9</v>
      </c>
      <c r="B14" t="s">
        <v>1128</v>
      </c>
      <c r="C14">
        <v>8</v>
      </c>
      <c r="D14" t="s">
        <v>41</v>
      </c>
      <c r="H14" t="s">
        <v>53</v>
      </c>
    </row>
    <row r="15" spans="1:13" x14ac:dyDescent="0.35">
      <c r="A15" t="s">
        <v>730</v>
      </c>
      <c r="B15" t="s">
        <v>1128</v>
      </c>
      <c r="C15">
        <v>8</v>
      </c>
      <c r="D15" t="s">
        <v>41</v>
      </c>
      <c r="H15" t="s">
        <v>54</v>
      </c>
    </row>
    <row r="16" spans="1:13" x14ac:dyDescent="0.35">
      <c r="A16" t="s">
        <v>1125</v>
      </c>
      <c r="B16" t="s">
        <v>1128</v>
      </c>
      <c r="C16">
        <v>8</v>
      </c>
      <c r="D16" t="s">
        <v>41</v>
      </c>
      <c r="H16" t="s">
        <v>55</v>
      </c>
    </row>
    <row r="17" spans="1:8" x14ac:dyDescent="0.35">
      <c r="A17" t="s">
        <v>11</v>
      </c>
      <c r="B17" t="s">
        <v>1128</v>
      </c>
      <c r="C17">
        <v>8</v>
      </c>
      <c r="D17" t="s">
        <v>41</v>
      </c>
      <c r="H17" t="s">
        <v>56</v>
      </c>
    </row>
    <row r="18" spans="1:8" x14ac:dyDescent="0.35">
      <c r="A18" t="s">
        <v>12</v>
      </c>
      <c r="B18" t="s">
        <v>1128</v>
      </c>
      <c r="C18">
        <v>8</v>
      </c>
      <c r="D18" t="s">
        <v>41</v>
      </c>
      <c r="H18" t="s">
        <v>57</v>
      </c>
    </row>
    <row r="19" spans="1:8" x14ac:dyDescent="0.35">
      <c r="A19" t="s">
        <v>13</v>
      </c>
      <c r="B19" t="s">
        <v>1128</v>
      </c>
      <c r="C19">
        <v>8</v>
      </c>
      <c r="D19" t="s">
        <v>41</v>
      </c>
      <c r="H19" t="s">
        <v>58</v>
      </c>
    </row>
    <row r="20" spans="1:8" x14ac:dyDescent="0.35">
      <c r="A20" t="s">
        <v>171</v>
      </c>
      <c r="B20" t="s">
        <v>14</v>
      </c>
      <c r="C20">
        <v>7</v>
      </c>
      <c r="D20" t="s">
        <v>41</v>
      </c>
      <c r="H20" t="s">
        <v>59</v>
      </c>
    </row>
    <row r="21" spans="1:8" x14ac:dyDescent="0.35">
      <c r="A21" t="s">
        <v>162</v>
      </c>
      <c r="B21" t="s">
        <v>14</v>
      </c>
      <c r="C21">
        <v>7</v>
      </c>
      <c r="D21" t="s">
        <v>41</v>
      </c>
    </row>
    <row r="22" spans="1:8" x14ac:dyDescent="0.35">
      <c r="A22" t="s">
        <v>50</v>
      </c>
      <c r="B22" t="s">
        <v>14</v>
      </c>
      <c r="C22">
        <v>7</v>
      </c>
      <c r="D22" t="s">
        <v>41</v>
      </c>
    </row>
    <row r="23" spans="1:8" x14ac:dyDescent="0.35">
      <c r="A23" t="s">
        <v>567</v>
      </c>
      <c r="B23" t="s">
        <v>14</v>
      </c>
      <c r="C23">
        <v>7</v>
      </c>
      <c r="D23" t="s">
        <v>41</v>
      </c>
    </row>
    <row r="24" spans="1:8" x14ac:dyDescent="0.35">
      <c r="A24" t="s">
        <v>15</v>
      </c>
      <c r="B24" t="s">
        <v>42</v>
      </c>
      <c r="C24">
        <v>9</v>
      </c>
      <c r="D24" t="s">
        <v>42</v>
      </c>
    </row>
    <row r="25" spans="1:8" x14ac:dyDescent="0.35">
      <c r="A25" t="s">
        <v>57</v>
      </c>
      <c r="B25" t="s">
        <v>42</v>
      </c>
      <c r="C25">
        <v>9</v>
      </c>
      <c r="D25" t="s">
        <v>42</v>
      </c>
    </row>
    <row r="26" spans="1:8" x14ac:dyDescent="0.35">
      <c r="A26" t="s">
        <v>17</v>
      </c>
      <c r="B26" t="s">
        <v>42</v>
      </c>
      <c r="C26">
        <v>9</v>
      </c>
      <c r="D26" t="s">
        <v>42</v>
      </c>
    </row>
    <row r="27" spans="1:8" x14ac:dyDescent="0.35">
      <c r="A27" t="s">
        <v>468</v>
      </c>
      <c r="B27" t="s">
        <v>42</v>
      </c>
      <c r="C27">
        <v>9</v>
      </c>
      <c r="D27" t="s">
        <v>42</v>
      </c>
    </row>
    <row r="28" spans="1:8" x14ac:dyDescent="0.35">
      <c r="A28" t="s">
        <v>1558</v>
      </c>
      <c r="B28" t="s">
        <v>42</v>
      </c>
      <c r="C28">
        <v>9</v>
      </c>
      <c r="D28" t="s">
        <v>42</v>
      </c>
    </row>
    <row r="29" spans="1:8" x14ac:dyDescent="0.35">
      <c r="A29" t="s">
        <v>18</v>
      </c>
      <c r="B29" t="s">
        <v>42</v>
      </c>
      <c r="C29">
        <v>9</v>
      </c>
      <c r="D29" t="s">
        <v>42</v>
      </c>
    </row>
    <row r="30" spans="1:8" x14ac:dyDescent="0.35">
      <c r="A30" t="s">
        <v>47</v>
      </c>
      <c r="B30" t="s">
        <v>1128</v>
      </c>
      <c r="C30">
        <v>8</v>
      </c>
      <c r="D30" t="s">
        <v>41</v>
      </c>
    </row>
    <row r="31" spans="1:8" x14ac:dyDescent="0.35">
      <c r="A31" t="s">
        <v>54</v>
      </c>
      <c r="B31" t="s">
        <v>42</v>
      </c>
      <c r="C31">
        <v>9</v>
      </c>
      <c r="D31" t="s">
        <v>42</v>
      </c>
    </row>
  </sheetData>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1AA1B9A6-7A1F-4E9F-A5BC-2F97D5DA0EC8}">
            <xm:f>'Grade A Office Supply_pre-2020'!$M2=$K$5</xm:f>
            <x14:dxf/>
          </x14:cfRule>
          <xm:sqref>O70</xm:sqref>
        </x14:conditionalFormatting>
      </x14:conditionalFormattings>
    </ext>
  </extLst>
</worksheet>
</file>

<file path=docMetadata/LabelInfo.xml><?xml version="1.0" encoding="utf-8"?>
<clbl:labelList xmlns:clbl="http://schemas.microsoft.com/office/2020/mipLabelMetadata">
  <clbl:label id="{bb24e89f-6132-424b-9c64-0340397f5d20}" enabled="1" method="Privileged" siteId="{0159e9d0-09a0-4edf-96ba-a3deea363c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Activities before completion</vt:lpstr>
      <vt:lpstr>NEW table</vt:lpstr>
      <vt:lpstr>Grade A Office Supply_pre-2020</vt:lpstr>
      <vt:lpstr>Valid supply_project detail</vt:lpstr>
      <vt:lpstr>For Charts</vt:lpstr>
      <vt:lpstr>Tableau</vt:lpstr>
      <vt:lpstr>Non-Grade A supply</vt:lpstr>
      <vt:lpstr>Reference</vt:lpstr>
    </vt:vector>
  </TitlesOfParts>
  <Company>CB Richard Ellis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jerry.ng</dc:creator>
  <cp:lastModifiedBy>Chen, Andrea @ Hong Kong</cp:lastModifiedBy>
  <cp:lastPrinted>2014-10-15T08:59:15Z</cp:lastPrinted>
  <dcterms:created xsi:type="dcterms:W3CDTF">2012-06-11T06:33:20Z</dcterms:created>
  <dcterms:modified xsi:type="dcterms:W3CDTF">2026-10-16T03:45:14Z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DMCEIC_owner">
    <vt:lpwstr>cbre.asiapacific.research@cbre.com</vt:lpwstr>
  </property>
  <property fmtid="{D5CDD505-2E9C-101B-9397-08002B2CF9AE}" pid="3" name="CDMCEIC_ownerFullName">
    <vt:lpwstr>Research Dept</vt:lpwstr>
  </property>
  <property fmtid="{D5CDD505-2E9C-101B-9397-08002B2CF9AE}" pid="4" name="CDMCEIC_readOnly">
    <vt:lpwstr>False</vt:lpwstr>
  </property>
  <property fmtid="{D5CDD505-2E9C-101B-9397-08002B2CF9AE}" pid="5" name="CDMCEIC_description">
    <vt:lpwstr/>
  </property>
</Properties>
</file>